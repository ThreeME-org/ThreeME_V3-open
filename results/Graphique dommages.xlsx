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chartsheets/sheet6.xml" ContentType="application/vnd.openxmlformats-officedocument.spreadsheetml.chartsheet+xml"/>
  <Override PartName="/xl/chartsheets/sheet7.xml" ContentType="application/vnd.openxmlformats-officedocument.spreadsheetml.chartsheet+xml"/>
  <Override PartName="/xl/chartsheets/sheet8.xml" ContentType="application/vnd.openxmlformats-officedocument.spreadsheetml.chartsheet+xml"/>
  <Override PartName="/xl/chartsheets/sheet9.xml" ContentType="application/vnd.openxmlformats-officedocument.spreadsheetml.chartsheet+xml"/>
  <Override PartName="/xl/chartsheets/sheet10.xml" ContentType="application/vnd.openxmlformats-officedocument.spreadsheetml.chartsheet+xml"/>
  <Override PartName="/xl/chartsheets/sheet11.xml" ContentType="application/vnd.openxmlformats-officedocument.spreadsheetml.chartsheet+xml"/>
  <Override PartName="/xl/chartsheets/sheet12.xml" ContentType="application/vnd.openxmlformats-officedocument.spreadsheetml.chartsheet+xml"/>
  <Override PartName="/xl/chartsheets/sheet13.xml" ContentType="application/vnd.openxmlformats-officedocument.spreadsheetml.chartsheet+xml"/>
  <Override PartName="/xl/chartsheets/sheet14.xml" ContentType="application/vnd.openxmlformats-officedocument.spreadsheetml.chartsheet+xml"/>
  <Override PartName="/xl/chartsheets/sheet15.xml" ContentType="application/vnd.openxmlformats-officedocument.spreadsheetml.chartsheet+xml"/>
  <Override PartName="/xl/chartsheets/sheet16.xml" ContentType="application/vnd.openxmlformats-officedocument.spreadsheetml.chartsheet+xml"/>
  <Override PartName="/xl/chartsheets/sheet17.xml" ContentType="application/vnd.openxmlformats-officedocument.spreadsheetml.chartsheet+xml"/>
  <Override PartName="/xl/chartsheets/sheet18.xml" ContentType="application/vnd.openxmlformats-officedocument.spreadsheetml.chartsheet+xml"/>
  <Override PartName="/xl/chartsheets/sheet19.xml" ContentType="application/vnd.openxmlformats-officedocument.spreadsheetml.chartsheet+xml"/>
  <Override PartName="/xl/chartsheets/sheet20.xml" ContentType="application/vnd.openxmlformats-officedocument.spreadsheetml.chartsheet+xml"/>
  <Override PartName="/xl/chartsheets/sheet21.xml" ContentType="application/vnd.openxmlformats-officedocument.spreadsheetml.chart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4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6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7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8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9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20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21.xml" ContentType="application/vnd.openxmlformats-officedocument.drawingml.chartshapes+xml"/>
  <Override PartName="/xl/drawings/drawing22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C:\Users\JACQUETINF\Documents\documents\ThreeME_V3-ADEME\results\"/>
    </mc:Choice>
  </mc:AlternateContent>
  <bookViews>
    <workbookView xWindow="0" yWindow="0" windowWidth="19200" windowHeight="5890" activeTab="1"/>
  </bookViews>
  <sheets>
    <sheet name="Données" sheetId="2" r:id="rId1"/>
    <sheet name="Gr Macro" sheetId="5" r:id="rId2"/>
    <sheet name="Gr inflation" sheetId="6" r:id="rId3"/>
    <sheet name="Gr émissions" sheetId="7" r:id="rId4"/>
    <sheet name="Gr conso éner" sheetId="28" r:id="rId5"/>
    <sheet name="GR macro ener" sheetId="30" r:id="rId6"/>
    <sheet name="Gr éner prim" sheetId="29" r:id="rId7"/>
    <sheet name="BUIL (class,base)" sheetId="25" r:id="rId8"/>
    <sheet name="BUIL (class,shock)" sheetId="26" r:id="rId9"/>
    <sheet name="Auto (class,base)" sheetId="24" r:id="rId10"/>
    <sheet name="Auto (class,shock)" sheetId="23" r:id="rId11"/>
    <sheet name="Auto (ener,shock)" sheetId="21" r:id="rId12"/>
    <sheet name="Auto (ener,base)" sheetId="22" r:id="rId13"/>
    <sheet name="Employment" sheetId="16" r:id="rId14"/>
    <sheet name="Investment" sheetId="20" r:id="rId15"/>
    <sheet name="Firms' emissions" sheetId="27" r:id="rId16"/>
    <sheet name="Capital intensity" sheetId="17" r:id="rId17"/>
    <sheet name="Energy intensity" sheetId="18" r:id="rId18"/>
    <sheet name="Gr VA secteurs (% dev)" sheetId="12" r:id="rId19"/>
    <sheet name="Gr VA secteurs (% share)" sheetId="13" r:id="rId20"/>
    <sheet name="Gr Y secteurs (% dev)" sheetId="14" r:id="rId21"/>
    <sheet name="Gr Y secteurs (% share)" sheetId="15" r:id="rId22"/>
  </sheets>
  <externalReferences>
    <externalReference r:id="rId23"/>
  </externalReferenc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F523" i="2" l="1"/>
  <c r="BE523" i="2"/>
  <c r="BD523" i="2"/>
  <c r="BC523" i="2"/>
  <c r="BB523" i="2"/>
  <c r="BA523" i="2"/>
  <c r="AZ523" i="2"/>
  <c r="AY523" i="2"/>
  <c r="AX523" i="2"/>
  <c r="AW523" i="2"/>
  <c r="AV523" i="2"/>
  <c r="AU523" i="2"/>
  <c r="AT523" i="2"/>
  <c r="AS523" i="2"/>
  <c r="AR523" i="2"/>
  <c r="AQ523" i="2"/>
  <c r="AP523" i="2"/>
  <c r="AO523" i="2"/>
  <c r="AN523" i="2"/>
  <c r="AM523" i="2"/>
  <c r="AL523" i="2"/>
  <c r="AK523" i="2"/>
  <c r="AJ523" i="2"/>
  <c r="AI523" i="2"/>
  <c r="AH523" i="2"/>
  <c r="AG523" i="2"/>
  <c r="AF523" i="2"/>
  <c r="AE523" i="2"/>
  <c r="AD523" i="2"/>
  <c r="AC523" i="2"/>
  <c r="AB523" i="2"/>
  <c r="AA523" i="2"/>
  <c r="Z523" i="2"/>
  <c r="Y523" i="2"/>
  <c r="X523" i="2"/>
  <c r="W523" i="2"/>
  <c r="V523" i="2"/>
  <c r="U523" i="2"/>
  <c r="T523" i="2"/>
  <c r="S523" i="2"/>
  <c r="R523" i="2"/>
  <c r="Q523" i="2"/>
  <c r="P523" i="2"/>
  <c r="O523" i="2"/>
  <c r="N523" i="2"/>
  <c r="M523" i="2"/>
  <c r="L523" i="2"/>
  <c r="K523" i="2"/>
  <c r="J523" i="2"/>
  <c r="I523" i="2"/>
  <c r="H523" i="2"/>
  <c r="G523" i="2"/>
  <c r="F523" i="2"/>
  <c r="E523" i="2"/>
  <c r="D523" i="2"/>
  <c r="C523" i="2"/>
  <c r="B523" i="2"/>
  <c r="BF522" i="2"/>
  <c r="BE522" i="2"/>
  <c r="BD522" i="2"/>
  <c r="BC522" i="2"/>
  <c r="BB522" i="2"/>
  <c r="BA522" i="2"/>
  <c r="AZ522" i="2"/>
  <c r="AY522" i="2"/>
  <c r="AX522" i="2"/>
  <c r="AW522" i="2"/>
  <c r="AV522" i="2"/>
  <c r="AU522" i="2"/>
  <c r="AT522" i="2"/>
  <c r="AS522" i="2"/>
  <c r="AR522" i="2"/>
  <c r="AQ522" i="2"/>
  <c r="AP522" i="2"/>
  <c r="AO522" i="2"/>
  <c r="AN522" i="2"/>
  <c r="AM522" i="2"/>
  <c r="AL522" i="2"/>
  <c r="AK522" i="2"/>
  <c r="AJ522" i="2"/>
  <c r="AI522" i="2"/>
  <c r="AH522" i="2"/>
  <c r="AG522" i="2"/>
  <c r="AF522" i="2"/>
  <c r="AE522" i="2"/>
  <c r="AD522" i="2"/>
  <c r="AC522" i="2"/>
  <c r="AB522" i="2"/>
  <c r="AA522" i="2"/>
  <c r="Z522" i="2"/>
  <c r="Y522" i="2"/>
  <c r="X522" i="2"/>
  <c r="W522" i="2"/>
  <c r="V522" i="2"/>
  <c r="U522" i="2"/>
  <c r="T522" i="2"/>
  <c r="S522" i="2"/>
  <c r="R522" i="2"/>
  <c r="Q522" i="2"/>
  <c r="P522" i="2"/>
  <c r="O522" i="2"/>
  <c r="N522" i="2"/>
  <c r="M522" i="2"/>
  <c r="L522" i="2"/>
  <c r="K522" i="2"/>
  <c r="J522" i="2"/>
  <c r="I522" i="2"/>
  <c r="H522" i="2"/>
  <c r="G522" i="2"/>
  <c r="F522" i="2"/>
  <c r="E522" i="2"/>
  <c r="D522" i="2"/>
  <c r="C522" i="2"/>
  <c r="B522" i="2"/>
  <c r="BF521" i="2"/>
  <c r="BE521" i="2"/>
  <c r="BD521" i="2"/>
  <c r="BC521" i="2"/>
  <c r="BB521" i="2"/>
  <c r="BA521" i="2"/>
  <c r="AZ521" i="2"/>
  <c r="AY521" i="2"/>
  <c r="AX521" i="2"/>
  <c r="AW521" i="2"/>
  <c r="AV521" i="2"/>
  <c r="AU521" i="2"/>
  <c r="AT521" i="2"/>
  <c r="AS521" i="2"/>
  <c r="AR521" i="2"/>
  <c r="AQ521" i="2"/>
  <c r="AP521" i="2"/>
  <c r="AO521" i="2"/>
  <c r="AN521" i="2"/>
  <c r="AM521" i="2"/>
  <c r="AL521" i="2"/>
  <c r="AK521" i="2"/>
  <c r="AJ521" i="2"/>
  <c r="AI521" i="2"/>
  <c r="AH521" i="2"/>
  <c r="AG521" i="2"/>
  <c r="AF521" i="2"/>
  <c r="AE521" i="2"/>
  <c r="AD521" i="2"/>
  <c r="AC521" i="2"/>
  <c r="AB521" i="2"/>
  <c r="AA521" i="2"/>
  <c r="Z521" i="2"/>
  <c r="Y521" i="2"/>
  <c r="X521" i="2"/>
  <c r="W521" i="2"/>
  <c r="V521" i="2"/>
  <c r="U521" i="2"/>
  <c r="T521" i="2"/>
  <c r="S521" i="2"/>
  <c r="R521" i="2"/>
  <c r="Q521" i="2"/>
  <c r="P521" i="2"/>
  <c r="O521" i="2"/>
  <c r="N521" i="2"/>
  <c r="M521" i="2"/>
  <c r="L521" i="2"/>
  <c r="K521" i="2"/>
  <c r="J521" i="2"/>
  <c r="I521" i="2"/>
  <c r="H521" i="2"/>
  <c r="G521" i="2"/>
  <c r="F521" i="2"/>
  <c r="E521" i="2"/>
  <c r="D521" i="2"/>
  <c r="C521" i="2"/>
  <c r="B521" i="2"/>
  <c r="BF520" i="2"/>
  <c r="BE520" i="2"/>
  <c r="BD520" i="2"/>
  <c r="BC520" i="2"/>
  <c r="BB520" i="2"/>
  <c r="BA520" i="2"/>
  <c r="AZ520" i="2"/>
  <c r="AY520" i="2"/>
  <c r="AX520" i="2"/>
  <c r="AW520" i="2"/>
  <c r="AV520" i="2"/>
  <c r="AU520" i="2"/>
  <c r="AT520" i="2"/>
  <c r="AS520" i="2"/>
  <c r="AR520" i="2"/>
  <c r="AQ520" i="2"/>
  <c r="AP520" i="2"/>
  <c r="AO520" i="2"/>
  <c r="AN520" i="2"/>
  <c r="AM520" i="2"/>
  <c r="AL520" i="2"/>
  <c r="AK520" i="2"/>
  <c r="AJ520" i="2"/>
  <c r="AI520" i="2"/>
  <c r="AH520" i="2"/>
  <c r="AG520" i="2"/>
  <c r="AF520" i="2"/>
  <c r="AE520" i="2"/>
  <c r="AD520" i="2"/>
  <c r="AC520" i="2"/>
  <c r="AB520" i="2"/>
  <c r="AA520" i="2"/>
  <c r="Z520" i="2"/>
  <c r="Y520" i="2"/>
  <c r="X520" i="2"/>
  <c r="W520" i="2"/>
  <c r="V520" i="2"/>
  <c r="U520" i="2"/>
  <c r="T520" i="2"/>
  <c r="S520" i="2"/>
  <c r="R520" i="2"/>
  <c r="Q520" i="2"/>
  <c r="P520" i="2"/>
  <c r="O520" i="2"/>
  <c r="N520" i="2"/>
  <c r="M520" i="2"/>
  <c r="L520" i="2"/>
  <c r="K520" i="2"/>
  <c r="J520" i="2"/>
  <c r="I520" i="2"/>
  <c r="H520" i="2"/>
  <c r="G520" i="2"/>
  <c r="F520" i="2"/>
  <c r="E520" i="2"/>
  <c r="D520" i="2"/>
  <c r="C520" i="2"/>
  <c r="B520" i="2"/>
  <c r="BF519" i="2"/>
  <c r="BE519" i="2"/>
  <c r="BD519" i="2"/>
  <c r="BC519" i="2"/>
  <c r="BB519" i="2"/>
  <c r="BA519" i="2"/>
  <c r="AZ519" i="2"/>
  <c r="AY519" i="2"/>
  <c r="AX519" i="2"/>
  <c r="AW519" i="2"/>
  <c r="AV519" i="2"/>
  <c r="AU519" i="2"/>
  <c r="AT519" i="2"/>
  <c r="AS519" i="2"/>
  <c r="AR519" i="2"/>
  <c r="AQ519" i="2"/>
  <c r="AP519" i="2"/>
  <c r="AO519" i="2"/>
  <c r="AN519" i="2"/>
  <c r="AM519" i="2"/>
  <c r="AL519" i="2"/>
  <c r="AK519" i="2"/>
  <c r="AJ519" i="2"/>
  <c r="AI519" i="2"/>
  <c r="AH519" i="2"/>
  <c r="AG519" i="2"/>
  <c r="AF519" i="2"/>
  <c r="AE519" i="2"/>
  <c r="AD519" i="2"/>
  <c r="AC519" i="2"/>
  <c r="AB519" i="2"/>
  <c r="AA519" i="2"/>
  <c r="Z519" i="2"/>
  <c r="Y519" i="2"/>
  <c r="X519" i="2"/>
  <c r="W519" i="2"/>
  <c r="V519" i="2"/>
  <c r="U519" i="2"/>
  <c r="T519" i="2"/>
  <c r="S519" i="2"/>
  <c r="R519" i="2"/>
  <c r="Q519" i="2"/>
  <c r="P519" i="2"/>
  <c r="O519" i="2"/>
  <c r="N519" i="2"/>
  <c r="M519" i="2"/>
  <c r="L519" i="2"/>
  <c r="K519" i="2"/>
  <c r="J519" i="2"/>
  <c r="I519" i="2"/>
  <c r="H519" i="2"/>
  <c r="G519" i="2"/>
  <c r="F519" i="2"/>
  <c r="E519" i="2"/>
  <c r="D519" i="2"/>
  <c r="C519" i="2"/>
  <c r="B519" i="2"/>
  <c r="BF517" i="2"/>
  <c r="BE517" i="2"/>
  <c r="BD517" i="2"/>
  <c r="BC517" i="2"/>
  <c r="BB517" i="2"/>
  <c r="BA517" i="2"/>
  <c r="AZ517" i="2"/>
  <c r="AY517" i="2"/>
  <c r="AX517" i="2"/>
  <c r="AW517" i="2"/>
  <c r="AV517" i="2"/>
  <c r="AU517" i="2"/>
  <c r="AT517" i="2"/>
  <c r="AS517" i="2"/>
  <c r="AR517" i="2"/>
  <c r="AQ517" i="2"/>
  <c r="AP517" i="2"/>
  <c r="AO517" i="2"/>
  <c r="AN517" i="2"/>
  <c r="AM517" i="2"/>
  <c r="AL517" i="2"/>
  <c r="AK517" i="2"/>
  <c r="AJ517" i="2"/>
  <c r="AI517" i="2"/>
  <c r="AH517" i="2"/>
  <c r="AG517" i="2"/>
  <c r="AF517" i="2"/>
  <c r="AE517" i="2"/>
  <c r="AD517" i="2"/>
  <c r="AC517" i="2"/>
  <c r="AB517" i="2"/>
  <c r="AA517" i="2"/>
  <c r="Z517" i="2"/>
  <c r="Y517" i="2"/>
  <c r="X517" i="2"/>
  <c r="W517" i="2"/>
  <c r="V517" i="2"/>
  <c r="U517" i="2"/>
  <c r="T517" i="2"/>
  <c r="S517" i="2"/>
  <c r="R517" i="2"/>
  <c r="Q517" i="2"/>
  <c r="P517" i="2"/>
  <c r="O517" i="2"/>
  <c r="N517" i="2"/>
  <c r="M517" i="2"/>
  <c r="L517" i="2"/>
  <c r="K517" i="2"/>
  <c r="J517" i="2"/>
  <c r="I517" i="2"/>
  <c r="H517" i="2"/>
  <c r="G517" i="2"/>
  <c r="F517" i="2"/>
  <c r="E517" i="2"/>
  <c r="D517" i="2"/>
  <c r="C517" i="2"/>
  <c r="B517" i="2"/>
  <c r="BF516" i="2"/>
  <c r="BE516" i="2"/>
  <c r="BD516" i="2"/>
  <c r="BC516" i="2"/>
  <c r="BB516" i="2"/>
  <c r="BA516" i="2"/>
  <c r="AZ516" i="2"/>
  <c r="AY516" i="2"/>
  <c r="AX516" i="2"/>
  <c r="AW516" i="2"/>
  <c r="AV516" i="2"/>
  <c r="AU516" i="2"/>
  <c r="AT516" i="2"/>
  <c r="AS516" i="2"/>
  <c r="AR516" i="2"/>
  <c r="AQ516" i="2"/>
  <c r="AP516" i="2"/>
  <c r="AO516" i="2"/>
  <c r="AN516" i="2"/>
  <c r="AM516" i="2"/>
  <c r="AL516" i="2"/>
  <c r="AK516" i="2"/>
  <c r="AJ516" i="2"/>
  <c r="AI516" i="2"/>
  <c r="AH516" i="2"/>
  <c r="AG516" i="2"/>
  <c r="AF516" i="2"/>
  <c r="AE516" i="2"/>
  <c r="AD516" i="2"/>
  <c r="AC516" i="2"/>
  <c r="AB516" i="2"/>
  <c r="AA516" i="2"/>
  <c r="Z516" i="2"/>
  <c r="Y516" i="2"/>
  <c r="X516" i="2"/>
  <c r="W516" i="2"/>
  <c r="V516" i="2"/>
  <c r="U516" i="2"/>
  <c r="T516" i="2"/>
  <c r="S516" i="2"/>
  <c r="R516" i="2"/>
  <c r="Q516" i="2"/>
  <c r="P516" i="2"/>
  <c r="O516" i="2"/>
  <c r="N516" i="2"/>
  <c r="M516" i="2"/>
  <c r="L516" i="2"/>
  <c r="K516" i="2"/>
  <c r="J516" i="2"/>
  <c r="I516" i="2"/>
  <c r="H516" i="2"/>
  <c r="G516" i="2"/>
  <c r="F516" i="2"/>
  <c r="E516" i="2"/>
  <c r="D516" i="2"/>
  <c r="C516" i="2"/>
  <c r="B516" i="2"/>
  <c r="BF515" i="2"/>
  <c r="BE515" i="2"/>
  <c r="BD515" i="2"/>
  <c r="BC515" i="2"/>
  <c r="BB515" i="2"/>
  <c r="BA515" i="2"/>
  <c r="AZ515" i="2"/>
  <c r="AY515" i="2"/>
  <c r="AX515" i="2"/>
  <c r="AW515" i="2"/>
  <c r="AV515" i="2"/>
  <c r="AU515" i="2"/>
  <c r="AT515" i="2"/>
  <c r="AS515" i="2"/>
  <c r="AR515" i="2"/>
  <c r="AQ515" i="2"/>
  <c r="AP515" i="2"/>
  <c r="AO515" i="2"/>
  <c r="AN515" i="2"/>
  <c r="AM515" i="2"/>
  <c r="AL515" i="2"/>
  <c r="AK515" i="2"/>
  <c r="AJ515" i="2"/>
  <c r="AI515" i="2"/>
  <c r="AH515" i="2"/>
  <c r="AG515" i="2"/>
  <c r="AF515" i="2"/>
  <c r="AE515" i="2"/>
  <c r="AD515" i="2"/>
  <c r="AC515" i="2"/>
  <c r="AB515" i="2"/>
  <c r="AA515" i="2"/>
  <c r="Z515" i="2"/>
  <c r="Y515" i="2"/>
  <c r="X515" i="2"/>
  <c r="W515" i="2"/>
  <c r="V515" i="2"/>
  <c r="U515" i="2"/>
  <c r="T515" i="2"/>
  <c r="S515" i="2"/>
  <c r="R515" i="2"/>
  <c r="Q515" i="2"/>
  <c r="P515" i="2"/>
  <c r="O515" i="2"/>
  <c r="N515" i="2"/>
  <c r="M515" i="2"/>
  <c r="L515" i="2"/>
  <c r="K515" i="2"/>
  <c r="J515" i="2"/>
  <c r="I515" i="2"/>
  <c r="H515" i="2"/>
  <c r="G515" i="2"/>
  <c r="F515" i="2"/>
  <c r="E515" i="2"/>
  <c r="D515" i="2"/>
  <c r="C515" i="2"/>
  <c r="B515" i="2"/>
  <c r="BF514" i="2"/>
  <c r="BE514" i="2"/>
  <c r="BD514" i="2"/>
  <c r="BC514" i="2"/>
  <c r="BB514" i="2"/>
  <c r="BA514" i="2"/>
  <c r="AZ514" i="2"/>
  <c r="AY514" i="2"/>
  <c r="AX514" i="2"/>
  <c r="AW514" i="2"/>
  <c r="AV514" i="2"/>
  <c r="AU514" i="2"/>
  <c r="AT514" i="2"/>
  <c r="AS514" i="2"/>
  <c r="AR514" i="2"/>
  <c r="AQ514" i="2"/>
  <c r="AP514" i="2"/>
  <c r="AO514" i="2"/>
  <c r="AN514" i="2"/>
  <c r="AM514" i="2"/>
  <c r="AL514" i="2"/>
  <c r="AK514" i="2"/>
  <c r="AJ514" i="2"/>
  <c r="AI514" i="2"/>
  <c r="AH514" i="2"/>
  <c r="AG514" i="2"/>
  <c r="AF514" i="2"/>
  <c r="AE514" i="2"/>
  <c r="AD514" i="2"/>
  <c r="AC514" i="2"/>
  <c r="AB514" i="2"/>
  <c r="AA514" i="2"/>
  <c r="Z514" i="2"/>
  <c r="Y514" i="2"/>
  <c r="X514" i="2"/>
  <c r="W514" i="2"/>
  <c r="V514" i="2"/>
  <c r="U514" i="2"/>
  <c r="T514" i="2"/>
  <c r="S514" i="2"/>
  <c r="R514" i="2"/>
  <c r="Q514" i="2"/>
  <c r="P514" i="2"/>
  <c r="O514" i="2"/>
  <c r="N514" i="2"/>
  <c r="M514" i="2"/>
  <c r="L514" i="2"/>
  <c r="K514" i="2"/>
  <c r="J514" i="2"/>
  <c r="I514" i="2"/>
  <c r="H514" i="2"/>
  <c r="G514" i="2"/>
  <c r="F514" i="2"/>
  <c r="E514" i="2"/>
  <c r="D514" i="2"/>
  <c r="C514" i="2"/>
  <c r="B514" i="2"/>
  <c r="BF513" i="2"/>
  <c r="BE513" i="2"/>
  <c r="BD513" i="2"/>
  <c r="BC513" i="2"/>
  <c r="BB513" i="2"/>
  <c r="BA513" i="2"/>
  <c r="AZ513" i="2"/>
  <c r="AY513" i="2"/>
  <c r="AX513" i="2"/>
  <c r="AW513" i="2"/>
  <c r="AV513" i="2"/>
  <c r="AU513" i="2"/>
  <c r="AT513" i="2"/>
  <c r="AS513" i="2"/>
  <c r="AR513" i="2"/>
  <c r="AQ513" i="2"/>
  <c r="AP513" i="2"/>
  <c r="AO513" i="2"/>
  <c r="AN513" i="2"/>
  <c r="AM513" i="2"/>
  <c r="AL513" i="2"/>
  <c r="AK513" i="2"/>
  <c r="AJ513" i="2"/>
  <c r="AI513" i="2"/>
  <c r="AH513" i="2"/>
  <c r="AG513" i="2"/>
  <c r="AF513" i="2"/>
  <c r="AE513" i="2"/>
  <c r="AD513" i="2"/>
  <c r="AC513" i="2"/>
  <c r="AB513" i="2"/>
  <c r="AA513" i="2"/>
  <c r="Z513" i="2"/>
  <c r="Y513" i="2"/>
  <c r="X513" i="2"/>
  <c r="W513" i="2"/>
  <c r="V513" i="2"/>
  <c r="U513" i="2"/>
  <c r="T513" i="2"/>
  <c r="S513" i="2"/>
  <c r="R513" i="2"/>
  <c r="Q513" i="2"/>
  <c r="P513" i="2"/>
  <c r="O513" i="2"/>
  <c r="N513" i="2"/>
  <c r="M513" i="2"/>
  <c r="L513" i="2"/>
  <c r="K513" i="2"/>
  <c r="J513" i="2"/>
  <c r="I513" i="2"/>
  <c r="H513" i="2"/>
  <c r="G513" i="2"/>
  <c r="F513" i="2"/>
  <c r="E513" i="2"/>
  <c r="D513" i="2"/>
  <c r="C513" i="2"/>
  <c r="B513" i="2"/>
  <c r="BF359" i="2"/>
  <c r="BE359" i="2"/>
  <c r="BD359" i="2"/>
  <c r="BC359" i="2"/>
  <c r="BB359" i="2"/>
  <c r="BA359" i="2"/>
  <c r="AZ359" i="2"/>
  <c r="AY359" i="2"/>
  <c r="AX359" i="2"/>
  <c r="AW359" i="2"/>
  <c r="AV359" i="2"/>
  <c r="AU359" i="2"/>
  <c r="AT359" i="2"/>
  <c r="AS359" i="2"/>
  <c r="AR359" i="2"/>
  <c r="AQ359" i="2"/>
  <c r="AP359" i="2"/>
  <c r="AO359" i="2"/>
  <c r="AN359" i="2"/>
  <c r="AM359" i="2"/>
  <c r="AL359" i="2"/>
  <c r="AK359" i="2"/>
  <c r="AJ359" i="2"/>
  <c r="AI359" i="2"/>
  <c r="AH359" i="2"/>
  <c r="AG359" i="2"/>
  <c r="AF359" i="2"/>
  <c r="AE359" i="2"/>
  <c r="AD359" i="2"/>
  <c r="AC359" i="2"/>
  <c r="AB359" i="2"/>
  <c r="AA359" i="2"/>
  <c r="Z359" i="2"/>
  <c r="Y359" i="2"/>
  <c r="X359" i="2"/>
  <c r="W359" i="2"/>
  <c r="V359" i="2"/>
  <c r="U359" i="2"/>
  <c r="T359" i="2"/>
  <c r="S359" i="2"/>
  <c r="R359" i="2"/>
  <c r="Q359" i="2"/>
  <c r="P359" i="2"/>
  <c r="O359" i="2"/>
  <c r="N359" i="2"/>
  <c r="M359" i="2"/>
  <c r="L359" i="2"/>
  <c r="K359" i="2"/>
  <c r="J359" i="2"/>
  <c r="I359" i="2"/>
  <c r="H359" i="2"/>
  <c r="G359" i="2"/>
  <c r="F359" i="2"/>
  <c r="E359" i="2"/>
  <c r="D359" i="2"/>
  <c r="C359" i="2"/>
  <c r="B359" i="2"/>
  <c r="BF358" i="2"/>
  <c r="BE358" i="2"/>
  <c r="BD358" i="2"/>
  <c r="BC358" i="2"/>
  <c r="BB358" i="2"/>
  <c r="BA358" i="2"/>
  <c r="AZ358" i="2"/>
  <c r="AY358" i="2"/>
  <c r="AX358" i="2"/>
  <c r="AW358" i="2"/>
  <c r="AV358" i="2"/>
  <c r="AU358" i="2"/>
  <c r="AT358" i="2"/>
  <c r="AS358" i="2"/>
  <c r="AR358" i="2"/>
  <c r="AQ358" i="2"/>
  <c r="AP358" i="2"/>
  <c r="AO358" i="2"/>
  <c r="AN358" i="2"/>
  <c r="AM358" i="2"/>
  <c r="AL358" i="2"/>
  <c r="AK358" i="2"/>
  <c r="AJ358" i="2"/>
  <c r="AI358" i="2"/>
  <c r="AH358" i="2"/>
  <c r="AG358" i="2"/>
  <c r="AF358" i="2"/>
  <c r="AE358" i="2"/>
  <c r="AD358" i="2"/>
  <c r="AC358" i="2"/>
  <c r="AB358" i="2"/>
  <c r="AA358" i="2"/>
  <c r="Z358" i="2"/>
  <c r="Y358" i="2"/>
  <c r="X358" i="2"/>
  <c r="W358" i="2"/>
  <c r="V358" i="2"/>
  <c r="U358" i="2"/>
  <c r="T358" i="2"/>
  <c r="S358" i="2"/>
  <c r="R358" i="2"/>
  <c r="Q358" i="2"/>
  <c r="P358" i="2"/>
  <c r="O358" i="2"/>
  <c r="N358" i="2"/>
  <c r="M358" i="2"/>
  <c r="L358" i="2"/>
  <c r="K358" i="2"/>
  <c r="J358" i="2"/>
  <c r="I358" i="2"/>
  <c r="H358" i="2"/>
  <c r="G358" i="2"/>
  <c r="F358" i="2"/>
  <c r="E358" i="2"/>
  <c r="D358" i="2"/>
  <c r="C358" i="2"/>
  <c r="B358" i="2"/>
  <c r="BF357" i="2"/>
  <c r="BE357" i="2"/>
  <c r="BD357" i="2"/>
  <c r="BC357" i="2"/>
  <c r="BB357" i="2"/>
  <c r="BA357" i="2"/>
  <c r="AZ357" i="2"/>
  <c r="AY357" i="2"/>
  <c r="AX357" i="2"/>
  <c r="AW357" i="2"/>
  <c r="AV357" i="2"/>
  <c r="AU357" i="2"/>
  <c r="AT357" i="2"/>
  <c r="AS357" i="2"/>
  <c r="AR357" i="2"/>
  <c r="AQ357" i="2"/>
  <c r="AP357" i="2"/>
  <c r="AO357" i="2"/>
  <c r="AN357" i="2"/>
  <c r="AM357" i="2"/>
  <c r="AL357" i="2"/>
  <c r="AK357" i="2"/>
  <c r="AJ357" i="2"/>
  <c r="AI357" i="2"/>
  <c r="AH357" i="2"/>
  <c r="AG357" i="2"/>
  <c r="AF357" i="2"/>
  <c r="AE357" i="2"/>
  <c r="AD357" i="2"/>
  <c r="AC357" i="2"/>
  <c r="AB357" i="2"/>
  <c r="AA357" i="2"/>
  <c r="Z357" i="2"/>
  <c r="Y357" i="2"/>
  <c r="X357" i="2"/>
  <c r="W357" i="2"/>
  <c r="V357" i="2"/>
  <c r="U357" i="2"/>
  <c r="T357" i="2"/>
  <c r="S357" i="2"/>
  <c r="R357" i="2"/>
  <c r="Q357" i="2"/>
  <c r="P357" i="2"/>
  <c r="O357" i="2"/>
  <c r="N357" i="2"/>
  <c r="M357" i="2"/>
  <c r="L357" i="2"/>
  <c r="K357" i="2"/>
  <c r="J357" i="2"/>
  <c r="I357" i="2"/>
  <c r="H357" i="2"/>
  <c r="G357" i="2"/>
  <c r="F357" i="2"/>
  <c r="E357" i="2"/>
  <c r="D357" i="2"/>
  <c r="C357" i="2"/>
  <c r="B357" i="2"/>
  <c r="BF356" i="2"/>
  <c r="BE356" i="2"/>
  <c r="BD356" i="2"/>
  <c r="BC356" i="2"/>
  <c r="BB356" i="2"/>
  <c r="BA356" i="2"/>
  <c r="AZ356" i="2"/>
  <c r="AY356" i="2"/>
  <c r="AX356" i="2"/>
  <c r="AW356" i="2"/>
  <c r="AV356" i="2"/>
  <c r="AU356" i="2"/>
  <c r="AT356" i="2"/>
  <c r="AS356" i="2"/>
  <c r="AR356" i="2"/>
  <c r="AQ356" i="2"/>
  <c r="AP356" i="2"/>
  <c r="AO356" i="2"/>
  <c r="AN356" i="2"/>
  <c r="AM356" i="2"/>
  <c r="AL356" i="2"/>
  <c r="AK356" i="2"/>
  <c r="AJ356" i="2"/>
  <c r="AI356" i="2"/>
  <c r="AH356" i="2"/>
  <c r="AG356" i="2"/>
  <c r="AF356" i="2"/>
  <c r="AE356" i="2"/>
  <c r="AD356" i="2"/>
  <c r="AC356" i="2"/>
  <c r="AB356" i="2"/>
  <c r="AA356" i="2"/>
  <c r="Z356" i="2"/>
  <c r="Y356" i="2"/>
  <c r="X356" i="2"/>
  <c r="W356" i="2"/>
  <c r="V356" i="2"/>
  <c r="U356" i="2"/>
  <c r="T356" i="2"/>
  <c r="S356" i="2"/>
  <c r="R356" i="2"/>
  <c r="Q356" i="2"/>
  <c r="P356" i="2"/>
  <c r="O356" i="2"/>
  <c r="N356" i="2"/>
  <c r="M356" i="2"/>
  <c r="L356" i="2"/>
  <c r="K356" i="2"/>
  <c r="J356" i="2"/>
  <c r="I356" i="2"/>
  <c r="H356" i="2"/>
  <c r="G356" i="2"/>
  <c r="F356" i="2"/>
  <c r="E356" i="2"/>
  <c r="D356" i="2"/>
  <c r="C356" i="2"/>
  <c r="B356" i="2"/>
  <c r="BF355" i="2"/>
  <c r="BE355" i="2"/>
  <c r="BD355" i="2"/>
  <c r="BC355" i="2"/>
  <c r="BB355" i="2"/>
  <c r="BA355" i="2"/>
  <c r="AZ355" i="2"/>
  <c r="AY355" i="2"/>
  <c r="AX355" i="2"/>
  <c r="AW355" i="2"/>
  <c r="AV355" i="2"/>
  <c r="AU355" i="2"/>
  <c r="AT355" i="2"/>
  <c r="AS355" i="2"/>
  <c r="AR355" i="2"/>
  <c r="AQ355" i="2"/>
  <c r="AP355" i="2"/>
  <c r="AO355" i="2"/>
  <c r="AN355" i="2"/>
  <c r="AM355" i="2"/>
  <c r="AL355" i="2"/>
  <c r="AK355" i="2"/>
  <c r="AJ355" i="2"/>
  <c r="AI355" i="2"/>
  <c r="AH355" i="2"/>
  <c r="AG355" i="2"/>
  <c r="AF355" i="2"/>
  <c r="AE355" i="2"/>
  <c r="AD355" i="2"/>
  <c r="AC355" i="2"/>
  <c r="AB355" i="2"/>
  <c r="AA355" i="2"/>
  <c r="Z355" i="2"/>
  <c r="Y355" i="2"/>
  <c r="X355" i="2"/>
  <c r="W355" i="2"/>
  <c r="V355" i="2"/>
  <c r="U355" i="2"/>
  <c r="T355" i="2"/>
  <c r="S355" i="2"/>
  <c r="R355" i="2"/>
  <c r="Q355" i="2"/>
  <c r="P355" i="2"/>
  <c r="O355" i="2"/>
  <c r="N355" i="2"/>
  <c r="M355" i="2"/>
  <c r="L355" i="2"/>
  <c r="K355" i="2"/>
  <c r="J355" i="2"/>
  <c r="I355" i="2"/>
  <c r="H355" i="2"/>
  <c r="G355" i="2"/>
  <c r="F355" i="2"/>
  <c r="E355" i="2"/>
  <c r="D355" i="2"/>
  <c r="C355" i="2"/>
  <c r="B355" i="2"/>
  <c r="BF354" i="2"/>
  <c r="BE354" i="2"/>
  <c r="BD354" i="2"/>
  <c r="BC354" i="2"/>
  <c r="BB354" i="2"/>
  <c r="BA354" i="2"/>
  <c r="AZ354" i="2"/>
  <c r="AY354" i="2"/>
  <c r="AX354" i="2"/>
  <c r="AW354" i="2"/>
  <c r="AV354" i="2"/>
  <c r="AU354" i="2"/>
  <c r="AT354" i="2"/>
  <c r="AS354" i="2"/>
  <c r="AR354" i="2"/>
  <c r="AQ354" i="2"/>
  <c r="AP354" i="2"/>
  <c r="AO354" i="2"/>
  <c r="AN354" i="2"/>
  <c r="AM354" i="2"/>
  <c r="AL354" i="2"/>
  <c r="AK354" i="2"/>
  <c r="AJ354" i="2"/>
  <c r="AI354" i="2"/>
  <c r="AH354" i="2"/>
  <c r="AG354" i="2"/>
  <c r="AF354" i="2"/>
  <c r="AE354" i="2"/>
  <c r="AD354" i="2"/>
  <c r="AC354" i="2"/>
  <c r="AB354" i="2"/>
  <c r="AA354" i="2"/>
  <c r="Z354" i="2"/>
  <c r="Y354" i="2"/>
  <c r="X354" i="2"/>
  <c r="W354" i="2"/>
  <c r="V354" i="2"/>
  <c r="U354" i="2"/>
  <c r="T354" i="2"/>
  <c r="S354" i="2"/>
  <c r="R354" i="2"/>
  <c r="Q354" i="2"/>
  <c r="P354" i="2"/>
  <c r="O354" i="2"/>
  <c r="N354" i="2"/>
  <c r="M354" i="2"/>
  <c r="L354" i="2"/>
  <c r="K354" i="2"/>
  <c r="J354" i="2"/>
  <c r="I354" i="2"/>
  <c r="H354" i="2"/>
  <c r="G354" i="2"/>
  <c r="F354" i="2"/>
  <c r="E354" i="2"/>
  <c r="D354" i="2"/>
  <c r="C354" i="2"/>
  <c r="B354" i="2"/>
  <c r="BF353" i="2"/>
  <c r="BE353" i="2"/>
  <c r="BD353" i="2"/>
  <c r="BC353" i="2"/>
  <c r="BB353" i="2"/>
  <c r="BA353" i="2"/>
  <c r="AZ353" i="2"/>
  <c r="AY353" i="2"/>
  <c r="AX353" i="2"/>
  <c r="AW353" i="2"/>
  <c r="AV353" i="2"/>
  <c r="AU353" i="2"/>
  <c r="AT353" i="2"/>
  <c r="AS353" i="2"/>
  <c r="AR353" i="2"/>
  <c r="AQ353" i="2"/>
  <c r="AP353" i="2"/>
  <c r="AO353" i="2"/>
  <c r="AN353" i="2"/>
  <c r="AM353" i="2"/>
  <c r="AL353" i="2"/>
  <c r="AK353" i="2"/>
  <c r="AJ353" i="2"/>
  <c r="AI353" i="2"/>
  <c r="AH353" i="2"/>
  <c r="AG353" i="2"/>
  <c r="AF353" i="2"/>
  <c r="AE353" i="2"/>
  <c r="AD353" i="2"/>
  <c r="AC353" i="2"/>
  <c r="AB353" i="2"/>
  <c r="AA353" i="2"/>
  <c r="Z353" i="2"/>
  <c r="Y353" i="2"/>
  <c r="X353" i="2"/>
  <c r="W353" i="2"/>
  <c r="V353" i="2"/>
  <c r="U353" i="2"/>
  <c r="T353" i="2"/>
  <c r="S353" i="2"/>
  <c r="R353" i="2"/>
  <c r="Q353" i="2"/>
  <c r="P353" i="2"/>
  <c r="O353" i="2"/>
  <c r="N353" i="2"/>
  <c r="M353" i="2"/>
  <c r="L353" i="2"/>
  <c r="K353" i="2"/>
  <c r="J353" i="2"/>
  <c r="I353" i="2"/>
  <c r="H353" i="2"/>
  <c r="G353" i="2"/>
  <c r="F353" i="2"/>
  <c r="E353" i="2"/>
  <c r="D353" i="2"/>
  <c r="C353" i="2"/>
  <c r="B353" i="2"/>
  <c r="BF352" i="2"/>
  <c r="BE352" i="2"/>
  <c r="BD352" i="2"/>
  <c r="BC352" i="2"/>
  <c r="BB352" i="2"/>
  <c r="BA352" i="2"/>
  <c r="AZ352" i="2"/>
  <c r="AY352" i="2"/>
  <c r="AX352" i="2"/>
  <c r="AW352" i="2"/>
  <c r="AV352" i="2"/>
  <c r="AU352" i="2"/>
  <c r="AT352" i="2"/>
  <c r="AS352" i="2"/>
  <c r="AR352" i="2"/>
  <c r="AQ352" i="2"/>
  <c r="AP352" i="2"/>
  <c r="AO352" i="2"/>
  <c r="AN352" i="2"/>
  <c r="AM352" i="2"/>
  <c r="AL352" i="2"/>
  <c r="AK352" i="2"/>
  <c r="AJ352" i="2"/>
  <c r="AI352" i="2"/>
  <c r="AH352" i="2"/>
  <c r="AG352" i="2"/>
  <c r="AF352" i="2"/>
  <c r="AE352" i="2"/>
  <c r="AD352" i="2"/>
  <c r="AC352" i="2"/>
  <c r="AB352" i="2"/>
  <c r="AA352" i="2"/>
  <c r="Z352" i="2"/>
  <c r="Y352" i="2"/>
  <c r="X352" i="2"/>
  <c r="W352" i="2"/>
  <c r="V352" i="2"/>
  <c r="U352" i="2"/>
  <c r="T352" i="2"/>
  <c r="S352" i="2"/>
  <c r="R352" i="2"/>
  <c r="Q352" i="2"/>
  <c r="P352" i="2"/>
  <c r="O352" i="2"/>
  <c r="N352" i="2"/>
  <c r="M352" i="2"/>
  <c r="L352" i="2"/>
  <c r="K352" i="2"/>
  <c r="J352" i="2"/>
  <c r="I352" i="2"/>
  <c r="H352" i="2"/>
  <c r="G352" i="2"/>
  <c r="F352" i="2"/>
  <c r="E352" i="2"/>
  <c r="D352" i="2"/>
  <c r="C352" i="2"/>
  <c r="B352" i="2"/>
  <c r="BF351" i="2"/>
  <c r="BE351" i="2"/>
  <c r="BD351" i="2"/>
  <c r="BC351" i="2"/>
  <c r="BB351" i="2"/>
  <c r="BA351" i="2"/>
  <c r="AZ351" i="2"/>
  <c r="AY351" i="2"/>
  <c r="AX351" i="2"/>
  <c r="AW351" i="2"/>
  <c r="AV351" i="2"/>
  <c r="AU351" i="2"/>
  <c r="AT351" i="2"/>
  <c r="AS351" i="2"/>
  <c r="AR351" i="2"/>
  <c r="AQ351" i="2"/>
  <c r="AP351" i="2"/>
  <c r="AO351" i="2"/>
  <c r="AN351" i="2"/>
  <c r="AM351" i="2"/>
  <c r="AL351" i="2"/>
  <c r="AK351" i="2"/>
  <c r="AJ351" i="2"/>
  <c r="AI351" i="2"/>
  <c r="AH351" i="2"/>
  <c r="AG351" i="2"/>
  <c r="AF351" i="2"/>
  <c r="AE351" i="2"/>
  <c r="AD351" i="2"/>
  <c r="AC351" i="2"/>
  <c r="AB351" i="2"/>
  <c r="AA351" i="2"/>
  <c r="Z351" i="2"/>
  <c r="Y351" i="2"/>
  <c r="X351" i="2"/>
  <c r="W351" i="2"/>
  <c r="V351" i="2"/>
  <c r="U351" i="2"/>
  <c r="T351" i="2"/>
  <c r="S351" i="2"/>
  <c r="R351" i="2"/>
  <c r="Q351" i="2"/>
  <c r="P351" i="2"/>
  <c r="O351" i="2"/>
  <c r="N351" i="2"/>
  <c r="M351" i="2"/>
  <c r="L351" i="2"/>
  <c r="K351" i="2"/>
  <c r="J351" i="2"/>
  <c r="I351" i="2"/>
  <c r="H351" i="2"/>
  <c r="G351" i="2"/>
  <c r="F351" i="2"/>
  <c r="E351" i="2"/>
  <c r="D351" i="2"/>
  <c r="C351" i="2"/>
  <c r="B351" i="2"/>
  <c r="BF350" i="2"/>
  <c r="BE350" i="2"/>
  <c r="BD350" i="2"/>
  <c r="BC350" i="2"/>
  <c r="BB350" i="2"/>
  <c r="BA350" i="2"/>
  <c r="AZ350" i="2"/>
  <c r="AY350" i="2"/>
  <c r="AX350" i="2"/>
  <c r="AW350" i="2"/>
  <c r="AV350" i="2"/>
  <c r="AU350" i="2"/>
  <c r="AT350" i="2"/>
  <c r="AS350" i="2"/>
  <c r="AR350" i="2"/>
  <c r="AQ350" i="2"/>
  <c r="AP350" i="2"/>
  <c r="AO350" i="2"/>
  <c r="AN350" i="2"/>
  <c r="AM350" i="2"/>
  <c r="AL350" i="2"/>
  <c r="AK350" i="2"/>
  <c r="AJ350" i="2"/>
  <c r="AI350" i="2"/>
  <c r="AH350" i="2"/>
  <c r="AG350" i="2"/>
  <c r="AF350" i="2"/>
  <c r="AE350" i="2"/>
  <c r="AD350" i="2"/>
  <c r="AC350" i="2"/>
  <c r="AB350" i="2"/>
  <c r="AA350" i="2"/>
  <c r="Z350" i="2"/>
  <c r="Y350" i="2"/>
  <c r="X350" i="2"/>
  <c r="W350" i="2"/>
  <c r="V350" i="2"/>
  <c r="U350" i="2"/>
  <c r="T350" i="2"/>
  <c r="S350" i="2"/>
  <c r="R350" i="2"/>
  <c r="Q350" i="2"/>
  <c r="P350" i="2"/>
  <c r="O350" i="2"/>
  <c r="N350" i="2"/>
  <c r="M350" i="2"/>
  <c r="L350" i="2"/>
  <c r="K350" i="2"/>
  <c r="J350" i="2"/>
  <c r="I350" i="2"/>
  <c r="H350" i="2"/>
  <c r="G350" i="2"/>
  <c r="F350" i="2"/>
  <c r="E350" i="2"/>
  <c r="D350" i="2"/>
  <c r="C350" i="2"/>
  <c r="B350" i="2"/>
  <c r="BF349" i="2"/>
  <c r="BE349" i="2"/>
  <c r="BD349" i="2"/>
  <c r="BC349" i="2"/>
  <c r="BB349" i="2"/>
  <c r="BA349" i="2"/>
  <c r="AZ349" i="2"/>
  <c r="AY349" i="2"/>
  <c r="AX349" i="2"/>
  <c r="AW349" i="2"/>
  <c r="AV349" i="2"/>
  <c r="AU349" i="2"/>
  <c r="AT349" i="2"/>
  <c r="AS349" i="2"/>
  <c r="AR349" i="2"/>
  <c r="AQ349" i="2"/>
  <c r="AP349" i="2"/>
  <c r="AO349" i="2"/>
  <c r="AN349" i="2"/>
  <c r="AM349" i="2"/>
  <c r="AL349" i="2"/>
  <c r="AK349" i="2"/>
  <c r="AJ349" i="2"/>
  <c r="AI349" i="2"/>
  <c r="AH349" i="2"/>
  <c r="AG349" i="2"/>
  <c r="AF349" i="2"/>
  <c r="AE349" i="2"/>
  <c r="AD349" i="2"/>
  <c r="AC349" i="2"/>
  <c r="AB349" i="2"/>
  <c r="AA349" i="2"/>
  <c r="Z349" i="2"/>
  <c r="Y349" i="2"/>
  <c r="X349" i="2"/>
  <c r="W349" i="2"/>
  <c r="V349" i="2"/>
  <c r="U349" i="2"/>
  <c r="T349" i="2"/>
  <c r="S349" i="2"/>
  <c r="R349" i="2"/>
  <c r="Q349" i="2"/>
  <c r="P349" i="2"/>
  <c r="O349" i="2"/>
  <c r="N349" i="2"/>
  <c r="M349" i="2"/>
  <c r="L349" i="2"/>
  <c r="K349" i="2"/>
  <c r="J349" i="2"/>
  <c r="I349" i="2"/>
  <c r="H349" i="2"/>
  <c r="G349" i="2"/>
  <c r="F349" i="2"/>
  <c r="E349" i="2"/>
  <c r="D349" i="2"/>
  <c r="C349" i="2"/>
  <c r="B349" i="2"/>
  <c r="BF348" i="2"/>
  <c r="BE348" i="2"/>
  <c r="BD348" i="2"/>
  <c r="BC348" i="2"/>
  <c r="BB348" i="2"/>
  <c r="BA348" i="2"/>
  <c r="AZ348" i="2"/>
  <c r="AY348" i="2"/>
  <c r="AX348" i="2"/>
  <c r="AW348" i="2"/>
  <c r="AV348" i="2"/>
  <c r="AU348" i="2"/>
  <c r="AT348" i="2"/>
  <c r="AS348" i="2"/>
  <c r="AR348" i="2"/>
  <c r="AQ348" i="2"/>
  <c r="AP348" i="2"/>
  <c r="AO348" i="2"/>
  <c r="AN348" i="2"/>
  <c r="AM348" i="2"/>
  <c r="AL348" i="2"/>
  <c r="AK348" i="2"/>
  <c r="AJ348" i="2"/>
  <c r="AI348" i="2"/>
  <c r="AH348" i="2"/>
  <c r="AG348" i="2"/>
  <c r="AF348" i="2"/>
  <c r="AE348" i="2"/>
  <c r="AD348" i="2"/>
  <c r="AC348" i="2"/>
  <c r="AB348" i="2"/>
  <c r="AA348" i="2"/>
  <c r="Z348" i="2"/>
  <c r="Y348" i="2"/>
  <c r="X348" i="2"/>
  <c r="W348" i="2"/>
  <c r="V348" i="2"/>
  <c r="U348" i="2"/>
  <c r="T348" i="2"/>
  <c r="S348" i="2"/>
  <c r="R348" i="2"/>
  <c r="Q348" i="2"/>
  <c r="P348" i="2"/>
  <c r="O348" i="2"/>
  <c r="N348" i="2"/>
  <c r="M348" i="2"/>
  <c r="L348" i="2"/>
  <c r="K348" i="2"/>
  <c r="J348" i="2"/>
  <c r="I348" i="2"/>
  <c r="H348" i="2"/>
  <c r="G348" i="2"/>
  <c r="F348" i="2"/>
  <c r="E348" i="2"/>
  <c r="D348" i="2"/>
  <c r="C348" i="2"/>
  <c r="B348" i="2"/>
  <c r="BF347" i="2"/>
  <c r="BE347" i="2"/>
  <c r="BD347" i="2"/>
  <c r="BC347" i="2"/>
  <c r="BB347" i="2"/>
  <c r="BA347" i="2"/>
  <c r="AZ347" i="2"/>
  <c r="AY347" i="2"/>
  <c r="AX347" i="2"/>
  <c r="AW347" i="2"/>
  <c r="AV347" i="2"/>
  <c r="AU347" i="2"/>
  <c r="AT347" i="2"/>
  <c r="AS347" i="2"/>
  <c r="AR347" i="2"/>
  <c r="AQ347" i="2"/>
  <c r="AP347" i="2"/>
  <c r="AO347" i="2"/>
  <c r="AN347" i="2"/>
  <c r="AM347" i="2"/>
  <c r="AL347" i="2"/>
  <c r="AK347" i="2"/>
  <c r="AJ347" i="2"/>
  <c r="AI347" i="2"/>
  <c r="AH347" i="2"/>
  <c r="AG347" i="2"/>
  <c r="AF347" i="2"/>
  <c r="AE347" i="2"/>
  <c r="AD347" i="2"/>
  <c r="AC347" i="2"/>
  <c r="AB347" i="2"/>
  <c r="AA347" i="2"/>
  <c r="Z347" i="2"/>
  <c r="Y347" i="2"/>
  <c r="X347" i="2"/>
  <c r="W347" i="2"/>
  <c r="V347" i="2"/>
  <c r="U347" i="2"/>
  <c r="T347" i="2"/>
  <c r="S347" i="2"/>
  <c r="R347" i="2"/>
  <c r="Q347" i="2"/>
  <c r="P347" i="2"/>
  <c r="O347" i="2"/>
  <c r="N347" i="2"/>
  <c r="M347" i="2"/>
  <c r="L347" i="2"/>
  <c r="K347" i="2"/>
  <c r="J347" i="2"/>
  <c r="I347" i="2"/>
  <c r="H347" i="2"/>
  <c r="G347" i="2"/>
  <c r="F347" i="2"/>
  <c r="E347" i="2"/>
  <c r="D347" i="2"/>
  <c r="C347" i="2"/>
  <c r="B347" i="2"/>
  <c r="BF346" i="2"/>
  <c r="BE346" i="2"/>
  <c r="BD346" i="2"/>
  <c r="BC346" i="2"/>
  <c r="BB346" i="2"/>
  <c r="BA346" i="2"/>
  <c r="AZ346" i="2"/>
  <c r="AY346" i="2"/>
  <c r="AX346" i="2"/>
  <c r="AW346" i="2"/>
  <c r="AV346" i="2"/>
  <c r="AU346" i="2"/>
  <c r="AT346" i="2"/>
  <c r="AS346" i="2"/>
  <c r="AR346" i="2"/>
  <c r="AQ346" i="2"/>
  <c r="AP346" i="2"/>
  <c r="AO346" i="2"/>
  <c r="AN346" i="2"/>
  <c r="AM346" i="2"/>
  <c r="AL346" i="2"/>
  <c r="AK346" i="2"/>
  <c r="AJ346" i="2"/>
  <c r="AI346" i="2"/>
  <c r="AH346" i="2"/>
  <c r="AG346" i="2"/>
  <c r="AF346" i="2"/>
  <c r="AE346" i="2"/>
  <c r="AD346" i="2"/>
  <c r="AC346" i="2"/>
  <c r="AB346" i="2"/>
  <c r="AA346" i="2"/>
  <c r="Z346" i="2"/>
  <c r="Y346" i="2"/>
  <c r="X346" i="2"/>
  <c r="W346" i="2"/>
  <c r="V346" i="2"/>
  <c r="U346" i="2"/>
  <c r="T346" i="2"/>
  <c r="S346" i="2"/>
  <c r="R346" i="2"/>
  <c r="Q346" i="2"/>
  <c r="P346" i="2"/>
  <c r="O346" i="2"/>
  <c r="N346" i="2"/>
  <c r="M346" i="2"/>
  <c r="L346" i="2"/>
  <c r="K346" i="2"/>
  <c r="J346" i="2"/>
  <c r="I346" i="2"/>
  <c r="H346" i="2"/>
  <c r="G346" i="2"/>
  <c r="F346" i="2"/>
  <c r="E346" i="2"/>
  <c r="D346" i="2"/>
  <c r="C346" i="2"/>
  <c r="B346" i="2"/>
  <c r="BF345" i="2"/>
  <c r="BE345" i="2"/>
  <c r="BD345" i="2"/>
  <c r="BC345" i="2"/>
  <c r="BB345" i="2"/>
  <c r="BA345" i="2"/>
  <c r="AZ345" i="2"/>
  <c r="AY345" i="2"/>
  <c r="AX345" i="2"/>
  <c r="AW345" i="2"/>
  <c r="AV345" i="2"/>
  <c r="AU345" i="2"/>
  <c r="AT345" i="2"/>
  <c r="AS345" i="2"/>
  <c r="AR345" i="2"/>
  <c r="AQ345" i="2"/>
  <c r="AP345" i="2"/>
  <c r="AO345" i="2"/>
  <c r="AN345" i="2"/>
  <c r="AM345" i="2"/>
  <c r="AL345" i="2"/>
  <c r="AK345" i="2"/>
  <c r="AJ345" i="2"/>
  <c r="AI345" i="2"/>
  <c r="AH345" i="2"/>
  <c r="AG345" i="2"/>
  <c r="AF345" i="2"/>
  <c r="AE345" i="2"/>
  <c r="AD345" i="2"/>
  <c r="AC345" i="2"/>
  <c r="AB345" i="2"/>
  <c r="AA345" i="2"/>
  <c r="Z345" i="2"/>
  <c r="Y345" i="2"/>
  <c r="X345" i="2"/>
  <c r="W345" i="2"/>
  <c r="V345" i="2"/>
  <c r="U345" i="2"/>
  <c r="T345" i="2"/>
  <c r="S345" i="2"/>
  <c r="R345" i="2"/>
  <c r="Q345" i="2"/>
  <c r="P345" i="2"/>
  <c r="O345" i="2"/>
  <c r="N345" i="2"/>
  <c r="M345" i="2"/>
  <c r="L345" i="2"/>
  <c r="K345" i="2"/>
  <c r="J345" i="2"/>
  <c r="I345" i="2"/>
  <c r="H345" i="2"/>
  <c r="G345" i="2"/>
  <c r="F345" i="2"/>
  <c r="E345" i="2"/>
  <c r="D345" i="2"/>
  <c r="C345" i="2"/>
  <c r="B345" i="2"/>
  <c r="BF344" i="2"/>
  <c r="BE344" i="2"/>
  <c r="BD344" i="2"/>
  <c r="BC344" i="2"/>
  <c r="BB344" i="2"/>
  <c r="BA344" i="2"/>
  <c r="AZ344" i="2"/>
  <c r="AY344" i="2"/>
  <c r="AX344" i="2"/>
  <c r="AW344" i="2"/>
  <c r="AV344" i="2"/>
  <c r="AU344" i="2"/>
  <c r="AT344" i="2"/>
  <c r="AS344" i="2"/>
  <c r="AR344" i="2"/>
  <c r="AQ344" i="2"/>
  <c r="AP344" i="2"/>
  <c r="AO344" i="2"/>
  <c r="AN344" i="2"/>
  <c r="AM344" i="2"/>
  <c r="AL344" i="2"/>
  <c r="AK344" i="2"/>
  <c r="AJ344" i="2"/>
  <c r="AI344" i="2"/>
  <c r="AH344" i="2"/>
  <c r="AG344" i="2"/>
  <c r="AF344" i="2"/>
  <c r="AE344" i="2"/>
  <c r="AD344" i="2"/>
  <c r="AC344" i="2"/>
  <c r="AB344" i="2"/>
  <c r="AA344" i="2"/>
  <c r="Z344" i="2"/>
  <c r="Y344" i="2"/>
  <c r="X344" i="2"/>
  <c r="W344" i="2"/>
  <c r="V344" i="2"/>
  <c r="U344" i="2"/>
  <c r="T344" i="2"/>
  <c r="S344" i="2"/>
  <c r="R344" i="2"/>
  <c r="Q344" i="2"/>
  <c r="P344" i="2"/>
  <c r="O344" i="2"/>
  <c r="N344" i="2"/>
  <c r="M344" i="2"/>
  <c r="L344" i="2"/>
  <c r="K344" i="2"/>
  <c r="J344" i="2"/>
  <c r="I344" i="2"/>
  <c r="H344" i="2"/>
  <c r="G344" i="2"/>
  <c r="F344" i="2"/>
  <c r="E344" i="2"/>
  <c r="D344" i="2"/>
  <c r="C344" i="2"/>
  <c r="B344" i="2"/>
  <c r="BF343" i="2"/>
  <c r="BE343" i="2"/>
  <c r="BD343" i="2"/>
  <c r="BC343" i="2"/>
  <c r="BB343" i="2"/>
  <c r="BA343" i="2"/>
  <c r="AZ343" i="2"/>
  <c r="AY343" i="2"/>
  <c r="AX343" i="2"/>
  <c r="AW343" i="2"/>
  <c r="AV343" i="2"/>
  <c r="AU343" i="2"/>
  <c r="AT343" i="2"/>
  <c r="AS343" i="2"/>
  <c r="AR343" i="2"/>
  <c r="AQ343" i="2"/>
  <c r="AP343" i="2"/>
  <c r="AO343" i="2"/>
  <c r="AN343" i="2"/>
  <c r="AM343" i="2"/>
  <c r="AL343" i="2"/>
  <c r="AK343" i="2"/>
  <c r="AJ343" i="2"/>
  <c r="AI343" i="2"/>
  <c r="AH343" i="2"/>
  <c r="AG343" i="2"/>
  <c r="AF343" i="2"/>
  <c r="AE343" i="2"/>
  <c r="AD343" i="2"/>
  <c r="AC343" i="2"/>
  <c r="AB343" i="2"/>
  <c r="AA343" i="2"/>
  <c r="Z343" i="2"/>
  <c r="Y343" i="2"/>
  <c r="X343" i="2"/>
  <c r="W343" i="2"/>
  <c r="V343" i="2"/>
  <c r="U343" i="2"/>
  <c r="T343" i="2"/>
  <c r="S343" i="2"/>
  <c r="R343" i="2"/>
  <c r="Q343" i="2"/>
  <c r="P343" i="2"/>
  <c r="O343" i="2"/>
  <c r="N343" i="2"/>
  <c r="M343" i="2"/>
  <c r="L343" i="2"/>
  <c r="K343" i="2"/>
  <c r="J343" i="2"/>
  <c r="I343" i="2"/>
  <c r="H343" i="2"/>
  <c r="G343" i="2"/>
  <c r="F343" i="2"/>
  <c r="E343" i="2"/>
  <c r="D343" i="2"/>
  <c r="C343" i="2"/>
  <c r="B343" i="2"/>
  <c r="BF342" i="2"/>
  <c r="BE342" i="2"/>
  <c r="BD342" i="2"/>
  <c r="BC342" i="2"/>
  <c r="BB342" i="2"/>
  <c r="BA342" i="2"/>
  <c r="AZ342" i="2"/>
  <c r="AY342" i="2"/>
  <c r="AX342" i="2"/>
  <c r="AW342" i="2"/>
  <c r="AV342" i="2"/>
  <c r="AU342" i="2"/>
  <c r="AT342" i="2"/>
  <c r="AS342" i="2"/>
  <c r="AR342" i="2"/>
  <c r="AQ342" i="2"/>
  <c r="AP342" i="2"/>
  <c r="AO342" i="2"/>
  <c r="AN342" i="2"/>
  <c r="AM342" i="2"/>
  <c r="AL342" i="2"/>
  <c r="AK342" i="2"/>
  <c r="AJ342" i="2"/>
  <c r="AI342" i="2"/>
  <c r="AH342" i="2"/>
  <c r="AG342" i="2"/>
  <c r="AF342" i="2"/>
  <c r="AE342" i="2"/>
  <c r="AD342" i="2"/>
  <c r="AC342" i="2"/>
  <c r="AB342" i="2"/>
  <c r="AA342" i="2"/>
  <c r="Z342" i="2"/>
  <c r="Y342" i="2"/>
  <c r="X342" i="2"/>
  <c r="W342" i="2"/>
  <c r="V342" i="2"/>
  <c r="U342" i="2"/>
  <c r="T342" i="2"/>
  <c r="S342" i="2"/>
  <c r="R342" i="2"/>
  <c r="Q342" i="2"/>
  <c r="P342" i="2"/>
  <c r="O342" i="2"/>
  <c r="N342" i="2"/>
  <c r="M342" i="2"/>
  <c r="L342" i="2"/>
  <c r="K342" i="2"/>
  <c r="J342" i="2"/>
  <c r="I342" i="2"/>
  <c r="H342" i="2"/>
  <c r="G342" i="2"/>
  <c r="F342" i="2"/>
  <c r="E342" i="2"/>
  <c r="D342" i="2"/>
  <c r="C342" i="2"/>
  <c r="B342" i="2"/>
  <c r="BF341" i="2"/>
  <c r="BE341" i="2"/>
  <c r="BD341" i="2"/>
  <c r="BC341" i="2"/>
  <c r="BB341" i="2"/>
  <c r="BA341" i="2"/>
  <c r="AZ341" i="2"/>
  <c r="AY341" i="2"/>
  <c r="AX341" i="2"/>
  <c r="AW341" i="2"/>
  <c r="AV341" i="2"/>
  <c r="AU341" i="2"/>
  <c r="AT341" i="2"/>
  <c r="AS341" i="2"/>
  <c r="AR341" i="2"/>
  <c r="AQ341" i="2"/>
  <c r="AP341" i="2"/>
  <c r="AO341" i="2"/>
  <c r="AN341" i="2"/>
  <c r="AM341" i="2"/>
  <c r="AL341" i="2"/>
  <c r="AK341" i="2"/>
  <c r="AJ341" i="2"/>
  <c r="AI341" i="2"/>
  <c r="AH341" i="2"/>
  <c r="AG341" i="2"/>
  <c r="AF341" i="2"/>
  <c r="AE341" i="2"/>
  <c r="AD341" i="2"/>
  <c r="AC341" i="2"/>
  <c r="AB341" i="2"/>
  <c r="AA341" i="2"/>
  <c r="Z341" i="2"/>
  <c r="Y341" i="2"/>
  <c r="X341" i="2"/>
  <c r="W341" i="2"/>
  <c r="V341" i="2"/>
  <c r="U341" i="2"/>
  <c r="T341" i="2"/>
  <c r="S341" i="2"/>
  <c r="R341" i="2"/>
  <c r="Q341" i="2"/>
  <c r="P341" i="2"/>
  <c r="O341" i="2"/>
  <c r="N341" i="2"/>
  <c r="M341" i="2"/>
  <c r="L341" i="2"/>
  <c r="K341" i="2"/>
  <c r="J341" i="2"/>
  <c r="I341" i="2"/>
  <c r="H341" i="2"/>
  <c r="G341" i="2"/>
  <c r="F341" i="2"/>
  <c r="E341" i="2"/>
  <c r="D341" i="2"/>
  <c r="C341" i="2"/>
  <c r="B341" i="2"/>
  <c r="BF340" i="2"/>
  <c r="BE340" i="2"/>
  <c r="BD340" i="2"/>
  <c r="BC340" i="2"/>
  <c r="BB340" i="2"/>
  <c r="BA340" i="2"/>
  <c r="AZ340" i="2"/>
  <c r="AY340" i="2"/>
  <c r="AX340" i="2"/>
  <c r="AW340" i="2"/>
  <c r="AV340" i="2"/>
  <c r="AU340" i="2"/>
  <c r="AT340" i="2"/>
  <c r="AS340" i="2"/>
  <c r="AR340" i="2"/>
  <c r="AQ340" i="2"/>
  <c r="AP340" i="2"/>
  <c r="AO340" i="2"/>
  <c r="AN340" i="2"/>
  <c r="AM340" i="2"/>
  <c r="AL340" i="2"/>
  <c r="AK340" i="2"/>
  <c r="AJ340" i="2"/>
  <c r="AI340" i="2"/>
  <c r="AH340" i="2"/>
  <c r="AG340" i="2"/>
  <c r="AF340" i="2"/>
  <c r="AE340" i="2"/>
  <c r="AD340" i="2"/>
  <c r="AC340" i="2"/>
  <c r="AB340" i="2"/>
  <c r="AA340" i="2"/>
  <c r="Z340" i="2"/>
  <c r="Y340" i="2"/>
  <c r="X340" i="2"/>
  <c r="W340" i="2"/>
  <c r="V340" i="2"/>
  <c r="U340" i="2"/>
  <c r="T340" i="2"/>
  <c r="S340" i="2"/>
  <c r="R340" i="2"/>
  <c r="Q340" i="2"/>
  <c r="P340" i="2"/>
  <c r="O340" i="2"/>
  <c r="N340" i="2"/>
  <c r="M340" i="2"/>
  <c r="L340" i="2"/>
  <c r="K340" i="2"/>
  <c r="J340" i="2"/>
  <c r="I340" i="2"/>
  <c r="H340" i="2"/>
  <c r="G340" i="2"/>
  <c r="F340" i="2"/>
  <c r="E340" i="2"/>
  <c r="D340" i="2"/>
  <c r="C340" i="2"/>
  <c r="B340" i="2"/>
  <c r="BF339" i="2"/>
  <c r="BE339" i="2"/>
  <c r="BD339" i="2"/>
  <c r="BC339" i="2"/>
  <c r="BB339" i="2"/>
  <c r="BA339" i="2"/>
  <c r="AZ339" i="2"/>
  <c r="AY339" i="2"/>
  <c r="AX339" i="2"/>
  <c r="AW339" i="2"/>
  <c r="AV339" i="2"/>
  <c r="AU339" i="2"/>
  <c r="AT339" i="2"/>
  <c r="AS339" i="2"/>
  <c r="AR339" i="2"/>
  <c r="AQ339" i="2"/>
  <c r="AP339" i="2"/>
  <c r="AO339" i="2"/>
  <c r="AN339" i="2"/>
  <c r="AM339" i="2"/>
  <c r="AL339" i="2"/>
  <c r="AK339" i="2"/>
  <c r="AJ339" i="2"/>
  <c r="AI339" i="2"/>
  <c r="AH339" i="2"/>
  <c r="AG339" i="2"/>
  <c r="AF339" i="2"/>
  <c r="AE339" i="2"/>
  <c r="AD339" i="2"/>
  <c r="AC339" i="2"/>
  <c r="AB339" i="2"/>
  <c r="AA339" i="2"/>
  <c r="Z339" i="2"/>
  <c r="Y339" i="2"/>
  <c r="X339" i="2"/>
  <c r="W339" i="2"/>
  <c r="V339" i="2"/>
  <c r="U339" i="2"/>
  <c r="T339" i="2"/>
  <c r="S339" i="2"/>
  <c r="R339" i="2"/>
  <c r="Q339" i="2"/>
  <c r="P339" i="2"/>
  <c r="O339" i="2"/>
  <c r="N339" i="2"/>
  <c r="M339" i="2"/>
  <c r="L339" i="2"/>
  <c r="K339" i="2"/>
  <c r="J339" i="2"/>
  <c r="I339" i="2"/>
  <c r="H339" i="2"/>
  <c r="G339" i="2"/>
  <c r="F339" i="2"/>
  <c r="E339" i="2"/>
  <c r="D339" i="2"/>
  <c r="C339" i="2"/>
  <c r="B339" i="2"/>
  <c r="BF328" i="2"/>
  <c r="BE328" i="2"/>
  <c r="BD328" i="2"/>
  <c r="BC328" i="2"/>
  <c r="BB328" i="2"/>
  <c r="BA328" i="2"/>
  <c r="AZ328" i="2"/>
  <c r="AY328" i="2"/>
  <c r="AX328" i="2"/>
  <c r="AW328" i="2"/>
  <c r="AV328" i="2"/>
  <c r="AU328" i="2"/>
  <c r="AT328" i="2"/>
  <c r="AS328" i="2"/>
  <c r="AR328" i="2"/>
  <c r="AQ328" i="2"/>
  <c r="AP328" i="2"/>
  <c r="AO328" i="2"/>
  <c r="AN328" i="2"/>
  <c r="AM328" i="2"/>
  <c r="AL328" i="2"/>
  <c r="AK328" i="2"/>
  <c r="AJ328" i="2"/>
  <c r="AI328" i="2"/>
  <c r="AH328" i="2"/>
  <c r="AG328" i="2"/>
  <c r="AF328" i="2"/>
  <c r="AE328" i="2"/>
  <c r="AD328" i="2"/>
  <c r="AC328" i="2"/>
  <c r="AB328" i="2"/>
  <c r="AA328" i="2"/>
  <c r="Z328" i="2"/>
  <c r="Y328" i="2"/>
  <c r="X328" i="2"/>
  <c r="W328" i="2"/>
  <c r="V328" i="2"/>
  <c r="U328" i="2"/>
  <c r="T328" i="2"/>
  <c r="S328" i="2"/>
  <c r="R328" i="2"/>
  <c r="Q328" i="2"/>
  <c r="P328" i="2"/>
  <c r="O328" i="2"/>
  <c r="N328" i="2"/>
  <c r="M328" i="2"/>
  <c r="L328" i="2"/>
  <c r="K328" i="2"/>
  <c r="J328" i="2"/>
  <c r="I328" i="2"/>
  <c r="H328" i="2"/>
  <c r="G328" i="2"/>
  <c r="F328" i="2"/>
  <c r="E328" i="2"/>
  <c r="D328" i="2"/>
  <c r="C328" i="2"/>
  <c r="B328" i="2"/>
  <c r="BF327" i="2"/>
  <c r="BE327" i="2"/>
  <c r="BD327" i="2"/>
  <c r="BC327" i="2"/>
  <c r="BB327" i="2"/>
  <c r="BA327" i="2"/>
  <c r="AZ327" i="2"/>
  <c r="AY327" i="2"/>
  <c r="AX327" i="2"/>
  <c r="AW327" i="2"/>
  <c r="AV327" i="2"/>
  <c r="AU327" i="2"/>
  <c r="AT327" i="2"/>
  <c r="AS327" i="2"/>
  <c r="AR327" i="2"/>
  <c r="AQ327" i="2"/>
  <c r="AP327" i="2"/>
  <c r="AO327" i="2"/>
  <c r="AN327" i="2"/>
  <c r="AM327" i="2"/>
  <c r="AL327" i="2"/>
  <c r="AK327" i="2"/>
  <c r="AJ327" i="2"/>
  <c r="AI327" i="2"/>
  <c r="AH327" i="2"/>
  <c r="AG327" i="2"/>
  <c r="AF327" i="2"/>
  <c r="AE327" i="2"/>
  <c r="AD327" i="2"/>
  <c r="AC327" i="2"/>
  <c r="AB327" i="2"/>
  <c r="AA327" i="2"/>
  <c r="Z327" i="2"/>
  <c r="Y327" i="2"/>
  <c r="X327" i="2"/>
  <c r="W327" i="2"/>
  <c r="V327" i="2"/>
  <c r="U327" i="2"/>
  <c r="T327" i="2"/>
  <c r="S327" i="2"/>
  <c r="R327" i="2"/>
  <c r="Q327" i="2"/>
  <c r="P327" i="2"/>
  <c r="O327" i="2"/>
  <c r="N327" i="2"/>
  <c r="M327" i="2"/>
  <c r="L327" i="2"/>
  <c r="K327" i="2"/>
  <c r="J327" i="2"/>
  <c r="I327" i="2"/>
  <c r="H327" i="2"/>
  <c r="G327" i="2"/>
  <c r="F327" i="2"/>
  <c r="E327" i="2"/>
  <c r="D327" i="2"/>
  <c r="C327" i="2"/>
  <c r="B327" i="2"/>
  <c r="BF326" i="2"/>
  <c r="BE326" i="2"/>
  <c r="BD326" i="2"/>
  <c r="BC326" i="2"/>
  <c r="BB326" i="2"/>
  <c r="BA326" i="2"/>
  <c r="AZ326" i="2"/>
  <c r="AY326" i="2"/>
  <c r="AX326" i="2"/>
  <c r="AW326" i="2"/>
  <c r="AV326" i="2"/>
  <c r="AU326" i="2"/>
  <c r="AT326" i="2"/>
  <c r="AS326" i="2"/>
  <c r="AR326" i="2"/>
  <c r="AQ326" i="2"/>
  <c r="AP326" i="2"/>
  <c r="AO326" i="2"/>
  <c r="AN326" i="2"/>
  <c r="AM326" i="2"/>
  <c r="AL326" i="2"/>
  <c r="AK326" i="2"/>
  <c r="AJ326" i="2"/>
  <c r="AI326" i="2"/>
  <c r="AH326" i="2"/>
  <c r="AG326" i="2"/>
  <c r="AF326" i="2"/>
  <c r="AE326" i="2"/>
  <c r="AD326" i="2"/>
  <c r="AC326" i="2"/>
  <c r="AB326" i="2"/>
  <c r="AA326" i="2"/>
  <c r="Z326" i="2"/>
  <c r="Y326" i="2"/>
  <c r="X326" i="2"/>
  <c r="W326" i="2"/>
  <c r="V326" i="2"/>
  <c r="U326" i="2"/>
  <c r="T326" i="2"/>
  <c r="S326" i="2"/>
  <c r="R326" i="2"/>
  <c r="Q326" i="2"/>
  <c r="P326" i="2"/>
  <c r="O326" i="2"/>
  <c r="N326" i="2"/>
  <c r="M326" i="2"/>
  <c r="L326" i="2"/>
  <c r="K326" i="2"/>
  <c r="J326" i="2"/>
  <c r="I326" i="2"/>
  <c r="H326" i="2"/>
  <c r="G326" i="2"/>
  <c r="F326" i="2"/>
  <c r="E326" i="2"/>
  <c r="D326" i="2"/>
  <c r="C326" i="2"/>
  <c r="B326" i="2"/>
  <c r="BF325" i="2"/>
  <c r="BE325" i="2"/>
  <c r="BD325" i="2"/>
  <c r="BC325" i="2"/>
  <c r="BB325" i="2"/>
  <c r="BA325" i="2"/>
  <c r="AZ325" i="2"/>
  <c r="AY325" i="2"/>
  <c r="AX325" i="2"/>
  <c r="AW325" i="2"/>
  <c r="AV325" i="2"/>
  <c r="AU325" i="2"/>
  <c r="AT325" i="2"/>
  <c r="AS325" i="2"/>
  <c r="AR325" i="2"/>
  <c r="AQ325" i="2"/>
  <c r="AP325" i="2"/>
  <c r="AO325" i="2"/>
  <c r="AN325" i="2"/>
  <c r="AM325" i="2"/>
  <c r="AL325" i="2"/>
  <c r="AK325" i="2"/>
  <c r="AJ325" i="2"/>
  <c r="AI325" i="2"/>
  <c r="AH325" i="2"/>
  <c r="AG325" i="2"/>
  <c r="AF325" i="2"/>
  <c r="AE325" i="2"/>
  <c r="AD325" i="2"/>
  <c r="AC325" i="2"/>
  <c r="AB325" i="2"/>
  <c r="AA325" i="2"/>
  <c r="Z325" i="2"/>
  <c r="Y325" i="2"/>
  <c r="X325" i="2"/>
  <c r="W325" i="2"/>
  <c r="V325" i="2"/>
  <c r="U325" i="2"/>
  <c r="T325" i="2"/>
  <c r="S325" i="2"/>
  <c r="R325" i="2"/>
  <c r="Q325" i="2"/>
  <c r="P325" i="2"/>
  <c r="O325" i="2"/>
  <c r="N325" i="2"/>
  <c r="M325" i="2"/>
  <c r="L325" i="2"/>
  <c r="K325" i="2"/>
  <c r="J325" i="2"/>
  <c r="I325" i="2"/>
  <c r="H325" i="2"/>
  <c r="G325" i="2"/>
  <c r="F325" i="2"/>
  <c r="E325" i="2"/>
  <c r="D325" i="2"/>
  <c r="C325" i="2"/>
  <c r="B325" i="2"/>
  <c r="BF324" i="2"/>
  <c r="BE324" i="2"/>
  <c r="BD324" i="2"/>
  <c r="BC324" i="2"/>
  <c r="BB324" i="2"/>
  <c r="BA324" i="2"/>
  <c r="AZ324" i="2"/>
  <c r="AY324" i="2"/>
  <c r="AX324" i="2"/>
  <c r="AW324" i="2"/>
  <c r="AV324" i="2"/>
  <c r="AU324" i="2"/>
  <c r="AT324" i="2"/>
  <c r="AS324" i="2"/>
  <c r="AR324" i="2"/>
  <c r="AQ324" i="2"/>
  <c r="AP324" i="2"/>
  <c r="AO324" i="2"/>
  <c r="AN324" i="2"/>
  <c r="AM324" i="2"/>
  <c r="AL324" i="2"/>
  <c r="AK324" i="2"/>
  <c r="AJ324" i="2"/>
  <c r="AI324" i="2"/>
  <c r="AH324" i="2"/>
  <c r="AG324" i="2"/>
  <c r="AF324" i="2"/>
  <c r="AE324" i="2"/>
  <c r="AD324" i="2"/>
  <c r="AC324" i="2"/>
  <c r="AB324" i="2"/>
  <c r="AA324" i="2"/>
  <c r="Z324" i="2"/>
  <c r="Y324" i="2"/>
  <c r="X324" i="2"/>
  <c r="W324" i="2"/>
  <c r="V324" i="2"/>
  <c r="U324" i="2"/>
  <c r="T324" i="2"/>
  <c r="S324" i="2"/>
  <c r="R324" i="2"/>
  <c r="Q324" i="2"/>
  <c r="P324" i="2"/>
  <c r="O324" i="2"/>
  <c r="N324" i="2"/>
  <c r="M324" i="2"/>
  <c r="L324" i="2"/>
  <c r="K324" i="2"/>
  <c r="J324" i="2"/>
  <c r="I324" i="2"/>
  <c r="H324" i="2"/>
  <c r="G324" i="2"/>
  <c r="F324" i="2"/>
  <c r="E324" i="2"/>
  <c r="D324" i="2"/>
  <c r="C324" i="2"/>
  <c r="B324" i="2"/>
  <c r="BF323" i="2"/>
  <c r="BE323" i="2"/>
  <c r="BD323" i="2"/>
  <c r="BC323" i="2"/>
  <c r="BB323" i="2"/>
  <c r="BA323" i="2"/>
  <c r="AZ323" i="2"/>
  <c r="AY323" i="2"/>
  <c r="AX323" i="2"/>
  <c r="AW323" i="2"/>
  <c r="AV323" i="2"/>
  <c r="AU323" i="2"/>
  <c r="AT323" i="2"/>
  <c r="AS323" i="2"/>
  <c r="AR323" i="2"/>
  <c r="AQ323" i="2"/>
  <c r="AP323" i="2"/>
  <c r="AO323" i="2"/>
  <c r="AN323" i="2"/>
  <c r="AM323" i="2"/>
  <c r="AL323" i="2"/>
  <c r="AK323" i="2"/>
  <c r="AJ323" i="2"/>
  <c r="AI323" i="2"/>
  <c r="AH323" i="2"/>
  <c r="AG323" i="2"/>
  <c r="AF323" i="2"/>
  <c r="AE323" i="2"/>
  <c r="AD323" i="2"/>
  <c r="AC323" i="2"/>
  <c r="AB323" i="2"/>
  <c r="AA323" i="2"/>
  <c r="Z323" i="2"/>
  <c r="Y323" i="2"/>
  <c r="X323" i="2"/>
  <c r="W323" i="2"/>
  <c r="V323" i="2"/>
  <c r="U323" i="2"/>
  <c r="T323" i="2"/>
  <c r="S323" i="2"/>
  <c r="R323" i="2"/>
  <c r="Q323" i="2"/>
  <c r="P323" i="2"/>
  <c r="O323" i="2"/>
  <c r="N323" i="2"/>
  <c r="M323" i="2"/>
  <c r="L323" i="2"/>
  <c r="K323" i="2"/>
  <c r="J323" i="2"/>
  <c r="I323" i="2"/>
  <c r="H323" i="2"/>
  <c r="G323" i="2"/>
  <c r="F323" i="2"/>
  <c r="E323" i="2"/>
  <c r="D323" i="2"/>
  <c r="C323" i="2"/>
  <c r="B323" i="2"/>
  <c r="BF322" i="2"/>
  <c r="BE322" i="2"/>
  <c r="BD322" i="2"/>
  <c r="BC322" i="2"/>
  <c r="BB322" i="2"/>
  <c r="BA322" i="2"/>
  <c r="AZ322" i="2"/>
  <c r="AY322" i="2"/>
  <c r="AX322" i="2"/>
  <c r="AW322" i="2"/>
  <c r="AV322" i="2"/>
  <c r="AU322" i="2"/>
  <c r="AT322" i="2"/>
  <c r="AS322" i="2"/>
  <c r="AR322" i="2"/>
  <c r="AQ322" i="2"/>
  <c r="AP322" i="2"/>
  <c r="AO322" i="2"/>
  <c r="AN322" i="2"/>
  <c r="AM322" i="2"/>
  <c r="AL322" i="2"/>
  <c r="AK322" i="2"/>
  <c r="AJ322" i="2"/>
  <c r="AI322" i="2"/>
  <c r="AH322" i="2"/>
  <c r="AG322" i="2"/>
  <c r="AF322" i="2"/>
  <c r="AE322" i="2"/>
  <c r="AD322" i="2"/>
  <c r="AC322" i="2"/>
  <c r="AB322" i="2"/>
  <c r="AA322" i="2"/>
  <c r="Z322" i="2"/>
  <c r="Y322" i="2"/>
  <c r="X322" i="2"/>
  <c r="W322" i="2"/>
  <c r="V322" i="2"/>
  <c r="U322" i="2"/>
  <c r="T322" i="2"/>
  <c r="S322" i="2"/>
  <c r="R322" i="2"/>
  <c r="Q322" i="2"/>
  <c r="P322" i="2"/>
  <c r="O322" i="2"/>
  <c r="N322" i="2"/>
  <c r="M322" i="2"/>
  <c r="L322" i="2"/>
  <c r="K322" i="2"/>
  <c r="J322" i="2"/>
  <c r="I322" i="2"/>
  <c r="H322" i="2"/>
  <c r="G322" i="2"/>
  <c r="F322" i="2"/>
  <c r="E322" i="2"/>
  <c r="D322" i="2"/>
  <c r="C322" i="2"/>
  <c r="B322" i="2"/>
  <c r="BF321" i="2"/>
  <c r="BE321" i="2"/>
  <c r="BD321" i="2"/>
  <c r="BC321" i="2"/>
  <c r="BB321" i="2"/>
  <c r="BA321" i="2"/>
  <c r="AZ321" i="2"/>
  <c r="AY321" i="2"/>
  <c r="AX321" i="2"/>
  <c r="AW321" i="2"/>
  <c r="AV321" i="2"/>
  <c r="AU321" i="2"/>
  <c r="AT321" i="2"/>
  <c r="AS321" i="2"/>
  <c r="AR321" i="2"/>
  <c r="AQ321" i="2"/>
  <c r="AP321" i="2"/>
  <c r="AO321" i="2"/>
  <c r="AN321" i="2"/>
  <c r="AM321" i="2"/>
  <c r="AL321" i="2"/>
  <c r="AK321" i="2"/>
  <c r="AJ321" i="2"/>
  <c r="AI321" i="2"/>
  <c r="AH321" i="2"/>
  <c r="AG321" i="2"/>
  <c r="AF321" i="2"/>
  <c r="AE321" i="2"/>
  <c r="AD321" i="2"/>
  <c r="AC321" i="2"/>
  <c r="AB321" i="2"/>
  <c r="AA321" i="2"/>
  <c r="Z321" i="2"/>
  <c r="Y321" i="2"/>
  <c r="X321" i="2"/>
  <c r="W321" i="2"/>
  <c r="V321" i="2"/>
  <c r="U321" i="2"/>
  <c r="T321" i="2"/>
  <c r="S321" i="2"/>
  <c r="R321" i="2"/>
  <c r="Q321" i="2"/>
  <c r="P321" i="2"/>
  <c r="O321" i="2"/>
  <c r="N321" i="2"/>
  <c r="M321" i="2"/>
  <c r="L321" i="2"/>
  <c r="K321" i="2"/>
  <c r="J321" i="2"/>
  <c r="I321" i="2"/>
  <c r="H321" i="2"/>
  <c r="G321" i="2"/>
  <c r="F321" i="2"/>
  <c r="E321" i="2"/>
  <c r="D321" i="2"/>
  <c r="C321" i="2"/>
  <c r="B321" i="2"/>
  <c r="BF320" i="2"/>
  <c r="BE320" i="2"/>
  <c r="BD320" i="2"/>
  <c r="BC320" i="2"/>
  <c r="BB320" i="2"/>
  <c r="BA320" i="2"/>
  <c r="AZ320" i="2"/>
  <c r="AY320" i="2"/>
  <c r="AX320" i="2"/>
  <c r="AW320" i="2"/>
  <c r="AV320" i="2"/>
  <c r="AU320" i="2"/>
  <c r="AT320" i="2"/>
  <c r="AS320" i="2"/>
  <c r="AR320" i="2"/>
  <c r="AQ320" i="2"/>
  <c r="AP320" i="2"/>
  <c r="AO320" i="2"/>
  <c r="AN320" i="2"/>
  <c r="AM320" i="2"/>
  <c r="AL320" i="2"/>
  <c r="AK320" i="2"/>
  <c r="AJ320" i="2"/>
  <c r="AI320" i="2"/>
  <c r="AH320" i="2"/>
  <c r="AG320" i="2"/>
  <c r="AF320" i="2"/>
  <c r="AE320" i="2"/>
  <c r="AD320" i="2"/>
  <c r="AC320" i="2"/>
  <c r="AB320" i="2"/>
  <c r="AA320" i="2"/>
  <c r="Z320" i="2"/>
  <c r="Y320" i="2"/>
  <c r="X320" i="2"/>
  <c r="W320" i="2"/>
  <c r="V320" i="2"/>
  <c r="U320" i="2"/>
  <c r="T320" i="2"/>
  <c r="S320" i="2"/>
  <c r="R320" i="2"/>
  <c r="Q320" i="2"/>
  <c r="P320" i="2"/>
  <c r="O320" i="2"/>
  <c r="N320" i="2"/>
  <c r="M320" i="2"/>
  <c r="L320" i="2"/>
  <c r="K320" i="2"/>
  <c r="J320" i="2"/>
  <c r="I320" i="2"/>
  <c r="H320" i="2"/>
  <c r="G320" i="2"/>
  <c r="F320" i="2"/>
  <c r="E320" i="2"/>
  <c r="D320" i="2"/>
  <c r="C320" i="2"/>
  <c r="B320" i="2"/>
  <c r="BF319" i="2"/>
  <c r="BE319" i="2"/>
  <c r="BD319" i="2"/>
  <c r="BC319" i="2"/>
  <c r="BB319" i="2"/>
  <c r="BA319" i="2"/>
  <c r="AZ319" i="2"/>
  <c r="AY319" i="2"/>
  <c r="AX319" i="2"/>
  <c r="AW319" i="2"/>
  <c r="AV319" i="2"/>
  <c r="AU319" i="2"/>
  <c r="AT319" i="2"/>
  <c r="AS319" i="2"/>
  <c r="AR319" i="2"/>
  <c r="AQ319" i="2"/>
  <c r="AP319" i="2"/>
  <c r="AO319" i="2"/>
  <c r="AN319" i="2"/>
  <c r="AM319" i="2"/>
  <c r="AL319" i="2"/>
  <c r="AK319" i="2"/>
  <c r="AJ319" i="2"/>
  <c r="AI319" i="2"/>
  <c r="AH319" i="2"/>
  <c r="AG319" i="2"/>
  <c r="AF319" i="2"/>
  <c r="AE319" i="2"/>
  <c r="AD319" i="2"/>
  <c r="AC319" i="2"/>
  <c r="AB319" i="2"/>
  <c r="AA319" i="2"/>
  <c r="Z319" i="2"/>
  <c r="Y319" i="2"/>
  <c r="X319" i="2"/>
  <c r="W319" i="2"/>
  <c r="V319" i="2"/>
  <c r="U319" i="2"/>
  <c r="T319" i="2"/>
  <c r="S319" i="2"/>
  <c r="R319" i="2"/>
  <c r="Q319" i="2"/>
  <c r="P319" i="2"/>
  <c r="O319" i="2"/>
  <c r="N319" i="2"/>
  <c r="M319" i="2"/>
  <c r="L319" i="2"/>
  <c r="K319" i="2"/>
  <c r="J319" i="2"/>
  <c r="I319" i="2"/>
  <c r="H319" i="2"/>
  <c r="G319" i="2"/>
  <c r="F319" i="2"/>
  <c r="E319" i="2"/>
  <c r="D319" i="2"/>
  <c r="C319" i="2"/>
  <c r="B319" i="2"/>
  <c r="BF318" i="2"/>
  <c r="BE318" i="2"/>
  <c r="BD318" i="2"/>
  <c r="BC318" i="2"/>
  <c r="BB318" i="2"/>
  <c r="BA318" i="2"/>
  <c r="AZ318" i="2"/>
  <c r="AY318" i="2"/>
  <c r="AX318" i="2"/>
  <c r="AW318" i="2"/>
  <c r="AV318" i="2"/>
  <c r="AU318" i="2"/>
  <c r="AT318" i="2"/>
  <c r="AS318" i="2"/>
  <c r="AR318" i="2"/>
  <c r="AQ318" i="2"/>
  <c r="AP318" i="2"/>
  <c r="AO318" i="2"/>
  <c r="AN318" i="2"/>
  <c r="AM318" i="2"/>
  <c r="AL318" i="2"/>
  <c r="AK318" i="2"/>
  <c r="AJ318" i="2"/>
  <c r="AI318" i="2"/>
  <c r="AH318" i="2"/>
  <c r="AG318" i="2"/>
  <c r="AF318" i="2"/>
  <c r="AE318" i="2"/>
  <c r="AD318" i="2"/>
  <c r="AC318" i="2"/>
  <c r="AB318" i="2"/>
  <c r="AA318" i="2"/>
  <c r="Z318" i="2"/>
  <c r="Y318" i="2"/>
  <c r="X318" i="2"/>
  <c r="W318" i="2"/>
  <c r="V318" i="2"/>
  <c r="U318" i="2"/>
  <c r="T318" i="2"/>
  <c r="S318" i="2"/>
  <c r="R318" i="2"/>
  <c r="Q318" i="2"/>
  <c r="P318" i="2"/>
  <c r="O318" i="2"/>
  <c r="N318" i="2"/>
  <c r="M318" i="2"/>
  <c r="L318" i="2"/>
  <c r="K318" i="2"/>
  <c r="J318" i="2"/>
  <c r="I318" i="2"/>
  <c r="H318" i="2"/>
  <c r="G318" i="2"/>
  <c r="F318" i="2"/>
  <c r="E318" i="2"/>
  <c r="D318" i="2"/>
  <c r="C318" i="2"/>
  <c r="B318" i="2"/>
  <c r="BF317" i="2"/>
  <c r="BE317" i="2"/>
  <c r="BD317" i="2"/>
  <c r="BC317" i="2"/>
  <c r="BB317" i="2"/>
  <c r="BA317" i="2"/>
  <c r="AZ317" i="2"/>
  <c r="AY317" i="2"/>
  <c r="AX317" i="2"/>
  <c r="AW317" i="2"/>
  <c r="AV317" i="2"/>
  <c r="AU317" i="2"/>
  <c r="AT317" i="2"/>
  <c r="AS317" i="2"/>
  <c r="AR317" i="2"/>
  <c r="AQ317" i="2"/>
  <c r="AP317" i="2"/>
  <c r="AO317" i="2"/>
  <c r="AN317" i="2"/>
  <c r="AM317" i="2"/>
  <c r="AL317" i="2"/>
  <c r="AK317" i="2"/>
  <c r="AJ317" i="2"/>
  <c r="AI317" i="2"/>
  <c r="AH317" i="2"/>
  <c r="AG317" i="2"/>
  <c r="AF317" i="2"/>
  <c r="AE317" i="2"/>
  <c r="AD317" i="2"/>
  <c r="AC317" i="2"/>
  <c r="AB317" i="2"/>
  <c r="AA317" i="2"/>
  <c r="Z317" i="2"/>
  <c r="Y317" i="2"/>
  <c r="X317" i="2"/>
  <c r="W317" i="2"/>
  <c r="V317" i="2"/>
  <c r="U317" i="2"/>
  <c r="T317" i="2"/>
  <c r="S317" i="2"/>
  <c r="R317" i="2"/>
  <c r="Q317" i="2"/>
  <c r="P317" i="2"/>
  <c r="O317" i="2"/>
  <c r="N317" i="2"/>
  <c r="M317" i="2"/>
  <c r="L317" i="2"/>
  <c r="K317" i="2"/>
  <c r="J317" i="2"/>
  <c r="I317" i="2"/>
  <c r="H317" i="2"/>
  <c r="G317" i="2"/>
  <c r="F317" i="2"/>
  <c r="E317" i="2"/>
  <c r="D317" i="2"/>
  <c r="C317" i="2"/>
  <c r="B317" i="2"/>
  <c r="BF316" i="2"/>
  <c r="BE316" i="2"/>
  <c r="BD316" i="2"/>
  <c r="BC316" i="2"/>
  <c r="BB316" i="2"/>
  <c r="BA316" i="2"/>
  <c r="AZ316" i="2"/>
  <c r="AY316" i="2"/>
  <c r="AX316" i="2"/>
  <c r="AW316" i="2"/>
  <c r="AV316" i="2"/>
  <c r="AU316" i="2"/>
  <c r="AT316" i="2"/>
  <c r="AS316" i="2"/>
  <c r="AR316" i="2"/>
  <c r="AQ316" i="2"/>
  <c r="AP316" i="2"/>
  <c r="AO316" i="2"/>
  <c r="AN316" i="2"/>
  <c r="AM316" i="2"/>
  <c r="AL316" i="2"/>
  <c r="AK316" i="2"/>
  <c r="AJ316" i="2"/>
  <c r="AI316" i="2"/>
  <c r="AH316" i="2"/>
  <c r="AG316" i="2"/>
  <c r="AF316" i="2"/>
  <c r="AE316" i="2"/>
  <c r="AD316" i="2"/>
  <c r="AC316" i="2"/>
  <c r="AB316" i="2"/>
  <c r="AA316" i="2"/>
  <c r="Z316" i="2"/>
  <c r="Y316" i="2"/>
  <c r="X316" i="2"/>
  <c r="W316" i="2"/>
  <c r="V316" i="2"/>
  <c r="U316" i="2"/>
  <c r="T316" i="2"/>
  <c r="S316" i="2"/>
  <c r="R316" i="2"/>
  <c r="Q316" i="2"/>
  <c r="P316" i="2"/>
  <c r="O316" i="2"/>
  <c r="N316" i="2"/>
  <c r="M316" i="2"/>
  <c r="L316" i="2"/>
  <c r="K316" i="2"/>
  <c r="J316" i="2"/>
  <c r="I316" i="2"/>
  <c r="H316" i="2"/>
  <c r="G316" i="2"/>
  <c r="F316" i="2"/>
  <c r="E316" i="2"/>
  <c r="D316" i="2"/>
  <c r="C316" i="2"/>
  <c r="B316" i="2"/>
  <c r="BF315" i="2"/>
  <c r="BE315" i="2"/>
  <c r="BD315" i="2"/>
  <c r="BC315" i="2"/>
  <c r="BB315" i="2"/>
  <c r="BA315" i="2"/>
  <c r="AZ315" i="2"/>
  <c r="AY315" i="2"/>
  <c r="AX315" i="2"/>
  <c r="AW315" i="2"/>
  <c r="AV315" i="2"/>
  <c r="AU315" i="2"/>
  <c r="AT315" i="2"/>
  <c r="AS315" i="2"/>
  <c r="AR315" i="2"/>
  <c r="AQ315" i="2"/>
  <c r="AP315" i="2"/>
  <c r="AO315" i="2"/>
  <c r="AN315" i="2"/>
  <c r="AM315" i="2"/>
  <c r="AL315" i="2"/>
  <c r="AK315" i="2"/>
  <c r="AJ315" i="2"/>
  <c r="AI315" i="2"/>
  <c r="AH315" i="2"/>
  <c r="AG315" i="2"/>
  <c r="AF315" i="2"/>
  <c r="AE315" i="2"/>
  <c r="AD315" i="2"/>
  <c r="AC315" i="2"/>
  <c r="AB315" i="2"/>
  <c r="AA315" i="2"/>
  <c r="Z315" i="2"/>
  <c r="Y315" i="2"/>
  <c r="X315" i="2"/>
  <c r="W315" i="2"/>
  <c r="V315" i="2"/>
  <c r="U315" i="2"/>
  <c r="T315" i="2"/>
  <c r="S315" i="2"/>
  <c r="R315" i="2"/>
  <c r="Q315" i="2"/>
  <c r="P315" i="2"/>
  <c r="O315" i="2"/>
  <c r="N315" i="2"/>
  <c r="M315" i="2"/>
  <c r="L315" i="2"/>
  <c r="K315" i="2"/>
  <c r="J315" i="2"/>
  <c r="I315" i="2"/>
  <c r="H315" i="2"/>
  <c r="G315" i="2"/>
  <c r="F315" i="2"/>
  <c r="E315" i="2"/>
  <c r="D315" i="2"/>
  <c r="C315" i="2"/>
  <c r="B315" i="2"/>
  <c r="BF314" i="2"/>
  <c r="BE314" i="2"/>
  <c r="BD314" i="2"/>
  <c r="BC314" i="2"/>
  <c r="BB314" i="2"/>
  <c r="BA314" i="2"/>
  <c r="AZ314" i="2"/>
  <c r="AY314" i="2"/>
  <c r="AX314" i="2"/>
  <c r="AW314" i="2"/>
  <c r="AV314" i="2"/>
  <c r="AU314" i="2"/>
  <c r="AT314" i="2"/>
  <c r="AS314" i="2"/>
  <c r="AR314" i="2"/>
  <c r="AQ314" i="2"/>
  <c r="AP314" i="2"/>
  <c r="AO314" i="2"/>
  <c r="AN314" i="2"/>
  <c r="AM314" i="2"/>
  <c r="AL314" i="2"/>
  <c r="AK314" i="2"/>
  <c r="AJ314" i="2"/>
  <c r="AI314" i="2"/>
  <c r="AH314" i="2"/>
  <c r="AG314" i="2"/>
  <c r="AF314" i="2"/>
  <c r="AE314" i="2"/>
  <c r="AD314" i="2"/>
  <c r="AC314" i="2"/>
  <c r="AB314" i="2"/>
  <c r="AA314" i="2"/>
  <c r="Z314" i="2"/>
  <c r="Y314" i="2"/>
  <c r="X314" i="2"/>
  <c r="W314" i="2"/>
  <c r="V314" i="2"/>
  <c r="U314" i="2"/>
  <c r="T314" i="2"/>
  <c r="S314" i="2"/>
  <c r="R314" i="2"/>
  <c r="Q314" i="2"/>
  <c r="P314" i="2"/>
  <c r="O314" i="2"/>
  <c r="N314" i="2"/>
  <c r="M314" i="2"/>
  <c r="L314" i="2"/>
  <c r="K314" i="2"/>
  <c r="J314" i="2"/>
  <c r="I314" i="2"/>
  <c r="H314" i="2"/>
  <c r="G314" i="2"/>
  <c r="F314" i="2"/>
  <c r="E314" i="2"/>
  <c r="D314" i="2"/>
  <c r="C314" i="2"/>
  <c r="B314" i="2"/>
  <c r="BF313" i="2"/>
  <c r="BE313" i="2"/>
  <c r="BD313" i="2"/>
  <c r="BC313" i="2"/>
  <c r="BB313" i="2"/>
  <c r="BA313" i="2"/>
  <c r="AZ313" i="2"/>
  <c r="AY313" i="2"/>
  <c r="AX313" i="2"/>
  <c r="AW313" i="2"/>
  <c r="AV313" i="2"/>
  <c r="AU313" i="2"/>
  <c r="AT313" i="2"/>
  <c r="AS313" i="2"/>
  <c r="AR313" i="2"/>
  <c r="AQ313" i="2"/>
  <c r="AP313" i="2"/>
  <c r="AO313" i="2"/>
  <c r="AN313" i="2"/>
  <c r="AM313" i="2"/>
  <c r="AL313" i="2"/>
  <c r="AK313" i="2"/>
  <c r="AJ313" i="2"/>
  <c r="AI313" i="2"/>
  <c r="AH313" i="2"/>
  <c r="AG313" i="2"/>
  <c r="AF313" i="2"/>
  <c r="AE313" i="2"/>
  <c r="AD313" i="2"/>
  <c r="AC313" i="2"/>
  <c r="AB313" i="2"/>
  <c r="AA313" i="2"/>
  <c r="Z313" i="2"/>
  <c r="Y313" i="2"/>
  <c r="X313" i="2"/>
  <c r="W313" i="2"/>
  <c r="V313" i="2"/>
  <c r="U313" i="2"/>
  <c r="T313" i="2"/>
  <c r="S313" i="2"/>
  <c r="R313" i="2"/>
  <c r="Q313" i="2"/>
  <c r="P313" i="2"/>
  <c r="O313" i="2"/>
  <c r="N313" i="2"/>
  <c r="M313" i="2"/>
  <c r="L313" i="2"/>
  <c r="K313" i="2"/>
  <c r="J313" i="2"/>
  <c r="I313" i="2"/>
  <c r="H313" i="2"/>
  <c r="G313" i="2"/>
  <c r="F313" i="2"/>
  <c r="E313" i="2"/>
  <c r="D313" i="2"/>
  <c r="C313" i="2"/>
  <c r="B313" i="2"/>
  <c r="BF312" i="2"/>
  <c r="BE312" i="2"/>
  <c r="BD312" i="2"/>
  <c r="BC312" i="2"/>
  <c r="BB312" i="2"/>
  <c r="BA312" i="2"/>
  <c r="AZ312" i="2"/>
  <c r="AY312" i="2"/>
  <c r="AX312" i="2"/>
  <c r="AW312" i="2"/>
  <c r="AV312" i="2"/>
  <c r="AU312" i="2"/>
  <c r="AT312" i="2"/>
  <c r="AS312" i="2"/>
  <c r="AR312" i="2"/>
  <c r="AQ312" i="2"/>
  <c r="AP312" i="2"/>
  <c r="AO312" i="2"/>
  <c r="AN312" i="2"/>
  <c r="AM312" i="2"/>
  <c r="AL312" i="2"/>
  <c r="AK312" i="2"/>
  <c r="AJ312" i="2"/>
  <c r="AI312" i="2"/>
  <c r="AH312" i="2"/>
  <c r="AG312" i="2"/>
  <c r="AF312" i="2"/>
  <c r="AE312" i="2"/>
  <c r="AD312" i="2"/>
  <c r="AC312" i="2"/>
  <c r="AB312" i="2"/>
  <c r="AA312" i="2"/>
  <c r="Z312" i="2"/>
  <c r="Y312" i="2"/>
  <c r="X312" i="2"/>
  <c r="W312" i="2"/>
  <c r="V312" i="2"/>
  <c r="U312" i="2"/>
  <c r="T312" i="2"/>
  <c r="S312" i="2"/>
  <c r="R312" i="2"/>
  <c r="Q312" i="2"/>
  <c r="P312" i="2"/>
  <c r="O312" i="2"/>
  <c r="N312" i="2"/>
  <c r="M312" i="2"/>
  <c r="L312" i="2"/>
  <c r="K312" i="2"/>
  <c r="J312" i="2"/>
  <c r="I312" i="2"/>
  <c r="H312" i="2"/>
  <c r="G312" i="2"/>
  <c r="F312" i="2"/>
  <c r="E312" i="2"/>
  <c r="D312" i="2"/>
  <c r="C312" i="2"/>
  <c r="B312" i="2"/>
  <c r="BF311" i="2"/>
  <c r="BE311" i="2"/>
  <c r="BD311" i="2"/>
  <c r="BC311" i="2"/>
  <c r="BB311" i="2"/>
  <c r="BA311" i="2"/>
  <c r="AZ311" i="2"/>
  <c r="AY311" i="2"/>
  <c r="AX311" i="2"/>
  <c r="AW311" i="2"/>
  <c r="AV311" i="2"/>
  <c r="AU311" i="2"/>
  <c r="AT311" i="2"/>
  <c r="AS311" i="2"/>
  <c r="AR311" i="2"/>
  <c r="AQ311" i="2"/>
  <c r="AP311" i="2"/>
  <c r="AO311" i="2"/>
  <c r="AN311" i="2"/>
  <c r="AM311" i="2"/>
  <c r="AL311" i="2"/>
  <c r="AK311" i="2"/>
  <c r="AJ311" i="2"/>
  <c r="AI311" i="2"/>
  <c r="AH311" i="2"/>
  <c r="AG311" i="2"/>
  <c r="AF311" i="2"/>
  <c r="AE311" i="2"/>
  <c r="AD311" i="2"/>
  <c r="AC311" i="2"/>
  <c r="AB311" i="2"/>
  <c r="AA311" i="2"/>
  <c r="Z311" i="2"/>
  <c r="Y311" i="2"/>
  <c r="X311" i="2"/>
  <c r="W311" i="2"/>
  <c r="V311" i="2"/>
  <c r="U311" i="2"/>
  <c r="T311" i="2"/>
  <c r="S311" i="2"/>
  <c r="R311" i="2"/>
  <c r="Q311" i="2"/>
  <c r="P311" i="2"/>
  <c r="O311" i="2"/>
  <c r="N311" i="2"/>
  <c r="M311" i="2"/>
  <c r="L311" i="2"/>
  <c r="K311" i="2"/>
  <c r="J311" i="2"/>
  <c r="I311" i="2"/>
  <c r="H311" i="2"/>
  <c r="G311" i="2"/>
  <c r="F311" i="2"/>
  <c r="E311" i="2"/>
  <c r="D311" i="2"/>
  <c r="C311" i="2"/>
  <c r="B311" i="2"/>
  <c r="BF310" i="2"/>
  <c r="BE310" i="2"/>
  <c r="BD310" i="2"/>
  <c r="BC310" i="2"/>
  <c r="BB310" i="2"/>
  <c r="BA310" i="2"/>
  <c r="AZ310" i="2"/>
  <c r="AY310" i="2"/>
  <c r="AX310" i="2"/>
  <c r="AW310" i="2"/>
  <c r="AV310" i="2"/>
  <c r="AU310" i="2"/>
  <c r="AT310" i="2"/>
  <c r="AS310" i="2"/>
  <c r="AR310" i="2"/>
  <c r="AQ310" i="2"/>
  <c r="AP310" i="2"/>
  <c r="AO310" i="2"/>
  <c r="AN310" i="2"/>
  <c r="AM310" i="2"/>
  <c r="AL310" i="2"/>
  <c r="AK310" i="2"/>
  <c r="AJ310" i="2"/>
  <c r="AI310" i="2"/>
  <c r="AH310" i="2"/>
  <c r="AG310" i="2"/>
  <c r="AF310" i="2"/>
  <c r="AE310" i="2"/>
  <c r="AD310" i="2"/>
  <c r="AC310" i="2"/>
  <c r="AB310" i="2"/>
  <c r="AA310" i="2"/>
  <c r="Z310" i="2"/>
  <c r="Y310" i="2"/>
  <c r="X310" i="2"/>
  <c r="W310" i="2"/>
  <c r="V310" i="2"/>
  <c r="U310" i="2"/>
  <c r="T310" i="2"/>
  <c r="S310" i="2"/>
  <c r="R310" i="2"/>
  <c r="Q310" i="2"/>
  <c r="P310" i="2"/>
  <c r="O310" i="2"/>
  <c r="N310" i="2"/>
  <c r="M310" i="2"/>
  <c r="L310" i="2"/>
  <c r="K310" i="2"/>
  <c r="J310" i="2"/>
  <c r="I310" i="2"/>
  <c r="H310" i="2"/>
  <c r="G310" i="2"/>
  <c r="F310" i="2"/>
  <c r="E310" i="2"/>
  <c r="D310" i="2"/>
  <c r="C310" i="2"/>
  <c r="B310" i="2"/>
  <c r="BF309" i="2"/>
  <c r="BE309" i="2"/>
  <c r="BD309" i="2"/>
  <c r="BC309" i="2"/>
  <c r="BB309" i="2"/>
  <c r="BA309" i="2"/>
  <c r="AZ309" i="2"/>
  <c r="AY309" i="2"/>
  <c r="AX309" i="2"/>
  <c r="AW309" i="2"/>
  <c r="AV309" i="2"/>
  <c r="AU309" i="2"/>
  <c r="AT309" i="2"/>
  <c r="AS309" i="2"/>
  <c r="AR309" i="2"/>
  <c r="AQ309" i="2"/>
  <c r="AP309" i="2"/>
  <c r="AO309" i="2"/>
  <c r="AN309" i="2"/>
  <c r="AM309" i="2"/>
  <c r="AL309" i="2"/>
  <c r="AK309" i="2"/>
  <c r="AJ309" i="2"/>
  <c r="AI309" i="2"/>
  <c r="AH309" i="2"/>
  <c r="AG309" i="2"/>
  <c r="AF309" i="2"/>
  <c r="AE309" i="2"/>
  <c r="AD309" i="2"/>
  <c r="AC309" i="2"/>
  <c r="AB309" i="2"/>
  <c r="AA309" i="2"/>
  <c r="Z309" i="2"/>
  <c r="Y309" i="2"/>
  <c r="X309" i="2"/>
  <c r="W309" i="2"/>
  <c r="V309" i="2"/>
  <c r="U309" i="2"/>
  <c r="T309" i="2"/>
  <c r="S309" i="2"/>
  <c r="R309" i="2"/>
  <c r="Q309" i="2"/>
  <c r="P309" i="2"/>
  <c r="O309" i="2"/>
  <c r="N309" i="2"/>
  <c r="M309" i="2"/>
  <c r="L309" i="2"/>
  <c r="K309" i="2"/>
  <c r="J309" i="2"/>
  <c r="I309" i="2"/>
  <c r="H309" i="2"/>
  <c r="G309" i="2"/>
  <c r="F309" i="2"/>
  <c r="E309" i="2"/>
  <c r="D309" i="2"/>
  <c r="C309" i="2"/>
  <c r="B309" i="2"/>
  <c r="BF308" i="2"/>
  <c r="BE308" i="2"/>
  <c r="BD308" i="2"/>
  <c r="BC308" i="2"/>
  <c r="BB308" i="2"/>
  <c r="BA308" i="2"/>
  <c r="AZ308" i="2"/>
  <c r="AY308" i="2"/>
  <c r="AX308" i="2"/>
  <c r="AW308" i="2"/>
  <c r="AV308" i="2"/>
  <c r="AU308" i="2"/>
  <c r="AT308" i="2"/>
  <c r="AS308" i="2"/>
  <c r="AR308" i="2"/>
  <c r="AQ308" i="2"/>
  <c r="AP308" i="2"/>
  <c r="AO308" i="2"/>
  <c r="AN308" i="2"/>
  <c r="AM308" i="2"/>
  <c r="AL308" i="2"/>
  <c r="AK308" i="2"/>
  <c r="AJ308" i="2"/>
  <c r="AI308" i="2"/>
  <c r="AH308" i="2"/>
  <c r="AG308" i="2"/>
  <c r="AF308" i="2"/>
  <c r="AE308" i="2"/>
  <c r="AD308" i="2"/>
  <c r="AC308" i="2"/>
  <c r="AB308" i="2"/>
  <c r="AA308" i="2"/>
  <c r="Z308" i="2"/>
  <c r="Y308" i="2"/>
  <c r="X308" i="2"/>
  <c r="W308" i="2"/>
  <c r="V308" i="2"/>
  <c r="U308" i="2"/>
  <c r="T308" i="2"/>
  <c r="S308" i="2"/>
  <c r="R308" i="2"/>
  <c r="Q308" i="2"/>
  <c r="P308" i="2"/>
  <c r="O308" i="2"/>
  <c r="N308" i="2"/>
  <c r="M308" i="2"/>
  <c r="L308" i="2"/>
  <c r="K308" i="2"/>
  <c r="J308" i="2"/>
  <c r="I308" i="2"/>
  <c r="H308" i="2"/>
  <c r="G308" i="2"/>
  <c r="F308" i="2"/>
  <c r="E308" i="2"/>
  <c r="D308" i="2"/>
  <c r="C308" i="2"/>
  <c r="B308" i="2"/>
  <c r="BF181" i="2"/>
  <c r="BE181" i="2"/>
  <c r="BD181" i="2"/>
  <c r="BC181" i="2"/>
  <c r="BB181" i="2"/>
  <c r="BA181" i="2"/>
  <c r="AZ181" i="2"/>
  <c r="AY181" i="2"/>
  <c r="AX181" i="2"/>
  <c r="AW181" i="2"/>
  <c r="AV181" i="2"/>
  <c r="AU181" i="2"/>
  <c r="AT181" i="2"/>
  <c r="AS181" i="2"/>
  <c r="AR181" i="2"/>
  <c r="AQ181" i="2"/>
  <c r="AP181" i="2"/>
  <c r="AO181" i="2"/>
  <c r="AN181" i="2"/>
  <c r="AM181" i="2"/>
  <c r="AL181" i="2"/>
  <c r="AK181" i="2"/>
  <c r="AJ181" i="2"/>
  <c r="AI181" i="2"/>
  <c r="AH181" i="2"/>
  <c r="AG181" i="2"/>
  <c r="AF181" i="2"/>
  <c r="AE181" i="2"/>
  <c r="AD181" i="2"/>
  <c r="AC181" i="2"/>
  <c r="AB181" i="2"/>
  <c r="AA181" i="2"/>
  <c r="Z181" i="2"/>
  <c r="Y181" i="2"/>
  <c r="X181" i="2"/>
  <c r="W181" i="2"/>
  <c r="V181" i="2"/>
  <c r="U181" i="2"/>
  <c r="T181" i="2"/>
  <c r="S181" i="2"/>
  <c r="R181" i="2"/>
  <c r="Q181" i="2"/>
  <c r="P181" i="2"/>
  <c r="O181" i="2"/>
  <c r="N181" i="2"/>
  <c r="M181" i="2"/>
  <c r="L181" i="2"/>
  <c r="K181" i="2"/>
  <c r="J181" i="2"/>
  <c r="I181" i="2"/>
  <c r="H181" i="2"/>
  <c r="G181" i="2"/>
  <c r="F181" i="2"/>
  <c r="E181" i="2"/>
  <c r="D181" i="2"/>
  <c r="C181" i="2"/>
  <c r="BF180" i="2"/>
  <c r="BE180" i="2"/>
  <c r="BD180" i="2"/>
  <c r="BC180" i="2"/>
  <c r="BB180" i="2"/>
  <c r="BA180" i="2"/>
  <c r="AZ180" i="2"/>
  <c r="AY180" i="2"/>
  <c r="AX180" i="2"/>
  <c r="AW180" i="2"/>
  <c r="AV180" i="2"/>
  <c r="AU180" i="2"/>
  <c r="AT180" i="2"/>
  <c r="AS180" i="2"/>
  <c r="AR180" i="2"/>
  <c r="AQ180" i="2"/>
  <c r="AP180" i="2"/>
  <c r="AO180" i="2"/>
  <c r="AN180" i="2"/>
  <c r="AM180" i="2"/>
  <c r="AL180" i="2"/>
  <c r="AK180" i="2"/>
  <c r="AJ180" i="2"/>
  <c r="AI180" i="2"/>
  <c r="AH180" i="2"/>
  <c r="AG180" i="2"/>
  <c r="AF180" i="2"/>
  <c r="AE180" i="2"/>
  <c r="AD180" i="2"/>
  <c r="AC180" i="2"/>
  <c r="AB180" i="2"/>
  <c r="AA180" i="2"/>
  <c r="Z180" i="2"/>
  <c r="Y180" i="2"/>
  <c r="X180" i="2"/>
  <c r="W180" i="2"/>
  <c r="V180" i="2"/>
  <c r="U180" i="2"/>
  <c r="T180" i="2"/>
  <c r="S180" i="2"/>
  <c r="R180" i="2"/>
  <c r="Q180" i="2"/>
  <c r="P180" i="2"/>
  <c r="O180" i="2"/>
  <c r="N180" i="2"/>
  <c r="M180" i="2"/>
  <c r="L180" i="2"/>
  <c r="K180" i="2"/>
  <c r="J180" i="2"/>
  <c r="I180" i="2"/>
  <c r="H180" i="2"/>
  <c r="G180" i="2"/>
  <c r="F180" i="2"/>
  <c r="E180" i="2"/>
  <c r="D180" i="2"/>
  <c r="C180" i="2"/>
  <c r="BF179" i="2"/>
  <c r="BE179" i="2"/>
  <c r="BD179" i="2"/>
  <c r="BC179" i="2"/>
  <c r="BB179" i="2"/>
  <c r="BA179" i="2"/>
  <c r="AZ179" i="2"/>
  <c r="AY179" i="2"/>
  <c r="AX179" i="2"/>
  <c r="AW179" i="2"/>
  <c r="AV179" i="2"/>
  <c r="AU179" i="2"/>
  <c r="AT179" i="2"/>
  <c r="AS179" i="2"/>
  <c r="AR179" i="2"/>
  <c r="AQ179" i="2"/>
  <c r="AP179" i="2"/>
  <c r="AO179" i="2"/>
  <c r="AN179" i="2"/>
  <c r="AM179" i="2"/>
  <c r="AL179" i="2"/>
  <c r="AK179" i="2"/>
  <c r="AJ179" i="2"/>
  <c r="AI179" i="2"/>
  <c r="AH179" i="2"/>
  <c r="AG179" i="2"/>
  <c r="AF179" i="2"/>
  <c r="AE179" i="2"/>
  <c r="AD179" i="2"/>
  <c r="AC179" i="2"/>
  <c r="AB179" i="2"/>
  <c r="AA179" i="2"/>
  <c r="Z179" i="2"/>
  <c r="Y179" i="2"/>
  <c r="X179" i="2"/>
  <c r="W179" i="2"/>
  <c r="V179" i="2"/>
  <c r="U179" i="2"/>
  <c r="T179" i="2"/>
  <c r="S179" i="2"/>
  <c r="R179" i="2"/>
  <c r="Q179" i="2"/>
  <c r="P179" i="2"/>
  <c r="O179" i="2"/>
  <c r="N179" i="2"/>
  <c r="M179" i="2"/>
  <c r="L179" i="2"/>
  <c r="K179" i="2"/>
  <c r="J179" i="2"/>
  <c r="I179" i="2"/>
  <c r="H179" i="2"/>
  <c r="G179" i="2"/>
  <c r="F179" i="2"/>
  <c r="E179" i="2"/>
  <c r="D179" i="2"/>
  <c r="C179" i="2"/>
  <c r="BF178" i="2"/>
  <c r="BE178" i="2"/>
  <c r="BD178" i="2"/>
  <c r="BC178" i="2"/>
  <c r="BB178" i="2"/>
  <c r="BA178" i="2"/>
  <c r="AZ178" i="2"/>
  <c r="AY178" i="2"/>
  <c r="AX178" i="2"/>
  <c r="AW178" i="2"/>
  <c r="AV178" i="2"/>
  <c r="AU178" i="2"/>
  <c r="AT178" i="2"/>
  <c r="AS178" i="2"/>
  <c r="AR178" i="2"/>
  <c r="AQ178" i="2"/>
  <c r="AP178" i="2"/>
  <c r="AO178" i="2"/>
  <c r="AN178" i="2"/>
  <c r="AM178" i="2"/>
  <c r="AL178" i="2"/>
  <c r="AK178" i="2"/>
  <c r="AJ178" i="2"/>
  <c r="AI178" i="2"/>
  <c r="AH178" i="2"/>
  <c r="AG178" i="2"/>
  <c r="AF178" i="2"/>
  <c r="AE178" i="2"/>
  <c r="AD178" i="2"/>
  <c r="AC178" i="2"/>
  <c r="AB178" i="2"/>
  <c r="AA178" i="2"/>
  <c r="Z178" i="2"/>
  <c r="Y178" i="2"/>
  <c r="X178" i="2"/>
  <c r="W178" i="2"/>
  <c r="V178" i="2"/>
  <c r="U178" i="2"/>
  <c r="T178" i="2"/>
  <c r="S178" i="2"/>
  <c r="R178" i="2"/>
  <c r="Q178" i="2"/>
  <c r="P178" i="2"/>
  <c r="O178" i="2"/>
  <c r="N178" i="2"/>
  <c r="M178" i="2"/>
  <c r="L178" i="2"/>
  <c r="K178" i="2"/>
  <c r="J178" i="2"/>
  <c r="I178" i="2"/>
  <c r="H178" i="2"/>
  <c r="G178" i="2"/>
  <c r="F178" i="2"/>
  <c r="E178" i="2"/>
  <c r="D178" i="2"/>
  <c r="C178" i="2"/>
  <c r="BF177" i="2"/>
  <c r="BE177" i="2"/>
  <c r="BD177" i="2"/>
  <c r="BC177" i="2"/>
  <c r="BB177" i="2"/>
  <c r="BA177" i="2"/>
  <c r="AZ177" i="2"/>
  <c r="AY177" i="2"/>
  <c r="AX177" i="2"/>
  <c r="AW177" i="2"/>
  <c r="AV177" i="2"/>
  <c r="AU177" i="2"/>
  <c r="AT177" i="2"/>
  <c r="AS177" i="2"/>
  <c r="AR177" i="2"/>
  <c r="AQ177" i="2"/>
  <c r="AP177" i="2"/>
  <c r="AO177" i="2"/>
  <c r="AN177" i="2"/>
  <c r="AM177" i="2"/>
  <c r="AL177" i="2"/>
  <c r="AK177" i="2"/>
  <c r="AJ177" i="2"/>
  <c r="AI177" i="2"/>
  <c r="AH177" i="2"/>
  <c r="AG177" i="2"/>
  <c r="AF177" i="2"/>
  <c r="AE177" i="2"/>
  <c r="AD177" i="2"/>
  <c r="AC177" i="2"/>
  <c r="AB177" i="2"/>
  <c r="AA177" i="2"/>
  <c r="Z177" i="2"/>
  <c r="Y177" i="2"/>
  <c r="X177" i="2"/>
  <c r="W177" i="2"/>
  <c r="V177" i="2"/>
  <c r="U177" i="2"/>
  <c r="T177" i="2"/>
  <c r="S177" i="2"/>
  <c r="R177" i="2"/>
  <c r="Q177" i="2"/>
  <c r="P177" i="2"/>
  <c r="O177" i="2"/>
  <c r="N177" i="2"/>
  <c r="M177" i="2"/>
  <c r="L177" i="2"/>
  <c r="K177" i="2"/>
  <c r="J177" i="2"/>
  <c r="I177" i="2"/>
  <c r="H177" i="2"/>
  <c r="G177" i="2"/>
  <c r="F177" i="2"/>
  <c r="E177" i="2"/>
  <c r="D177" i="2"/>
  <c r="C177" i="2"/>
  <c r="BF176" i="2"/>
  <c r="BE176" i="2"/>
  <c r="BD176" i="2"/>
  <c r="BC176" i="2"/>
  <c r="BB176" i="2"/>
  <c r="BA176" i="2"/>
  <c r="AZ176" i="2"/>
  <c r="AY176" i="2"/>
  <c r="AX176" i="2"/>
  <c r="AW176" i="2"/>
  <c r="AV176" i="2"/>
  <c r="AU176" i="2"/>
  <c r="AT176" i="2"/>
  <c r="AS176" i="2"/>
  <c r="AR176" i="2"/>
  <c r="AQ176" i="2"/>
  <c r="AP176" i="2"/>
  <c r="AO176" i="2"/>
  <c r="AN176" i="2"/>
  <c r="AM176" i="2"/>
  <c r="AL176" i="2"/>
  <c r="AK176" i="2"/>
  <c r="AJ176" i="2"/>
  <c r="AI176" i="2"/>
  <c r="AH176" i="2"/>
  <c r="AG176" i="2"/>
  <c r="AF176" i="2"/>
  <c r="AE176" i="2"/>
  <c r="AD176" i="2"/>
  <c r="AC176" i="2"/>
  <c r="AB176" i="2"/>
  <c r="AA176" i="2"/>
  <c r="Z176" i="2"/>
  <c r="Y176" i="2"/>
  <c r="X176" i="2"/>
  <c r="W176" i="2"/>
  <c r="V176" i="2"/>
  <c r="U176" i="2"/>
  <c r="T176" i="2"/>
  <c r="S176" i="2"/>
  <c r="R176" i="2"/>
  <c r="Q176" i="2"/>
  <c r="P176" i="2"/>
  <c r="O176" i="2"/>
  <c r="N176" i="2"/>
  <c r="M176" i="2"/>
  <c r="L176" i="2"/>
  <c r="K176" i="2"/>
  <c r="J176" i="2"/>
  <c r="I176" i="2"/>
  <c r="H176" i="2"/>
  <c r="G176" i="2"/>
  <c r="F176" i="2"/>
  <c r="E176" i="2"/>
  <c r="D176" i="2"/>
  <c r="C176" i="2"/>
  <c r="BF175" i="2"/>
  <c r="BE175" i="2"/>
  <c r="BD175" i="2"/>
  <c r="BC175" i="2"/>
  <c r="BB175" i="2"/>
  <c r="BA175" i="2"/>
  <c r="AZ175" i="2"/>
  <c r="AY175" i="2"/>
  <c r="AX175" i="2"/>
  <c r="AW175" i="2"/>
  <c r="AV175" i="2"/>
  <c r="AU175" i="2"/>
  <c r="AT175" i="2"/>
  <c r="AS175" i="2"/>
  <c r="AR175" i="2"/>
  <c r="AQ175" i="2"/>
  <c r="AP175" i="2"/>
  <c r="AO175" i="2"/>
  <c r="AN175" i="2"/>
  <c r="AM175" i="2"/>
  <c r="AL175" i="2"/>
  <c r="AK175" i="2"/>
  <c r="AJ175" i="2"/>
  <c r="AI175" i="2"/>
  <c r="AH175" i="2"/>
  <c r="AG175" i="2"/>
  <c r="AF175" i="2"/>
  <c r="AE175" i="2"/>
  <c r="AD175" i="2"/>
  <c r="AC175" i="2"/>
  <c r="AB175" i="2"/>
  <c r="AA175" i="2"/>
  <c r="Z175" i="2"/>
  <c r="Y175" i="2"/>
  <c r="X175" i="2"/>
  <c r="W175" i="2"/>
  <c r="V175" i="2"/>
  <c r="U175" i="2"/>
  <c r="T175" i="2"/>
  <c r="S175" i="2"/>
  <c r="R175" i="2"/>
  <c r="Q175" i="2"/>
  <c r="P175" i="2"/>
  <c r="O175" i="2"/>
  <c r="N175" i="2"/>
  <c r="M175" i="2"/>
  <c r="L175" i="2"/>
  <c r="K175" i="2"/>
  <c r="J175" i="2"/>
  <c r="I175" i="2"/>
  <c r="H175" i="2"/>
  <c r="G175" i="2"/>
  <c r="F175" i="2"/>
  <c r="E175" i="2"/>
  <c r="D175" i="2"/>
  <c r="C175" i="2"/>
  <c r="BF174" i="2"/>
  <c r="BE174" i="2"/>
  <c r="BD174" i="2"/>
  <c r="BC174" i="2"/>
  <c r="BB174" i="2"/>
  <c r="BA174" i="2"/>
  <c r="AZ174" i="2"/>
  <c r="AY174" i="2"/>
  <c r="AX174" i="2"/>
  <c r="AW174" i="2"/>
  <c r="AV174" i="2"/>
  <c r="AU174" i="2"/>
  <c r="AT174" i="2"/>
  <c r="AS174" i="2"/>
  <c r="AR174" i="2"/>
  <c r="AQ174" i="2"/>
  <c r="AP174" i="2"/>
  <c r="AO174" i="2"/>
  <c r="AN174" i="2"/>
  <c r="AM174" i="2"/>
  <c r="AL174" i="2"/>
  <c r="AK174" i="2"/>
  <c r="AJ174" i="2"/>
  <c r="AI174" i="2"/>
  <c r="AH174" i="2"/>
  <c r="AG174" i="2"/>
  <c r="AF174" i="2"/>
  <c r="AE174" i="2"/>
  <c r="AD174" i="2"/>
  <c r="AC174" i="2"/>
  <c r="AB174" i="2"/>
  <c r="AA174" i="2"/>
  <c r="Z174" i="2"/>
  <c r="Y174" i="2"/>
  <c r="X174" i="2"/>
  <c r="W174" i="2"/>
  <c r="V174" i="2"/>
  <c r="U174" i="2"/>
  <c r="T174" i="2"/>
  <c r="S174" i="2"/>
  <c r="R174" i="2"/>
  <c r="Q174" i="2"/>
  <c r="P174" i="2"/>
  <c r="O174" i="2"/>
  <c r="N174" i="2"/>
  <c r="M174" i="2"/>
  <c r="L174" i="2"/>
  <c r="K174" i="2"/>
  <c r="J174" i="2"/>
  <c r="I174" i="2"/>
  <c r="H174" i="2"/>
  <c r="G174" i="2"/>
  <c r="F174" i="2"/>
  <c r="E174" i="2"/>
  <c r="D174" i="2"/>
  <c r="C174" i="2"/>
  <c r="BF171" i="2"/>
  <c r="BE171" i="2"/>
  <c r="BD171" i="2"/>
  <c r="BC171" i="2"/>
  <c r="BB171" i="2"/>
  <c r="BA171" i="2"/>
  <c r="AZ171" i="2"/>
  <c r="AY171" i="2"/>
  <c r="AX171" i="2"/>
  <c r="AW171" i="2"/>
  <c r="AV171" i="2"/>
  <c r="AU171" i="2"/>
  <c r="AT171" i="2"/>
  <c r="AS171" i="2"/>
  <c r="AR171" i="2"/>
  <c r="AQ171" i="2"/>
  <c r="AP171" i="2"/>
  <c r="AO171" i="2"/>
  <c r="AN171" i="2"/>
  <c r="AM171" i="2"/>
  <c r="AL171" i="2"/>
  <c r="AK171" i="2"/>
  <c r="AJ171" i="2"/>
  <c r="AI171" i="2"/>
  <c r="AH171" i="2"/>
  <c r="AG171" i="2"/>
  <c r="AF171" i="2"/>
  <c r="AE171" i="2"/>
  <c r="AD171" i="2"/>
  <c r="AC171" i="2"/>
  <c r="AB171" i="2"/>
  <c r="AA171" i="2"/>
  <c r="Z171" i="2"/>
  <c r="Y171" i="2"/>
  <c r="X171" i="2"/>
  <c r="W171" i="2"/>
  <c r="V171" i="2"/>
  <c r="U171" i="2"/>
  <c r="T171" i="2"/>
  <c r="S171" i="2"/>
  <c r="R171" i="2"/>
  <c r="Q171" i="2"/>
  <c r="P171" i="2"/>
  <c r="O171" i="2"/>
  <c r="N171" i="2"/>
  <c r="M171" i="2"/>
  <c r="L171" i="2"/>
  <c r="K171" i="2"/>
  <c r="J171" i="2"/>
  <c r="I171" i="2"/>
  <c r="H171" i="2"/>
  <c r="G171" i="2"/>
  <c r="F171" i="2"/>
  <c r="E171" i="2"/>
  <c r="D171" i="2"/>
  <c r="C171" i="2"/>
  <c r="BF170" i="2"/>
  <c r="BE170" i="2"/>
  <c r="BD170" i="2"/>
  <c r="BC170" i="2"/>
  <c r="BB170" i="2"/>
  <c r="BA170" i="2"/>
  <c r="AZ170" i="2"/>
  <c r="AY170" i="2"/>
  <c r="AX170" i="2"/>
  <c r="AW170" i="2"/>
  <c r="AV170" i="2"/>
  <c r="AU170" i="2"/>
  <c r="AT170" i="2"/>
  <c r="AS170" i="2"/>
  <c r="AR170" i="2"/>
  <c r="AQ170" i="2"/>
  <c r="AP170" i="2"/>
  <c r="AO170" i="2"/>
  <c r="AN170" i="2"/>
  <c r="AM170" i="2"/>
  <c r="AL170" i="2"/>
  <c r="AK170" i="2"/>
  <c r="AJ170" i="2"/>
  <c r="AI170" i="2"/>
  <c r="AH170" i="2"/>
  <c r="AG170" i="2"/>
  <c r="AF170" i="2"/>
  <c r="AE170" i="2"/>
  <c r="AD170" i="2"/>
  <c r="AC170" i="2"/>
  <c r="AB170" i="2"/>
  <c r="AA170" i="2"/>
  <c r="Z170" i="2"/>
  <c r="Y170" i="2"/>
  <c r="X170" i="2"/>
  <c r="W170" i="2"/>
  <c r="V170" i="2"/>
  <c r="U170" i="2"/>
  <c r="T170" i="2"/>
  <c r="S170" i="2"/>
  <c r="R170" i="2"/>
  <c r="Q170" i="2"/>
  <c r="P170" i="2"/>
  <c r="O170" i="2"/>
  <c r="N170" i="2"/>
  <c r="M170" i="2"/>
  <c r="L170" i="2"/>
  <c r="K170" i="2"/>
  <c r="J170" i="2"/>
  <c r="I170" i="2"/>
  <c r="H170" i="2"/>
  <c r="G170" i="2"/>
  <c r="F170" i="2"/>
  <c r="E170" i="2"/>
  <c r="D170" i="2"/>
  <c r="C170" i="2"/>
  <c r="BF169" i="2"/>
  <c r="BE169" i="2"/>
  <c r="BD169" i="2"/>
  <c r="BC169" i="2"/>
  <c r="BB169" i="2"/>
  <c r="BA169" i="2"/>
  <c r="AZ169" i="2"/>
  <c r="AY169" i="2"/>
  <c r="AX169" i="2"/>
  <c r="AW169" i="2"/>
  <c r="AV169" i="2"/>
  <c r="AU169" i="2"/>
  <c r="AT169" i="2"/>
  <c r="AS169" i="2"/>
  <c r="AR169" i="2"/>
  <c r="AQ169" i="2"/>
  <c r="AP169" i="2"/>
  <c r="AO169" i="2"/>
  <c r="AN169" i="2"/>
  <c r="AM169" i="2"/>
  <c r="AL169" i="2"/>
  <c r="AK169" i="2"/>
  <c r="AJ169" i="2"/>
  <c r="AI169" i="2"/>
  <c r="AH169" i="2"/>
  <c r="AG169" i="2"/>
  <c r="AF169" i="2"/>
  <c r="AE169" i="2"/>
  <c r="AD169" i="2"/>
  <c r="AC169" i="2"/>
  <c r="AB169" i="2"/>
  <c r="AA169" i="2"/>
  <c r="Z169" i="2"/>
  <c r="Y169" i="2"/>
  <c r="X169" i="2"/>
  <c r="W169" i="2"/>
  <c r="V169" i="2"/>
  <c r="U169" i="2"/>
  <c r="T169" i="2"/>
  <c r="S169" i="2"/>
  <c r="R169" i="2"/>
  <c r="Q169" i="2"/>
  <c r="P169" i="2"/>
  <c r="O169" i="2"/>
  <c r="N169" i="2"/>
  <c r="M169" i="2"/>
  <c r="L169" i="2"/>
  <c r="K169" i="2"/>
  <c r="J169" i="2"/>
  <c r="I169" i="2"/>
  <c r="H169" i="2"/>
  <c r="G169" i="2"/>
  <c r="F169" i="2"/>
  <c r="E169" i="2"/>
  <c r="D169" i="2"/>
  <c r="C169" i="2"/>
  <c r="BF168" i="2"/>
  <c r="BE168" i="2"/>
  <c r="BD168" i="2"/>
  <c r="BC168" i="2"/>
  <c r="BB168" i="2"/>
  <c r="BA168" i="2"/>
  <c r="AZ168" i="2"/>
  <c r="AY168" i="2"/>
  <c r="AX168" i="2"/>
  <c r="AW168" i="2"/>
  <c r="AV168" i="2"/>
  <c r="AU168" i="2"/>
  <c r="AT168" i="2"/>
  <c r="AS168" i="2"/>
  <c r="AR168" i="2"/>
  <c r="AQ168" i="2"/>
  <c r="AP168" i="2"/>
  <c r="AO168" i="2"/>
  <c r="AN168" i="2"/>
  <c r="AM168" i="2"/>
  <c r="AL168" i="2"/>
  <c r="AK168" i="2"/>
  <c r="AJ168" i="2"/>
  <c r="AI168" i="2"/>
  <c r="AH168" i="2"/>
  <c r="AG168" i="2"/>
  <c r="AF168" i="2"/>
  <c r="AE168" i="2"/>
  <c r="AD168" i="2"/>
  <c r="AC168" i="2"/>
  <c r="AB168" i="2"/>
  <c r="AA168" i="2"/>
  <c r="Z168" i="2"/>
  <c r="Y168" i="2"/>
  <c r="X168" i="2"/>
  <c r="W168" i="2"/>
  <c r="V168" i="2"/>
  <c r="U168" i="2"/>
  <c r="T168" i="2"/>
  <c r="S168" i="2"/>
  <c r="R168" i="2"/>
  <c r="Q168" i="2"/>
  <c r="P168" i="2"/>
  <c r="O168" i="2"/>
  <c r="N168" i="2"/>
  <c r="M168" i="2"/>
  <c r="L168" i="2"/>
  <c r="K168" i="2"/>
  <c r="J168" i="2"/>
  <c r="I168" i="2"/>
  <c r="H168" i="2"/>
  <c r="G168" i="2"/>
  <c r="F168" i="2"/>
  <c r="E168" i="2"/>
  <c r="D168" i="2"/>
  <c r="C168" i="2"/>
  <c r="BF167" i="2"/>
  <c r="BE167" i="2"/>
  <c r="BD167" i="2"/>
  <c r="BC167" i="2"/>
  <c r="BB167" i="2"/>
  <c r="BA167" i="2"/>
  <c r="AZ167" i="2"/>
  <c r="AY167" i="2"/>
  <c r="AX167" i="2"/>
  <c r="AW167" i="2"/>
  <c r="AV167" i="2"/>
  <c r="AU167" i="2"/>
  <c r="AT167" i="2"/>
  <c r="AS167" i="2"/>
  <c r="AR167" i="2"/>
  <c r="AQ167" i="2"/>
  <c r="AP167" i="2"/>
  <c r="AO167" i="2"/>
  <c r="AN167" i="2"/>
  <c r="AM167" i="2"/>
  <c r="AL167" i="2"/>
  <c r="AK167" i="2"/>
  <c r="AJ167" i="2"/>
  <c r="AI167" i="2"/>
  <c r="AH167" i="2"/>
  <c r="AG167" i="2"/>
  <c r="AF167" i="2"/>
  <c r="AE167" i="2"/>
  <c r="AD167" i="2"/>
  <c r="AC167" i="2"/>
  <c r="AB167" i="2"/>
  <c r="AA167" i="2"/>
  <c r="Z167" i="2"/>
  <c r="Y167" i="2"/>
  <c r="X167" i="2"/>
  <c r="W167" i="2"/>
  <c r="V167" i="2"/>
  <c r="U167" i="2"/>
  <c r="T167" i="2"/>
  <c r="S167" i="2"/>
  <c r="R167" i="2"/>
  <c r="Q167" i="2"/>
  <c r="P167" i="2"/>
  <c r="O167" i="2"/>
  <c r="N167" i="2"/>
  <c r="M167" i="2"/>
  <c r="L167" i="2"/>
  <c r="K167" i="2"/>
  <c r="J167" i="2"/>
  <c r="I167" i="2"/>
  <c r="H167" i="2"/>
  <c r="G167" i="2"/>
  <c r="F167" i="2"/>
  <c r="E167" i="2"/>
  <c r="D167" i="2"/>
  <c r="C167" i="2"/>
  <c r="BF166" i="2"/>
  <c r="BE166" i="2"/>
  <c r="BD166" i="2"/>
  <c r="BC166" i="2"/>
  <c r="BB166" i="2"/>
  <c r="BA166" i="2"/>
  <c r="AZ166" i="2"/>
  <c r="AY166" i="2"/>
  <c r="AX166" i="2"/>
  <c r="AW166" i="2"/>
  <c r="AV166" i="2"/>
  <c r="AU166" i="2"/>
  <c r="AT166" i="2"/>
  <c r="AS166" i="2"/>
  <c r="AR166" i="2"/>
  <c r="AQ166" i="2"/>
  <c r="AP166" i="2"/>
  <c r="AO166" i="2"/>
  <c r="AN166" i="2"/>
  <c r="AM166" i="2"/>
  <c r="AL166" i="2"/>
  <c r="AK166" i="2"/>
  <c r="AJ166" i="2"/>
  <c r="AI166" i="2"/>
  <c r="AH166" i="2"/>
  <c r="AG166" i="2"/>
  <c r="AF166" i="2"/>
  <c r="AE166" i="2"/>
  <c r="AD166" i="2"/>
  <c r="AC166" i="2"/>
  <c r="AB166" i="2"/>
  <c r="AA166" i="2"/>
  <c r="Z166" i="2"/>
  <c r="Y166" i="2"/>
  <c r="X166" i="2"/>
  <c r="W166" i="2"/>
  <c r="V166" i="2"/>
  <c r="U166" i="2"/>
  <c r="T166" i="2"/>
  <c r="S166" i="2"/>
  <c r="R166" i="2"/>
  <c r="Q166" i="2"/>
  <c r="P166" i="2"/>
  <c r="O166" i="2"/>
  <c r="N166" i="2"/>
  <c r="M166" i="2"/>
  <c r="L166" i="2"/>
  <c r="K166" i="2"/>
  <c r="J166" i="2"/>
  <c r="I166" i="2"/>
  <c r="H166" i="2"/>
  <c r="G166" i="2"/>
  <c r="F166" i="2"/>
  <c r="E166" i="2"/>
  <c r="D166" i="2"/>
  <c r="C166" i="2"/>
  <c r="BF165" i="2"/>
  <c r="BE165" i="2"/>
  <c r="BD165" i="2"/>
  <c r="BC165" i="2"/>
  <c r="BB165" i="2"/>
  <c r="BA165" i="2"/>
  <c r="AZ165" i="2"/>
  <c r="AY165" i="2"/>
  <c r="AX165" i="2"/>
  <c r="AW165" i="2"/>
  <c r="AV165" i="2"/>
  <c r="AU165" i="2"/>
  <c r="AT165" i="2"/>
  <c r="AS165" i="2"/>
  <c r="AR165" i="2"/>
  <c r="AQ165" i="2"/>
  <c r="AP165" i="2"/>
  <c r="AO165" i="2"/>
  <c r="AN165" i="2"/>
  <c r="AM165" i="2"/>
  <c r="AL165" i="2"/>
  <c r="AK165" i="2"/>
  <c r="AJ165" i="2"/>
  <c r="AI165" i="2"/>
  <c r="AH165" i="2"/>
  <c r="AG165" i="2"/>
  <c r="AF165" i="2"/>
  <c r="AE165" i="2"/>
  <c r="AD165" i="2"/>
  <c r="AC165" i="2"/>
  <c r="AB165" i="2"/>
  <c r="AA165" i="2"/>
  <c r="Z165" i="2"/>
  <c r="Y165" i="2"/>
  <c r="X165" i="2"/>
  <c r="W165" i="2"/>
  <c r="V165" i="2"/>
  <c r="U165" i="2"/>
  <c r="T165" i="2"/>
  <c r="S165" i="2"/>
  <c r="R165" i="2"/>
  <c r="Q165" i="2"/>
  <c r="P165" i="2"/>
  <c r="O165" i="2"/>
  <c r="N165" i="2"/>
  <c r="M165" i="2"/>
  <c r="L165" i="2"/>
  <c r="K165" i="2"/>
  <c r="J165" i="2"/>
  <c r="I165" i="2"/>
  <c r="H165" i="2"/>
  <c r="G165" i="2"/>
  <c r="F165" i="2"/>
  <c r="E165" i="2"/>
  <c r="D165" i="2"/>
  <c r="C165" i="2"/>
  <c r="BF164" i="2"/>
  <c r="BE164" i="2"/>
  <c r="BD164" i="2"/>
  <c r="BC164" i="2"/>
  <c r="BB164" i="2"/>
  <c r="BA164" i="2"/>
  <c r="AZ164" i="2"/>
  <c r="AY164" i="2"/>
  <c r="AX164" i="2"/>
  <c r="AW164" i="2"/>
  <c r="AV164" i="2"/>
  <c r="AU164" i="2"/>
  <c r="AT164" i="2"/>
  <c r="AS164" i="2"/>
  <c r="AR164" i="2"/>
  <c r="AQ164" i="2"/>
  <c r="AP164" i="2"/>
  <c r="AO164" i="2"/>
  <c r="AN164" i="2"/>
  <c r="AM164" i="2"/>
  <c r="AL164" i="2"/>
  <c r="AK164" i="2"/>
  <c r="AJ164" i="2"/>
  <c r="AI164" i="2"/>
  <c r="AH164" i="2"/>
  <c r="AG164" i="2"/>
  <c r="AF164" i="2"/>
  <c r="AE164" i="2"/>
  <c r="AD164" i="2"/>
  <c r="AC164" i="2"/>
  <c r="AB164" i="2"/>
  <c r="AA164" i="2"/>
  <c r="Z164" i="2"/>
  <c r="Y164" i="2"/>
  <c r="X164" i="2"/>
  <c r="W164" i="2"/>
  <c r="V164" i="2"/>
  <c r="U164" i="2"/>
  <c r="T164" i="2"/>
  <c r="S164" i="2"/>
  <c r="R164" i="2"/>
  <c r="Q164" i="2"/>
  <c r="P164" i="2"/>
  <c r="O164" i="2"/>
  <c r="N164" i="2"/>
  <c r="M164" i="2"/>
  <c r="L164" i="2"/>
  <c r="K164" i="2"/>
  <c r="J164" i="2"/>
  <c r="I164" i="2"/>
  <c r="H164" i="2"/>
  <c r="G164" i="2"/>
  <c r="F164" i="2"/>
  <c r="E164" i="2"/>
  <c r="D164" i="2"/>
  <c r="C164" i="2"/>
  <c r="BF143" i="2"/>
  <c r="BE143" i="2"/>
  <c r="BD143" i="2"/>
  <c r="BC143" i="2"/>
  <c r="BB143" i="2"/>
  <c r="BA143" i="2"/>
  <c r="AZ143" i="2"/>
  <c r="AY143" i="2"/>
  <c r="AX143" i="2"/>
  <c r="AW143" i="2"/>
  <c r="AV143" i="2"/>
  <c r="AU143" i="2"/>
  <c r="AT143" i="2"/>
  <c r="AS143" i="2"/>
  <c r="AR143" i="2"/>
  <c r="AQ143" i="2"/>
  <c r="AP143" i="2"/>
  <c r="AO143" i="2"/>
  <c r="AN143" i="2"/>
  <c r="AM143" i="2"/>
  <c r="AL143" i="2"/>
  <c r="AK143" i="2"/>
  <c r="AJ143" i="2"/>
  <c r="AI143" i="2"/>
  <c r="AH143" i="2"/>
  <c r="AG143" i="2"/>
  <c r="AF143" i="2"/>
  <c r="AE143" i="2"/>
  <c r="AD143" i="2"/>
  <c r="AC143" i="2"/>
  <c r="AB143" i="2"/>
  <c r="AA143" i="2"/>
  <c r="Z143" i="2"/>
  <c r="Y143" i="2"/>
  <c r="X143" i="2"/>
  <c r="W143" i="2"/>
  <c r="V143" i="2"/>
  <c r="U143" i="2"/>
  <c r="T143" i="2"/>
  <c r="S143" i="2"/>
  <c r="R143" i="2"/>
  <c r="Q143" i="2"/>
  <c r="P143" i="2"/>
  <c r="O143" i="2"/>
  <c r="N143" i="2"/>
  <c r="M143" i="2"/>
  <c r="L143" i="2"/>
  <c r="K143" i="2"/>
  <c r="J143" i="2"/>
  <c r="I143" i="2"/>
  <c r="H143" i="2"/>
  <c r="G143" i="2"/>
  <c r="F143" i="2"/>
  <c r="E143" i="2"/>
  <c r="D143" i="2"/>
  <c r="C143" i="2"/>
  <c r="BF142" i="2"/>
  <c r="BE142" i="2"/>
  <c r="BD142" i="2"/>
  <c r="BC142" i="2"/>
  <c r="BB142" i="2"/>
  <c r="BA142" i="2"/>
  <c r="AZ142" i="2"/>
  <c r="AY142" i="2"/>
  <c r="AX142" i="2"/>
  <c r="AW142" i="2"/>
  <c r="AV142" i="2"/>
  <c r="AU142" i="2"/>
  <c r="AT142" i="2"/>
  <c r="AS142" i="2"/>
  <c r="AR142" i="2"/>
  <c r="AQ142" i="2"/>
  <c r="AP142" i="2"/>
  <c r="AO142" i="2"/>
  <c r="AN142" i="2"/>
  <c r="AM142" i="2"/>
  <c r="AL142" i="2"/>
  <c r="AK142" i="2"/>
  <c r="AJ142" i="2"/>
  <c r="AI142" i="2"/>
  <c r="AH142" i="2"/>
  <c r="AG142" i="2"/>
  <c r="AF142" i="2"/>
  <c r="AE142" i="2"/>
  <c r="AD142" i="2"/>
  <c r="AC142" i="2"/>
  <c r="AB142" i="2"/>
  <c r="AA142" i="2"/>
  <c r="Z142" i="2"/>
  <c r="Y142" i="2"/>
  <c r="X142" i="2"/>
  <c r="W142" i="2"/>
  <c r="V142" i="2"/>
  <c r="U142" i="2"/>
  <c r="T142" i="2"/>
  <c r="S142" i="2"/>
  <c r="R142" i="2"/>
  <c r="Q142" i="2"/>
  <c r="P142" i="2"/>
  <c r="O142" i="2"/>
  <c r="N142" i="2"/>
  <c r="M142" i="2"/>
  <c r="L142" i="2"/>
  <c r="K142" i="2"/>
  <c r="J142" i="2"/>
  <c r="I142" i="2"/>
  <c r="H142" i="2"/>
  <c r="G142" i="2"/>
  <c r="F142" i="2"/>
  <c r="E142" i="2"/>
  <c r="D142" i="2"/>
  <c r="C142" i="2"/>
  <c r="BF141" i="2"/>
  <c r="BE141" i="2"/>
  <c r="BD141" i="2"/>
  <c r="BC141" i="2"/>
  <c r="BB141" i="2"/>
  <c r="BA141" i="2"/>
  <c r="AZ141" i="2"/>
  <c r="AY141" i="2"/>
  <c r="AX141" i="2"/>
  <c r="AW141" i="2"/>
  <c r="AV141" i="2"/>
  <c r="AU141" i="2"/>
  <c r="AT141" i="2"/>
  <c r="AS141" i="2"/>
  <c r="AR141" i="2"/>
  <c r="AQ141" i="2"/>
  <c r="AP141" i="2"/>
  <c r="AO141" i="2"/>
  <c r="AN141" i="2"/>
  <c r="AM141" i="2"/>
  <c r="AL141" i="2"/>
  <c r="AK141" i="2"/>
  <c r="AJ141" i="2"/>
  <c r="AI141" i="2"/>
  <c r="AH141" i="2"/>
  <c r="AG141" i="2"/>
  <c r="AF141" i="2"/>
  <c r="AE141" i="2"/>
  <c r="AD141" i="2"/>
  <c r="AC141" i="2"/>
  <c r="AB141" i="2"/>
  <c r="AA141" i="2"/>
  <c r="Z141" i="2"/>
  <c r="Y141" i="2"/>
  <c r="X141" i="2"/>
  <c r="W141" i="2"/>
  <c r="V141" i="2"/>
  <c r="U141" i="2"/>
  <c r="T141" i="2"/>
  <c r="S141" i="2"/>
  <c r="R141" i="2"/>
  <c r="Q141" i="2"/>
  <c r="P141" i="2"/>
  <c r="O141" i="2"/>
  <c r="N141" i="2"/>
  <c r="M141" i="2"/>
  <c r="L141" i="2"/>
  <c r="K141" i="2"/>
  <c r="J141" i="2"/>
  <c r="I141" i="2"/>
  <c r="H141" i="2"/>
  <c r="G141" i="2"/>
  <c r="F141" i="2"/>
  <c r="E141" i="2"/>
  <c r="D141" i="2"/>
  <c r="C141" i="2"/>
  <c r="BF140" i="2"/>
  <c r="BE140" i="2"/>
  <c r="BD140" i="2"/>
  <c r="BC140" i="2"/>
  <c r="BB140" i="2"/>
  <c r="BA140" i="2"/>
  <c r="AZ140" i="2"/>
  <c r="AY140" i="2"/>
  <c r="AX140" i="2"/>
  <c r="AW140" i="2"/>
  <c r="AV140" i="2"/>
  <c r="AU140" i="2"/>
  <c r="AT140" i="2"/>
  <c r="AS140" i="2"/>
  <c r="AR140" i="2"/>
  <c r="AQ140" i="2"/>
  <c r="AP140" i="2"/>
  <c r="AO140" i="2"/>
  <c r="AN140" i="2"/>
  <c r="AM140" i="2"/>
  <c r="AL140" i="2"/>
  <c r="AK140" i="2"/>
  <c r="AJ140" i="2"/>
  <c r="AI140" i="2"/>
  <c r="AH140" i="2"/>
  <c r="AG140" i="2"/>
  <c r="AF140" i="2"/>
  <c r="AE140" i="2"/>
  <c r="AD140" i="2"/>
  <c r="AC140" i="2"/>
  <c r="AB140" i="2"/>
  <c r="AA140" i="2"/>
  <c r="Z140" i="2"/>
  <c r="Y140" i="2"/>
  <c r="X140" i="2"/>
  <c r="W140" i="2"/>
  <c r="V140" i="2"/>
  <c r="U140" i="2"/>
  <c r="T140" i="2"/>
  <c r="S140" i="2"/>
  <c r="R140" i="2"/>
  <c r="Q140" i="2"/>
  <c r="P140" i="2"/>
  <c r="O140" i="2"/>
  <c r="N140" i="2"/>
  <c r="M140" i="2"/>
  <c r="L140" i="2"/>
  <c r="K140" i="2"/>
  <c r="J140" i="2"/>
  <c r="I140" i="2"/>
  <c r="H140" i="2"/>
  <c r="G140" i="2"/>
  <c r="F140" i="2"/>
  <c r="E140" i="2"/>
  <c r="D140" i="2"/>
  <c r="C140" i="2"/>
  <c r="BF139" i="2"/>
  <c r="BE139" i="2"/>
  <c r="BD139" i="2"/>
  <c r="BC139" i="2"/>
  <c r="BB139" i="2"/>
  <c r="BA139" i="2"/>
  <c r="AZ139" i="2"/>
  <c r="AY139" i="2"/>
  <c r="AX139" i="2"/>
  <c r="AW139" i="2"/>
  <c r="AV139" i="2"/>
  <c r="AU139" i="2"/>
  <c r="AT139" i="2"/>
  <c r="AS139" i="2"/>
  <c r="AR139" i="2"/>
  <c r="AQ139" i="2"/>
  <c r="AP139" i="2"/>
  <c r="AO139" i="2"/>
  <c r="AN139" i="2"/>
  <c r="AM139" i="2"/>
  <c r="AL139" i="2"/>
  <c r="AK139" i="2"/>
  <c r="AJ139" i="2"/>
  <c r="AI139" i="2"/>
  <c r="AH139" i="2"/>
  <c r="AG139" i="2"/>
  <c r="AF139" i="2"/>
  <c r="AE139" i="2"/>
  <c r="AD139" i="2"/>
  <c r="AC139" i="2"/>
  <c r="AB139" i="2"/>
  <c r="AA139" i="2"/>
  <c r="Z139" i="2"/>
  <c r="Y139" i="2"/>
  <c r="X139" i="2"/>
  <c r="W139" i="2"/>
  <c r="V139" i="2"/>
  <c r="U139" i="2"/>
  <c r="T139" i="2"/>
  <c r="S139" i="2"/>
  <c r="R139" i="2"/>
  <c r="Q139" i="2"/>
  <c r="P139" i="2"/>
  <c r="O139" i="2"/>
  <c r="N139" i="2"/>
  <c r="M139" i="2"/>
  <c r="L139" i="2"/>
  <c r="K139" i="2"/>
  <c r="J139" i="2"/>
  <c r="I139" i="2"/>
  <c r="H139" i="2"/>
  <c r="G139" i="2"/>
  <c r="F139" i="2"/>
  <c r="E139" i="2"/>
  <c r="D139" i="2"/>
  <c r="C139" i="2"/>
  <c r="BF138" i="2"/>
  <c r="BE138" i="2"/>
  <c r="BD138" i="2"/>
  <c r="BC138" i="2"/>
  <c r="BB138" i="2"/>
  <c r="BA138" i="2"/>
  <c r="AZ138" i="2"/>
  <c r="AY138" i="2"/>
  <c r="AX138" i="2"/>
  <c r="AW138" i="2"/>
  <c r="AV138" i="2"/>
  <c r="AU138" i="2"/>
  <c r="AT138" i="2"/>
  <c r="AS138" i="2"/>
  <c r="AR138" i="2"/>
  <c r="AQ138" i="2"/>
  <c r="AP138" i="2"/>
  <c r="AO138" i="2"/>
  <c r="AN138" i="2"/>
  <c r="AM138" i="2"/>
  <c r="AL138" i="2"/>
  <c r="AK138" i="2"/>
  <c r="AJ138" i="2"/>
  <c r="AI138" i="2"/>
  <c r="AH138" i="2"/>
  <c r="AG138" i="2"/>
  <c r="AF138" i="2"/>
  <c r="AE138" i="2"/>
  <c r="AD138" i="2"/>
  <c r="AC138" i="2"/>
  <c r="AB138" i="2"/>
  <c r="AA138" i="2"/>
  <c r="Z138" i="2"/>
  <c r="Y138" i="2"/>
  <c r="X138" i="2"/>
  <c r="W138" i="2"/>
  <c r="V138" i="2"/>
  <c r="U138" i="2"/>
  <c r="T138" i="2"/>
  <c r="S138" i="2"/>
  <c r="R138" i="2"/>
  <c r="Q138" i="2"/>
  <c r="P138" i="2"/>
  <c r="O138" i="2"/>
  <c r="N138" i="2"/>
  <c r="M138" i="2"/>
  <c r="L138" i="2"/>
  <c r="K138" i="2"/>
  <c r="J138" i="2"/>
  <c r="I138" i="2"/>
  <c r="H138" i="2"/>
  <c r="G138" i="2"/>
  <c r="F138" i="2"/>
  <c r="E138" i="2"/>
  <c r="D138" i="2"/>
  <c r="C138" i="2"/>
  <c r="BF137" i="2"/>
  <c r="BE137" i="2"/>
  <c r="BD137" i="2"/>
  <c r="BC137" i="2"/>
  <c r="BB137" i="2"/>
  <c r="BA137" i="2"/>
  <c r="AZ137" i="2"/>
  <c r="AY137" i="2"/>
  <c r="AX137" i="2"/>
  <c r="AW137" i="2"/>
  <c r="AV137" i="2"/>
  <c r="AU137" i="2"/>
  <c r="AT137" i="2"/>
  <c r="AS137" i="2"/>
  <c r="AR137" i="2"/>
  <c r="AQ137" i="2"/>
  <c r="AP137" i="2"/>
  <c r="AO137" i="2"/>
  <c r="AN137" i="2"/>
  <c r="AM137" i="2"/>
  <c r="AL137" i="2"/>
  <c r="AK137" i="2"/>
  <c r="AJ137" i="2"/>
  <c r="AI137" i="2"/>
  <c r="AH137" i="2"/>
  <c r="AG137" i="2"/>
  <c r="AF137" i="2"/>
  <c r="AE137" i="2"/>
  <c r="AD137" i="2"/>
  <c r="AC137" i="2"/>
  <c r="AB137" i="2"/>
  <c r="AA137" i="2"/>
  <c r="Z137" i="2"/>
  <c r="Y137" i="2"/>
  <c r="X137" i="2"/>
  <c r="W137" i="2"/>
  <c r="V137" i="2"/>
  <c r="U137" i="2"/>
  <c r="T137" i="2"/>
  <c r="S137" i="2"/>
  <c r="R137" i="2"/>
  <c r="Q137" i="2"/>
  <c r="P137" i="2"/>
  <c r="O137" i="2"/>
  <c r="N137" i="2"/>
  <c r="M137" i="2"/>
  <c r="L137" i="2"/>
  <c r="K137" i="2"/>
  <c r="J137" i="2"/>
  <c r="I137" i="2"/>
  <c r="H137" i="2"/>
  <c r="G137" i="2"/>
  <c r="F137" i="2"/>
  <c r="E137" i="2"/>
  <c r="D137" i="2"/>
  <c r="C137" i="2"/>
  <c r="BF136" i="2"/>
  <c r="BE136" i="2"/>
  <c r="BD136" i="2"/>
  <c r="BC136" i="2"/>
  <c r="BB136" i="2"/>
  <c r="BA136" i="2"/>
  <c r="AZ136" i="2"/>
  <c r="AY136" i="2"/>
  <c r="AX136" i="2"/>
  <c r="AW136" i="2"/>
  <c r="AV136" i="2"/>
  <c r="AU136" i="2"/>
  <c r="AT136" i="2"/>
  <c r="AS136" i="2"/>
  <c r="AR136" i="2"/>
  <c r="AQ136" i="2"/>
  <c r="AP136" i="2"/>
  <c r="AO136" i="2"/>
  <c r="AN136" i="2"/>
  <c r="AM136" i="2"/>
  <c r="AL136" i="2"/>
  <c r="AK136" i="2"/>
  <c r="AJ136" i="2"/>
  <c r="AI136" i="2"/>
  <c r="AH136" i="2"/>
  <c r="AG136" i="2"/>
  <c r="AF136" i="2"/>
  <c r="AE136" i="2"/>
  <c r="AD136" i="2"/>
  <c r="AC136" i="2"/>
  <c r="AB136" i="2"/>
  <c r="AA136" i="2"/>
  <c r="Z136" i="2"/>
  <c r="Y136" i="2"/>
  <c r="X136" i="2"/>
  <c r="W136" i="2"/>
  <c r="V136" i="2"/>
  <c r="U136" i="2"/>
  <c r="T136" i="2"/>
  <c r="S136" i="2"/>
  <c r="R136" i="2"/>
  <c r="Q136" i="2"/>
  <c r="P136" i="2"/>
  <c r="O136" i="2"/>
  <c r="N136" i="2"/>
  <c r="M136" i="2"/>
  <c r="L136" i="2"/>
  <c r="K136" i="2"/>
  <c r="J136" i="2"/>
  <c r="I136" i="2"/>
  <c r="H136" i="2"/>
  <c r="G136" i="2"/>
  <c r="F136" i="2"/>
  <c r="E136" i="2"/>
  <c r="D136" i="2"/>
  <c r="C136" i="2"/>
  <c r="BF132" i="2"/>
  <c r="BE132" i="2"/>
  <c r="BD132" i="2"/>
  <c r="BC132" i="2"/>
  <c r="BB132" i="2"/>
  <c r="BA132" i="2"/>
  <c r="AZ132" i="2"/>
  <c r="AY132" i="2"/>
  <c r="AX132" i="2"/>
  <c r="AW132" i="2"/>
  <c r="AV132" i="2"/>
  <c r="AU132" i="2"/>
  <c r="AT132" i="2"/>
  <c r="AS132" i="2"/>
  <c r="AR132" i="2"/>
  <c r="AQ132" i="2"/>
  <c r="AP132" i="2"/>
  <c r="AO132" i="2"/>
  <c r="AN132" i="2"/>
  <c r="AM132" i="2"/>
  <c r="AL132" i="2"/>
  <c r="AK132" i="2"/>
  <c r="AJ132" i="2"/>
  <c r="AI132" i="2"/>
  <c r="AH132" i="2"/>
  <c r="AG132" i="2"/>
  <c r="AF132" i="2"/>
  <c r="AE132" i="2"/>
  <c r="AD132" i="2"/>
  <c r="AC132" i="2"/>
  <c r="AB132" i="2"/>
  <c r="AA132" i="2"/>
  <c r="Z132" i="2"/>
  <c r="Y132" i="2"/>
  <c r="X132" i="2"/>
  <c r="W132" i="2"/>
  <c r="V132" i="2"/>
  <c r="U132" i="2"/>
  <c r="T132" i="2"/>
  <c r="S132" i="2"/>
  <c r="R132" i="2"/>
  <c r="Q132" i="2"/>
  <c r="P132" i="2"/>
  <c r="O132" i="2"/>
  <c r="N132" i="2"/>
  <c r="M132" i="2"/>
  <c r="L132" i="2"/>
  <c r="K132" i="2"/>
  <c r="J132" i="2"/>
  <c r="I132" i="2"/>
  <c r="H132" i="2"/>
  <c r="G132" i="2"/>
  <c r="F132" i="2"/>
  <c r="E132" i="2"/>
  <c r="D132" i="2"/>
  <c r="C132" i="2"/>
  <c r="BF131" i="2"/>
  <c r="BE131" i="2"/>
  <c r="BD131" i="2"/>
  <c r="BC131" i="2"/>
  <c r="BB131" i="2"/>
  <c r="BA131" i="2"/>
  <c r="AZ131" i="2"/>
  <c r="AY131" i="2"/>
  <c r="AX131" i="2"/>
  <c r="AW131" i="2"/>
  <c r="AV131" i="2"/>
  <c r="AU131" i="2"/>
  <c r="AT131" i="2"/>
  <c r="AS131" i="2"/>
  <c r="AR131" i="2"/>
  <c r="AQ131" i="2"/>
  <c r="AP131" i="2"/>
  <c r="AO131" i="2"/>
  <c r="AN131" i="2"/>
  <c r="AM131" i="2"/>
  <c r="AL131" i="2"/>
  <c r="AK131" i="2"/>
  <c r="AJ131" i="2"/>
  <c r="AI131" i="2"/>
  <c r="AH131" i="2"/>
  <c r="AG131" i="2"/>
  <c r="AF131" i="2"/>
  <c r="AE131" i="2"/>
  <c r="AD131" i="2"/>
  <c r="AC131" i="2"/>
  <c r="AB131" i="2"/>
  <c r="AA131" i="2"/>
  <c r="Z131" i="2"/>
  <c r="Y131" i="2"/>
  <c r="X131" i="2"/>
  <c r="W131" i="2"/>
  <c r="V131" i="2"/>
  <c r="U131" i="2"/>
  <c r="T131" i="2"/>
  <c r="S131" i="2"/>
  <c r="R131" i="2"/>
  <c r="Q131" i="2"/>
  <c r="P131" i="2"/>
  <c r="O131" i="2"/>
  <c r="N131" i="2"/>
  <c r="M131" i="2"/>
  <c r="L131" i="2"/>
  <c r="K131" i="2"/>
  <c r="J131" i="2"/>
  <c r="I131" i="2"/>
  <c r="H131" i="2"/>
  <c r="G131" i="2"/>
  <c r="F131" i="2"/>
  <c r="E131" i="2"/>
  <c r="D131" i="2"/>
  <c r="C131" i="2"/>
  <c r="BF130" i="2"/>
  <c r="BE130" i="2"/>
  <c r="BD130" i="2"/>
  <c r="BC130" i="2"/>
  <c r="BB130" i="2"/>
  <c r="BA130" i="2"/>
  <c r="AZ130" i="2"/>
  <c r="AY130" i="2"/>
  <c r="AX130" i="2"/>
  <c r="AW130" i="2"/>
  <c r="AV130" i="2"/>
  <c r="AU130" i="2"/>
  <c r="AT130" i="2"/>
  <c r="AS130" i="2"/>
  <c r="AR130" i="2"/>
  <c r="AQ130" i="2"/>
  <c r="AP130" i="2"/>
  <c r="AO130" i="2"/>
  <c r="AN130" i="2"/>
  <c r="AM130" i="2"/>
  <c r="AL130" i="2"/>
  <c r="AK130" i="2"/>
  <c r="AJ130" i="2"/>
  <c r="AI130" i="2"/>
  <c r="AH130" i="2"/>
  <c r="AG130" i="2"/>
  <c r="AF130" i="2"/>
  <c r="AE130" i="2"/>
  <c r="AD130" i="2"/>
  <c r="AC130" i="2"/>
  <c r="AB130" i="2"/>
  <c r="AA130" i="2"/>
  <c r="Z130" i="2"/>
  <c r="Y130" i="2"/>
  <c r="X130" i="2"/>
  <c r="W130" i="2"/>
  <c r="V130" i="2"/>
  <c r="U130" i="2"/>
  <c r="T130" i="2"/>
  <c r="S130" i="2"/>
  <c r="R130" i="2"/>
  <c r="Q130" i="2"/>
  <c r="P130" i="2"/>
  <c r="O130" i="2"/>
  <c r="N130" i="2"/>
  <c r="M130" i="2"/>
  <c r="L130" i="2"/>
  <c r="K130" i="2"/>
  <c r="J130" i="2"/>
  <c r="I130" i="2"/>
  <c r="H130" i="2"/>
  <c r="G130" i="2"/>
  <c r="F130" i="2"/>
  <c r="E130" i="2"/>
  <c r="D130" i="2"/>
  <c r="C130" i="2"/>
  <c r="BF129" i="2"/>
  <c r="BE129" i="2"/>
  <c r="BD129" i="2"/>
  <c r="BC129" i="2"/>
  <c r="BB129" i="2"/>
  <c r="BA129" i="2"/>
  <c r="AZ129" i="2"/>
  <c r="AY129" i="2"/>
  <c r="AX129" i="2"/>
  <c r="AW129" i="2"/>
  <c r="AV129" i="2"/>
  <c r="AU129" i="2"/>
  <c r="AT129" i="2"/>
  <c r="AS129" i="2"/>
  <c r="AR129" i="2"/>
  <c r="AQ129" i="2"/>
  <c r="AP129" i="2"/>
  <c r="AO129" i="2"/>
  <c r="AN129" i="2"/>
  <c r="AM129" i="2"/>
  <c r="AL129" i="2"/>
  <c r="AK129" i="2"/>
  <c r="AJ129" i="2"/>
  <c r="AI129" i="2"/>
  <c r="AH129" i="2"/>
  <c r="AG129" i="2"/>
  <c r="AF129" i="2"/>
  <c r="AE129" i="2"/>
  <c r="AD129" i="2"/>
  <c r="AC129" i="2"/>
  <c r="AB129" i="2"/>
  <c r="AA129" i="2"/>
  <c r="Z129" i="2"/>
  <c r="Y129" i="2"/>
  <c r="X129" i="2"/>
  <c r="W129" i="2"/>
  <c r="V129" i="2"/>
  <c r="U129" i="2"/>
  <c r="T129" i="2"/>
  <c r="S129" i="2"/>
  <c r="R129" i="2"/>
  <c r="Q129" i="2"/>
  <c r="P129" i="2"/>
  <c r="O129" i="2"/>
  <c r="N129" i="2"/>
  <c r="M129" i="2"/>
  <c r="L129" i="2"/>
  <c r="K129" i="2"/>
  <c r="J129" i="2"/>
  <c r="I129" i="2"/>
  <c r="H129" i="2"/>
  <c r="G129" i="2"/>
  <c r="F129" i="2"/>
  <c r="E129" i="2"/>
  <c r="D129" i="2"/>
  <c r="C129" i="2"/>
  <c r="BF128" i="2"/>
  <c r="BE128" i="2"/>
  <c r="BD128" i="2"/>
  <c r="BC128" i="2"/>
  <c r="BB128" i="2"/>
  <c r="BA128" i="2"/>
  <c r="AZ128" i="2"/>
  <c r="AY128" i="2"/>
  <c r="AX128" i="2"/>
  <c r="AW128" i="2"/>
  <c r="AV128" i="2"/>
  <c r="AU128" i="2"/>
  <c r="AT128" i="2"/>
  <c r="AS128" i="2"/>
  <c r="AR128" i="2"/>
  <c r="AQ128" i="2"/>
  <c r="AP128" i="2"/>
  <c r="AO128" i="2"/>
  <c r="AN128" i="2"/>
  <c r="AM128" i="2"/>
  <c r="AL128" i="2"/>
  <c r="AK128" i="2"/>
  <c r="AJ128" i="2"/>
  <c r="AI128" i="2"/>
  <c r="AH128" i="2"/>
  <c r="AG128" i="2"/>
  <c r="AF128" i="2"/>
  <c r="AE128" i="2"/>
  <c r="AD128" i="2"/>
  <c r="AC128" i="2"/>
  <c r="AB128" i="2"/>
  <c r="AA128" i="2"/>
  <c r="Z128" i="2"/>
  <c r="Y128" i="2"/>
  <c r="X128" i="2"/>
  <c r="W128" i="2"/>
  <c r="V128" i="2"/>
  <c r="U128" i="2"/>
  <c r="T128" i="2"/>
  <c r="S128" i="2"/>
  <c r="R128" i="2"/>
  <c r="Q128" i="2"/>
  <c r="P128" i="2"/>
  <c r="O128" i="2"/>
  <c r="N128" i="2"/>
  <c r="M128" i="2"/>
  <c r="L128" i="2"/>
  <c r="K128" i="2"/>
  <c r="J128" i="2"/>
  <c r="I128" i="2"/>
  <c r="H128" i="2"/>
  <c r="G128" i="2"/>
  <c r="F128" i="2"/>
  <c r="E128" i="2"/>
  <c r="D128" i="2"/>
  <c r="C128" i="2"/>
  <c r="BF127" i="2"/>
  <c r="BE127" i="2"/>
  <c r="BD127" i="2"/>
  <c r="BC127" i="2"/>
  <c r="BB127" i="2"/>
  <c r="BA127" i="2"/>
  <c r="AZ127" i="2"/>
  <c r="AY127" i="2"/>
  <c r="AX127" i="2"/>
  <c r="AW127" i="2"/>
  <c r="AV127" i="2"/>
  <c r="AU127" i="2"/>
  <c r="AT127" i="2"/>
  <c r="AS127" i="2"/>
  <c r="AR127" i="2"/>
  <c r="AQ127" i="2"/>
  <c r="AP127" i="2"/>
  <c r="AO127" i="2"/>
  <c r="AN127" i="2"/>
  <c r="AM127" i="2"/>
  <c r="AL127" i="2"/>
  <c r="AK127" i="2"/>
  <c r="AJ127" i="2"/>
  <c r="AI127" i="2"/>
  <c r="AH127" i="2"/>
  <c r="AG127" i="2"/>
  <c r="AF127" i="2"/>
  <c r="AE127" i="2"/>
  <c r="AD127" i="2"/>
  <c r="AC127" i="2"/>
  <c r="AB127" i="2"/>
  <c r="AA127" i="2"/>
  <c r="Z127" i="2"/>
  <c r="Y127" i="2"/>
  <c r="X127" i="2"/>
  <c r="W127" i="2"/>
  <c r="V127" i="2"/>
  <c r="U127" i="2"/>
  <c r="T127" i="2"/>
  <c r="S127" i="2"/>
  <c r="R127" i="2"/>
  <c r="Q127" i="2"/>
  <c r="P127" i="2"/>
  <c r="O127" i="2"/>
  <c r="N127" i="2"/>
  <c r="M127" i="2"/>
  <c r="L127" i="2"/>
  <c r="K127" i="2"/>
  <c r="J127" i="2"/>
  <c r="I127" i="2"/>
  <c r="H127" i="2"/>
  <c r="G127" i="2"/>
  <c r="F127" i="2"/>
  <c r="E127" i="2"/>
  <c r="D127" i="2"/>
  <c r="C127" i="2"/>
  <c r="BF126" i="2"/>
  <c r="BE126" i="2"/>
  <c r="BD126" i="2"/>
  <c r="BC126" i="2"/>
  <c r="BB126" i="2"/>
  <c r="BA126" i="2"/>
  <c r="AZ126" i="2"/>
  <c r="AY126" i="2"/>
  <c r="AX126" i="2"/>
  <c r="AW126" i="2"/>
  <c r="AV126" i="2"/>
  <c r="AU126" i="2"/>
  <c r="AT126" i="2"/>
  <c r="AS126" i="2"/>
  <c r="AR126" i="2"/>
  <c r="AQ126" i="2"/>
  <c r="AP126" i="2"/>
  <c r="AO126" i="2"/>
  <c r="AN126" i="2"/>
  <c r="AM126" i="2"/>
  <c r="AL126" i="2"/>
  <c r="AK126" i="2"/>
  <c r="AJ126" i="2"/>
  <c r="AI126" i="2"/>
  <c r="AH126" i="2"/>
  <c r="AG126" i="2"/>
  <c r="AF126" i="2"/>
  <c r="AE126" i="2"/>
  <c r="AD126" i="2"/>
  <c r="AC126" i="2"/>
  <c r="AB126" i="2"/>
  <c r="AA126" i="2"/>
  <c r="Z126" i="2"/>
  <c r="Y126" i="2"/>
  <c r="X126" i="2"/>
  <c r="W126" i="2"/>
  <c r="V126" i="2"/>
  <c r="U126" i="2"/>
  <c r="T126" i="2"/>
  <c r="S126" i="2"/>
  <c r="R126" i="2"/>
  <c r="Q126" i="2"/>
  <c r="P126" i="2"/>
  <c r="O126" i="2"/>
  <c r="N126" i="2"/>
  <c r="M126" i="2"/>
  <c r="L126" i="2"/>
  <c r="K126" i="2"/>
  <c r="J126" i="2"/>
  <c r="I126" i="2"/>
  <c r="H126" i="2"/>
  <c r="G126" i="2"/>
  <c r="F126" i="2"/>
  <c r="E126" i="2"/>
  <c r="D126" i="2"/>
  <c r="C126" i="2"/>
  <c r="BF125" i="2"/>
  <c r="BE125" i="2"/>
  <c r="BD125" i="2"/>
  <c r="BC125" i="2"/>
  <c r="BB125" i="2"/>
  <c r="BA125" i="2"/>
  <c r="AZ125" i="2"/>
  <c r="AY125" i="2"/>
  <c r="AX125" i="2"/>
  <c r="AW125" i="2"/>
  <c r="AV125" i="2"/>
  <c r="AU125" i="2"/>
  <c r="AT125" i="2"/>
  <c r="AS125" i="2"/>
  <c r="AR125" i="2"/>
  <c r="AQ125" i="2"/>
  <c r="AP125" i="2"/>
  <c r="AO125" i="2"/>
  <c r="AN125" i="2"/>
  <c r="AM125" i="2"/>
  <c r="AL125" i="2"/>
  <c r="AK125" i="2"/>
  <c r="AJ125" i="2"/>
  <c r="AI125" i="2"/>
  <c r="AH125" i="2"/>
  <c r="AG125" i="2"/>
  <c r="AF125" i="2"/>
  <c r="AE125" i="2"/>
  <c r="AD125" i="2"/>
  <c r="AC125" i="2"/>
  <c r="AB125" i="2"/>
  <c r="AA125" i="2"/>
  <c r="Z125" i="2"/>
  <c r="Y125" i="2"/>
  <c r="X125" i="2"/>
  <c r="W125" i="2"/>
  <c r="V125" i="2"/>
  <c r="U125" i="2"/>
  <c r="T125" i="2"/>
  <c r="S125" i="2"/>
  <c r="R125" i="2"/>
  <c r="Q125" i="2"/>
  <c r="P125" i="2"/>
  <c r="O125" i="2"/>
  <c r="N125" i="2"/>
  <c r="M125" i="2"/>
  <c r="L125" i="2"/>
  <c r="K125" i="2"/>
  <c r="J125" i="2"/>
  <c r="I125" i="2"/>
  <c r="H125" i="2"/>
  <c r="G125" i="2"/>
  <c r="F125" i="2"/>
  <c r="E125" i="2"/>
  <c r="D125" i="2"/>
  <c r="C125" i="2"/>
  <c r="BF416" i="2"/>
  <c r="BE416" i="2"/>
  <c r="BD416" i="2"/>
  <c r="BC416" i="2"/>
  <c r="BB416" i="2"/>
  <c r="BA416" i="2"/>
  <c r="AZ416" i="2"/>
  <c r="AY416" i="2"/>
  <c r="AX416" i="2"/>
  <c r="AW416" i="2"/>
  <c r="AV416" i="2"/>
  <c r="AU416" i="2"/>
  <c r="AT416" i="2"/>
  <c r="AS416" i="2"/>
  <c r="AR416" i="2"/>
  <c r="AQ416" i="2"/>
  <c r="AP416" i="2"/>
  <c r="AO416" i="2"/>
  <c r="AN416" i="2"/>
  <c r="AM416" i="2"/>
  <c r="AL416" i="2"/>
  <c r="AK416" i="2"/>
  <c r="AJ416" i="2"/>
  <c r="AI416" i="2"/>
  <c r="AH416" i="2"/>
  <c r="AG416" i="2"/>
  <c r="AF416" i="2"/>
  <c r="AE416" i="2"/>
  <c r="AD416" i="2"/>
  <c r="AC416" i="2"/>
  <c r="AB416" i="2"/>
  <c r="AA416" i="2"/>
  <c r="Z416" i="2"/>
  <c r="Y416" i="2"/>
  <c r="X416" i="2"/>
  <c r="W416" i="2"/>
  <c r="V416" i="2"/>
  <c r="U416" i="2"/>
  <c r="T416" i="2"/>
  <c r="S416" i="2"/>
  <c r="R416" i="2"/>
  <c r="Q416" i="2"/>
  <c r="P416" i="2"/>
  <c r="O416" i="2"/>
  <c r="N416" i="2"/>
  <c r="M416" i="2"/>
  <c r="L416" i="2"/>
  <c r="K416" i="2"/>
  <c r="J416" i="2"/>
  <c r="I416" i="2"/>
  <c r="H416" i="2"/>
  <c r="G416" i="2"/>
  <c r="F416" i="2"/>
  <c r="E416" i="2"/>
  <c r="D416" i="2"/>
  <c r="C416" i="2"/>
  <c r="B416" i="2"/>
  <c r="BF415" i="2"/>
  <c r="BE415" i="2"/>
  <c r="BD415" i="2"/>
  <c r="BC415" i="2"/>
  <c r="BB415" i="2"/>
  <c r="BA415" i="2"/>
  <c r="AZ415" i="2"/>
  <c r="AY415" i="2"/>
  <c r="AX415" i="2"/>
  <c r="AW415" i="2"/>
  <c r="AV415" i="2"/>
  <c r="AU415" i="2"/>
  <c r="AT415" i="2"/>
  <c r="AS415" i="2"/>
  <c r="AR415" i="2"/>
  <c r="AQ415" i="2"/>
  <c r="AP415" i="2"/>
  <c r="AO415" i="2"/>
  <c r="AN415" i="2"/>
  <c r="AM415" i="2"/>
  <c r="AL415" i="2"/>
  <c r="AK415" i="2"/>
  <c r="AJ415" i="2"/>
  <c r="AI415" i="2"/>
  <c r="AH415" i="2"/>
  <c r="AG415" i="2"/>
  <c r="AF415" i="2"/>
  <c r="AE415" i="2"/>
  <c r="AD415" i="2"/>
  <c r="AC415" i="2"/>
  <c r="AB415" i="2"/>
  <c r="AA415" i="2"/>
  <c r="Z415" i="2"/>
  <c r="Y415" i="2"/>
  <c r="X415" i="2"/>
  <c r="W415" i="2"/>
  <c r="V415" i="2"/>
  <c r="U415" i="2"/>
  <c r="T415" i="2"/>
  <c r="S415" i="2"/>
  <c r="R415" i="2"/>
  <c r="Q415" i="2"/>
  <c r="P415" i="2"/>
  <c r="O415" i="2"/>
  <c r="N415" i="2"/>
  <c r="M415" i="2"/>
  <c r="L415" i="2"/>
  <c r="K415" i="2"/>
  <c r="J415" i="2"/>
  <c r="I415" i="2"/>
  <c r="H415" i="2"/>
  <c r="G415" i="2"/>
  <c r="F415" i="2"/>
  <c r="E415" i="2"/>
  <c r="D415" i="2"/>
  <c r="C415" i="2"/>
  <c r="B415" i="2"/>
  <c r="BF414" i="2"/>
  <c r="BE414" i="2"/>
  <c r="BD414" i="2"/>
  <c r="BC414" i="2"/>
  <c r="BB414" i="2"/>
  <c r="BA414" i="2"/>
  <c r="AZ414" i="2"/>
  <c r="AY414" i="2"/>
  <c r="AX414" i="2"/>
  <c r="AW414" i="2"/>
  <c r="AV414" i="2"/>
  <c r="AU414" i="2"/>
  <c r="AT414" i="2"/>
  <c r="AS414" i="2"/>
  <c r="AR414" i="2"/>
  <c r="AQ414" i="2"/>
  <c r="AP414" i="2"/>
  <c r="AO414" i="2"/>
  <c r="AN414" i="2"/>
  <c r="AM414" i="2"/>
  <c r="AL414" i="2"/>
  <c r="AK414" i="2"/>
  <c r="AJ414" i="2"/>
  <c r="AI414" i="2"/>
  <c r="AH414" i="2"/>
  <c r="AG414" i="2"/>
  <c r="AF414" i="2"/>
  <c r="AE414" i="2"/>
  <c r="AD414" i="2"/>
  <c r="AC414" i="2"/>
  <c r="AB414" i="2"/>
  <c r="AA414" i="2"/>
  <c r="Z414" i="2"/>
  <c r="Y414" i="2"/>
  <c r="X414" i="2"/>
  <c r="W414" i="2"/>
  <c r="V414" i="2"/>
  <c r="U414" i="2"/>
  <c r="T414" i="2"/>
  <c r="S414" i="2"/>
  <c r="R414" i="2"/>
  <c r="Q414" i="2"/>
  <c r="P414" i="2"/>
  <c r="O414" i="2"/>
  <c r="N414" i="2"/>
  <c r="M414" i="2"/>
  <c r="L414" i="2"/>
  <c r="K414" i="2"/>
  <c r="J414" i="2"/>
  <c r="I414" i="2"/>
  <c r="H414" i="2"/>
  <c r="G414" i="2"/>
  <c r="F414" i="2"/>
  <c r="E414" i="2"/>
  <c r="D414" i="2"/>
  <c r="C414" i="2"/>
  <c r="B414" i="2"/>
  <c r="BF413" i="2"/>
  <c r="BE413" i="2"/>
  <c r="BD413" i="2"/>
  <c r="BC413" i="2"/>
  <c r="BB413" i="2"/>
  <c r="BA413" i="2"/>
  <c r="AZ413" i="2"/>
  <c r="AY413" i="2"/>
  <c r="AX413" i="2"/>
  <c r="AW413" i="2"/>
  <c r="AV413" i="2"/>
  <c r="AU413" i="2"/>
  <c r="AT413" i="2"/>
  <c r="AS413" i="2"/>
  <c r="AR413" i="2"/>
  <c r="AQ413" i="2"/>
  <c r="AP413" i="2"/>
  <c r="AO413" i="2"/>
  <c r="AN413" i="2"/>
  <c r="AM413" i="2"/>
  <c r="AL413" i="2"/>
  <c r="AK413" i="2"/>
  <c r="AJ413" i="2"/>
  <c r="AI413" i="2"/>
  <c r="AH413" i="2"/>
  <c r="AG413" i="2"/>
  <c r="AF413" i="2"/>
  <c r="AE413" i="2"/>
  <c r="AD413" i="2"/>
  <c r="AC413" i="2"/>
  <c r="AB413" i="2"/>
  <c r="AA413" i="2"/>
  <c r="Z413" i="2"/>
  <c r="Y413" i="2"/>
  <c r="X413" i="2"/>
  <c r="W413" i="2"/>
  <c r="V413" i="2"/>
  <c r="U413" i="2"/>
  <c r="T413" i="2"/>
  <c r="S413" i="2"/>
  <c r="R413" i="2"/>
  <c r="Q413" i="2"/>
  <c r="P413" i="2"/>
  <c r="O413" i="2"/>
  <c r="N413" i="2"/>
  <c r="M413" i="2"/>
  <c r="L413" i="2"/>
  <c r="K413" i="2"/>
  <c r="J413" i="2"/>
  <c r="I413" i="2"/>
  <c r="H413" i="2"/>
  <c r="G413" i="2"/>
  <c r="F413" i="2"/>
  <c r="E413" i="2"/>
  <c r="D413" i="2"/>
  <c r="C413" i="2"/>
  <c r="B413" i="2"/>
  <c r="BF412" i="2"/>
  <c r="BE412" i="2"/>
  <c r="BD412" i="2"/>
  <c r="BC412" i="2"/>
  <c r="BB412" i="2"/>
  <c r="BA412" i="2"/>
  <c r="AZ412" i="2"/>
  <c r="AY412" i="2"/>
  <c r="AX412" i="2"/>
  <c r="AW412" i="2"/>
  <c r="AV412" i="2"/>
  <c r="AU412" i="2"/>
  <c r="AT412" i="2"/>
  <c r="AS412" i="2"/>
  <c r="AR412" i="2"/>
  <c r="AQ412" i="2"/>
  <c r="AP412" i="2"/>
  <c r="AO412" i="2"/>
  <c r="AN412" i="2"/>
  <c r="AM412" i="2"/>
  <c r="AL412" i="2"/>
  <c r="AK412" i="2"/>
  <c r="AJ412" i="2"/>
  <c r="AI412" i="2"/>
  <c r="AH412" i="2"/>
  <c r="AG412" i="2"/>
  <c r="AF412" i="2"/>
  <c r="AE412" i="2"/>
  <c r="AD412" i="2"/>
  <c r="AC412" i="2"/>
  <c r="AB412" i="2"/>
  <c r="AA412" i="2"/>
  <c r="Z412" i="2"/>
  <c r="Y412" i="2"/>
  <c r="X412" i="2"/>
  <c r="W412" i="2"/>
  <c r="V412" i="2"/>
  <c r="U412" i="2"/>
  <c r="T412" i="2"/>
  <c r="S412" i="2"/>
  <c r="R412" i="2"/>
  <c r="Q412" i="2"/>
  <c r="P412" i="2"/>
  <c r="O412" i="2"/>
  <c r="N412" i="2"/>
  <c r="M412" i="2"/>
  <c r="L412" i="2"/>
  <c r="K412" i="2"/>
  <c r="J412" i="2"/>
  <c r="I412" i="2"/>
  <c r="H412" i="2"/>
  <c r="G412" i="2"/>
  <c r="F412" i="2"/>
  <c r="E412" i="2"/>
  <c r="D412" i="2"/>
  <c r="C412" i="2"/>
  <c r="B412" i="2"/>
  <c r="BF411" i="2"/>
  <c r="BE411" i="2"/>
  <c r="BD411" i="2"/>
  <c r="BC411" i="2"/>
  <c r="BB411" i="2"/>
  <c r="BA411" i="2"/>
  <c r="AZ411" i="2"/>
  <c r="AY411" i="2"/>
  <c r="AX411" i="2"/>
  <c r="AW411" i="2"/>
  <c r="AV411" i="2"/>
  <c r="AU411" i="2"/>
  <c r="AT411" i="2"/>
  <c r="AS411" i="2"/>
  <c r="AR411" i="2"/>
  <c r="AQ411" i="2"/>
  <c r="AP411" i="2"/>
  <c r="AO411" i="2"/>
  <c r="AN411" i="2"/>
  <c r="AM411" i="2"/>
  <c r="AL411" i="2"/>
  <c r="AK411" i="2"/>
  <c r="AJ411" i="2"/>
  <c r="AI411" i="2"/>
  <c r="AH411" i="2"/>
  <c r="AG411" i="2"/>
  <c r="AF411" i="2"/>
  <c r="AE411" i="2"/>
  <c r="AD411" i="2"/>
  <c r="AC411" i="2"/>
  <c r="AB411" i="2"/>
  <c r="AA411" i="2"/>
  <c r="Z411" i="2"/>
  <c r="Y411" i="2"/>
  <c r="X411" i="2"/>
  <c r="W411" i="2"/>
  <c r="V411" i="2"/>
  <c r="U411" i="2"/>
  <c r="T411" i="2"/>
  <c r="S411" i="2"/>
  <c r="R411" i="2"/>
  <c r="Q411" i="2"/>
  <c r="P411" i="2"/>
  <c r="O411" i="2"/>
  <c r="N411" i="2"/>
  <c r="M411" i="2"/>
  <c r="L411" i="2"/>
  <c r="K411" i="2"/>
  <c r="J411" i="2"/>
  <c r="I411" i="2"/>
  <c r="H411" i="2"/>
  <c r="G411" i="2"/>
  <c r="F411" i="2"/>
  <c r="E411" i="2"/>
  <c r="D411" i="2"/>
  <c r="C411" i="2"/>
  <c r="B411" i="2"/>
  <c r="BF410" i="2"/>
  <c r="BE410" i="2"/>
  <c r="BD410" i="2"/>
  <c r="BC410" i="2"/>
  <c r="BB410" i="2"/>
  <c r="BA410" i="2"/>
  <c r="AZ410" i="2"/>
  <c r="AY410" i="2"/>
  <c r="AX410" i="2"/>
  <c r="AW410" i="2"/>
  <c r="AV410" i="2"/>
  <c r="AU410" i="2"/>
  <c r="AT410" i="2"/>
  <c r="AS410" i="2"/>
  <c r="AR410" i="2"/>
  <c r="AQ410" i="2"/>
  <c r="AP410" i="2"/>
  <c r="AO410" i="2"/>
  <c r="AN410" i="2"/>
  <c r="AM410" i="2"/>
  <c r="AL410" i="2"/>
  <c r="AK410" i="2"/>
  <c r="AJ410" i="2"/>
  <c r="AI410" i="2"/>
  <c r="AH410" i="2"/>
  <c r="AG410" i="2"/>
  <c r="AF410" i="2"/>
  <c r="AE410" i="2"/>
  <c r="AD410" i="2"/>
  <c r="AC410" i="2"/>
  <c r="AB410" i="2"/>
  <c r="AA410" i="2"/>
  <c r="Z410" i="2"/>
  <c r="Y410" i="2"/>
  <c r="X410" i="2"/>
  <c r="W410" i="2"/>
  <c r="V410" i="2"/>
  <c r="U410" i="2"/>
  <c r="T410" i="2"/>
  <c r="S410" i="2"/>
  <c r="R410" i="2"/>
  <c r="Q410" i="2"/>
  <c r="P410" i="2"/>
  <c r="O410" i="2"/>
  <c r="N410" i="2"/>
  <c r="M410" i="2"/>
  <c r="L410" i="2"/>
  <c r="K410" i="2"/>
  <c r="J410" i="2"/>
  <c r="I410" i="2"/>
  <c r="H410" i="2"/>
  <c r="G410" i="2"/>
  <c r="F410" i="2"/>
  <c r="E410" i="2"/>
  <c r="D410" i="2"/>
  <c r="C410" i="2"/>
  <c r="B410" i="2"/>
  <c r="BF409" i="2"/>
  <c r="BE409" i="2"/>
  <c r="BD409" i="2"/>
  <c r="BC409" i="2"/>
  <c r="BB409" i="2"/>
  <c r="BA409" i="2"/>
  <c r="AZ409" i="2"/>
  <c r="AY409" i="2"/>
  <c r="AX409" i="2"/>
  <c r="AW409" i="2"/>
  <c r="AV409" i="2"/>
  <c r="AU409" i="2"/>
  <c r="AT409" i="2"/>
  <c r="AS409" i="2"/>
  <c r="AR409" i="2"/>
  <c r="AQ409" i="2"/>
  <c r="AP409" i="2"/>
  <c r="AO409" i="2"/>
  <c r="AN409" i="2"/>
  <c r="AM409" i="2"/>
  <c r="AL409" i="2"/>
  <c r="AK409" i="2"/>
  <c r="AJ409" i="2"/>
  <c r="AI409" i="2"/>
  <c r="AH409" i="2"/>
  <c r="AG409" i="2"/>
  <c r="AF409" i="2"/>
  <c r="AE409" i="2"/>
  <c r="AD409" i="2"/>
  <c r="AC409" i="2"/>
  <c r="AB409" i="2"/>
  <c r="AA409" i="2"/>
  <c r="Z409" i="2"/>
  <c r="Y409" i="2"/>
  <c r="X409" i="2"/>
  <c r="W409" i="2"/>
  <c r="V409" i="2"/>
  <c r="U409" i="2"/>
  <c r="T409" i="2"/>
  <c r="S409" i="2"/>
  <c r="R409" i="2"/>
  <c r="Q409" i="2"/>
  <c r="P409" i="2"/>
  <c r="O409" i="2"/>
  <c r="N409" i="2"/>
  <c r="M409" i="2"/>
  <c r="L409" i="2"/>
  <c r="K409" i="2"/>
  <c r="J409" i="2"/>
  <c r="I409" i="2"/>
  <c r="H409" i="2"/>
  <c r="G409" i="2"/>
  <c r="F409" i="2"/>
  <c r="E409" i="2"/>
  <c r="D409" i="2"/>
  <c r="C409" i="2"/>
  <c r="B409" i="2"/>
  <c r="BF408" i="2"/>
  <c r="BE408" i="2"/>
  <c r="BD408" i="2"/>
  <c r="BC408" i="2"/>
  <c r="BB408" i="2"/>
  <c r="BA408" i="2"/>
  <c r="AZ408" i="2"/>
  <c r="AY408" i="2"/>
  <c r="AX408" i="2"/>
  <c r="AW408" i="2"/>
  <c r="AV408" i="2"/>
  <c r="AU408" i="2"/>
  <c r="AT408" i="2"/>
  <c r="AS408" i="2"/>
  <c r="AR408" i="2"/>
  <c r="AQ408" i="2"/>
  <c r="AP408" i="2"/>
  <c r="AO408" i="2"/>
  <c r="AN408" i="2"/>
  <c r="AM408" i="2"/>
  <c r="AL408" i="2"/>
  <c r="AK408" i="2"/>
  <c r="AJ408" i="2"/>
  <c r="AI408" i="2"/>
  <c r="AH408" i="2"/>
  <c r="AG408" i="2"/>
  <c r="AF408" i="2"/>
  <c r="AE408" i="2"/>
  <c r="AD408" i="2"/>
  <c r="AC408" i="2"/>
  <c r="AB408" i="2"/>
  <c r="AA408" i="2"/>
  <c r="Z408" i="2"/>
  <c r="Y408" i="2"/>
  <c r="X408" i="2"/>
  <c r="W408" i="2"/>
  <c r="V408" i="2"/>
  <c r="U408" i="2"/>
  <c r="T408" i="2"/>
  <c r="S408" i="2"/>
  <c r="R408" i="2"/>
  <c r="Q408" i="2"/>
  <c r="P408" i="2"/>
  <c r="O408" i="2"/>
  <c r="N408" i="2"/>
  <c r="M408" i="2"/>
  <c r="L408" i="2"/>
  <c r="K408" i="2"/>
  <c r="J408" i="2"/>
  <c r="I408" i="2"/>
  <c r="H408" i="2"/>
  <c r="G408" i="2"/>
  <c r="F408" i="2"/>
  <c r="E408" i="2"/>
  <c r="D408" i="2"/>
  <c r="C408" i="2"/>
  <c r="B408" i="2"/>
  <c r="BF407" i="2"/>
  <c r="BE407" i="2"/>
  <c r="BD407" i="2"/>
  <c r="BC407" i="2"/>
  <c r="BB407" i="2"/>
  <c r="BA407" i="2"/>
  <c r="AZ407" i="2"/>
  <c r="AY407" i="2"/>
  <c r="AX407" i="2"/>
  <c r="AW407" i="2"/>
  <c r="AV407" i="2"/>
  <c r="AU407" i="2"/>
  <c r="AT407" i="2"/>
  <c r="AS407" i="2"/>
  <c r="AR407" i="2"/>
  <c r="AQ407" i="2"/>
  <c r="AP407" i="2"/>
  <c r="AO407" i="2"/>
  <c r="AN407" i="2"/>
  <c r="AM407" i="2"/>
  <c r="AL407" i="2"/>
  <c r="AK407" i="2"/>
  <c r="AJ407" i="2"/>
  <c r="AI407" i="2"/>
  <c r="AH407" i="2"/>
  <c r="AG407" i="2"/>
  <c r="AF407" i="2"/>
  <c r="AE407" i="2"/>
  <c r="AD407" i="2"/>
  <c r="AC407" i="2"/>
  <c r="AB407" i="2"/>
  <c r="AA407" i="2"/>
  <c r="Z407" i="2"/>
  <c r="Y407" i="2"/>
  <c r="X407" i="2"/>
  <c r="W407" i="2"/>
  <c r="V407" i="2"/>
  <c r="U407" i="2"/>
  <c r="T407" i="2"/>
  <c r="S407" i="2"/>
  <c r="R407" i="2"/>
  <c r="Q407" i="2"/>
  <c r="P407" i="2"/>
  <c r="O407" i="2"/>
  <c r="N407" i="2"/>
  <c r="M407" i="2"/>
  <c r="L407" i="2"/>
  <c r="K407" i="2"/>
  <c r="J407" i="2"/>
  <c r="I407" i="2"/>
  <c r="H407" i="2"/>
  <c r="G407" i="2"/>
  <c r="F407" i="2"/>
  <c r="E407" i="2"/>
  <c r="D407" i="2"/>
  <c r="C407" i="2"/>
  <c r="B407" i="2"/>
  <c r="BF406" i="2"/>
  <c r="BE406" i="2"/>
  <c r="BD406" i="2"/>
  <c r="BC406" i="2"/>
  <c r="BB406" i="2"/>
  <c r="BA406" i="2"/>
  <c r="AZ406" i="2"/>
  <c r="AY406" i="2"/>
  <c r="AX406" i="2"/>
  <c r="AW406" i="2"/>
  <c r="AV406" i="2"/>
  <c r="AU406" i="2"/>
  <c r="AT406" i="2"/>
  <c r="AS406" i="2"/>
  <c r="AR406" i="2"/>
  <c r="AQ406" i="2"/>
  <c r="AP406" i="2"/>
  <c r="AO406" i="2"/>
  <c r="AN406" i="2"/>
  <c r="AM406" i="2"/>
  <c r="AL406" i="2"/>
  <c r="AK406" i="2"/>
  <c r="AJ406" i="2"/>
  <c r="AI406" i="2"/>
  <c r="AH406" i="2"/>
  <c r="AG406" i="2"/>
  <c r="AF406" i="2"/>
  <c r="AE406" i="2"/>
  <c r="AD406" i="2"/>
  <c r="AC406" i="2"/>
  <c r="AB406" i="2"/>
  <c r="AA406" i="2"/>
  <c r="Z406" i="2"/>
  <c r="Y406" i="2"/>
  <c r="X406" i="2"/>
  <c r="W406" i="2"/>
  <c r="V406" i="2"/>
  <c r="U406" i="2"/>
  <c r="T406" i="2"/>
  <c r="S406" i="2"/>
  <c r="R406" i="2"/>
  <c r="Q406" i="2"/>
  <c r="P406" i="2"/>
  <c r="O406" i="2"/>
  <c r="N406" i="2"/>
  <c r="M406" i="2"/>
  <c r="L406" i="2"/>
  <c r="K406" i="2"/>
  <c r="J406" i="2"/>
  <c r="I406" i="2"/>
  <c r="H406" i="2"/>
  <c r="G406" i="2"/>
  <c r="F406" i="2"/>
  <c r="E406" i="2"/>
  <c r="D406" i="2"/>
  <c r="C406" i="2"/>
  <c r="B406" i="2"/>
  <c r="BF405" i="2"/>
  <c r="BE405" i="2"/>
  <c r="BD405" i="2"/>
  <c r="BC405" i="2"/>
  <c r="BB405" i="2"/>
  <c r="BA405" i="2"/>
  <c r="AZ405" i="2"/>
  <c r="AY405" i="2"/>
  <c r="AX405" i="2"/>
  <c r="AW405" i="2"/>
  <c r="AV405" i="2"/>
  <c r="AU405" i="2"/>
  <c r="AT405" i="2"/>
  <c r="AS405" i="2"/>
  <c r="AR405" i="2"/>
  <c r="AQ405" i="2"/>
  <c r="AP405" i="2"/>
  <c r="AO405" i="2"/>
  <c r="AN405" i="2"/>
  <c r="AM405" i="2"/>
  <c r="AL405" i="2"/>
  <c r="AK405" i="2"/>
  <c r="AJ405" i="2"/>
  <c r="AI405" i="2"/>
  <c r="AH405" i="2"/>
  <c r="AG405" i="2"/>
  <c r="AF405" i="2"/>
  <c r="AE405" i="2"/>
  <c r="AD405" i="2"/>
  <c r="AC405" i="2"/>
  <c r="AB405" i="2"/>
  <c r="AA405" i="2"/>
  <c r="Z405" i="2"/>
  <c r="Y405" i="2"/>
  <c r="X405" i="2"/>
  <c r="W405" i="2"/>
  <c r="V405" i="2"/>
  <c r="U405" i="2"/>
  <c r="T405" i="2"/>
  <c r="S405" i="2"/>
  <c r="R405" i="2"/>
  <c r="Q405" i="2"/>
  <c r="P405" i="2"/>
  <c r="O405" i="2"/>
  <c r="N405" i="2"/>
  <c r="M405" i="2"/>
  <c r="L405" i="2"/>
  <c r="K405" i="2"/>
  <c r="J405" i="2"/>
  <c r="I405" i="2"/>
  <c r="H405" i="2"/>
  <c r="G405" i="2"/>
  <c r="F405" i="2"/>
  <c r="E405" i="2"/>
  <c r="D405" i="2"/>
  <c r="C405" i="2"/>
  <c r="B405" i="2"/>
  <c r="BF404" i="2"/>
  <c r="BE404" i="2"/>
  <c r="BD404" i="2"/>
  <c r="BC404" i="2"/>
  <c r="BB404" i="2"/>
  <c r="BA404" i="2"/>
  <c r="AZ404" i="2"/>
  <c r="AY404" i="2"/>
  <c r="AX404" i="2"/>
  <c r="AW404" i="2"/>
  <c r="AV404" i="2"/>
  <c r="AU404" i="2"/>
  <c r="AT404" i="2"/>
  <c r="AS404" i="2"/>
  <c r="AR404" i="2"/>
  <c r="AQ404" i="2"/>
  <c r="AP404" i="2"/>
  <c r="AO404" i="2"/>
  <c r="AN404" i="2"/>
  <c r="AM404" i="2"/>
  <c r="AL404" i="2"/>
  <c r="AK404" i="2"/>
  <c r="AJ404" i="2"/>
  <c r="AI404" i="2"/>
  <c r="AH404" i="2"/>
  <c r="AG404" i="2"/>
  <c r="AF404" i="2"/>
  <c r="AE404" i="2"/>
  <c r="AD404" i="2"/>
  <c r="AC404" i="2"/>
  <c r="AB404" i="2"/>
  <c r="AA404" i="2"/>
  <c r="Z404" i="2"/>
  <c r="Y404" i="2"/>
  <c r="X404" i="2"/>
  <c r="W404" i="2"/>
  <c r="V404" i="2"/>
  <c r="U404" i="2"/>
  <c r="T404" i="2"/>
  <c r="S404" i="2"/>
  <c r="R404" i="2"/>
  <c r="Q404" i="2"/>
  <c r="P404" i="2"/>
  <c r="O404" i="2"/>
  <c r="N404" i="2"/>
  <c r="M404" i="2"/>
  <c r="L404" i="2"/>
  <c r="K404" i="2"/>
  <c r="J404" i="2"/>
  <c r="I404" i="2"/>
  <c r="H404" i="2"/>
  <c r="G404" i="2"/>
  <c r="F404" i="2"/>
  <c r="E404" i="2"/>
  <c r="D404" i="2"/>
  <c r="C404" i="2"/>
  <c r="B404" i="2"/>
  <c r="BF403" i="2"/>
  <c r="BE403" i="2"/>
  <c r="BD403" i="2"/>
  <c r="BC403" i="2"/>
  <c r="BB403" i="2"/>
  <c r="BA403" i="2"/>
  <c r="AZ403" i="2"/>
  <c r="AY403" i="2"/>
  <c r="AX403" i="2"/>
  <c r="AW403" i="2"/>
  <c r="AV403" i="2"/>
  <c r="AU403" i="2"/>
  <c r="AT403" i="2"/>
  <c r="AS403" i="2"/>
  <c r="AR403" i="2"/>
  <c r="AQ403" i="2"/>
  <c r="AP403" i="2"/>
  <c r="AO403" i="2"/>
  <c r="AN403" i="2"/>
  <c r="AM403" i="2"/>
  <c r="AL403" i="2"/>
  <c r="AK403" i="2"/>
  <c r="AJ403" i="2"/>
  <c r="AI403" i="2"/>
  <c r="AH403" i="2"/>
  <c r="AG403" i="2"/>
  <c r="AF403" i="2"/>
  <c r="AE403" i="2"/>
  <c r="AD403" i="2"/>
  <c r="AC403" i="2"/>
  <c r="AB403" i="2"/>
  <c r="AA403" i="2"/>
  <c r="Z403" i="2"/>
  <c r="Y403" i="2"/>
  <c r="X403" i="2"/>
  <c r="W403" i="2"/>
  <c r="V403" i="2"/>
  <c r="U403" i="2"/>
  <c r="T403" i="2"/>
  <c r="S403" i="2"/>
  <c r="R403" i="2"/>
  <c r="Q403" i="2"/>
  <c r="P403" i="2"/>
  <c r="O403" i="2"/>
  <c r="N403" i="2"/>
  <c r="M403" i="2"/>
  <c r="L403" i="2"/>
  <c r="K403" i="2"/>
  <c r="J403" i="2"/>
  <c r="I403" i="2"/>
  <c r="H403" i="2"/>
  <c r="G403" i="2"/>
  <c r="F403" i="2"/>
  <c r="E403" i="2"/>
  <c r="D403" i="2"/>
  <c r="C403" i="2"/>
  <c r="B403" i="2"/>
  <c r="BF402" i="2"/>
  <c r="BE402" i="2"/>
  <c r="BD402" i="2"/>
  <c r="BC402" i="2"/>
  <c r="BB402" i="2"/>
  <c r="BA402" i="2"/>
  <c r="AZ402" i="2"/>
  <c r="AY402" i="2"/>
  <c r="AX402" i="2"/>
  <c r="AW402" i="2"/>
  <c r="AV402" i="2"/>
  <c r="AU402" i="2"/>
  <c r="AT402" i="2"/>
  <c r="AS402" i="2"/>
  <c r="AR402" i="2"/>
  <c r="AQ402" i="2"/>
  <c r="AP402" i="2"/>
  <c r="AO402" i="2"/>
  <c r="AN402" i="2"/>
  <c r="AM402" i="2"/>
  <c r="AL402" i="2"/>
  <c r="AK402" i="2"/>
  <c r="AJ402" i="2"/>
  <c r="AI402" i="2"/>
  <c r="AH402" i="2"/>
  <c r="AG402" i="2"/>
  <c r="AF402" i="2"/>
  <c r="AE402" i="2"/>
  <c r="AD402" i="2"/>
  <c r="AC402" i="2"/>
  <c r="AB402" i="2"/>
  <c r="AA402" i="2"/>
  <c r="Z402" i="2"/>
  <c r="Y402" i="2"/>
  <c r="X402" i="2"/>
  <c r="W402" i="2"/>
  <c r="V402" i="2"/>
  <c r="U402" i="2"/>
  <c r="T402" i="2"/>
  <c r="S402" i="2"/>
  <c r="R402" i="2"/>
  <c r="Q402" i="2"/>
  <c r="P402" i="2"/>
  <c r="O402" i="2"/>
  <c r="N402" i="2"/>
  <c r="M402" i="2"/>
  <c r="L402" i="2"/>
  <c r="K402" i="2"/>
  <c r="J402" i="2"/>
  <c r="I402" i="2"/>
  <c r="H402" i="2"/>
  <c r="G402" i="2"/>
  <c r="F402" i="2"/>
  <c r="E402" i="2"/>
  <c r="D402" i="2"/>
  <c r="C402" i="2"/>
  <c r="B402" i="2"/>
  <c r="BF401" i="2"/>
  <c r="BE401" i="2"/>
  <c r="BD401" i="2"/>
  <c r="BC401" i="2"/>
  <c r="BB401" i="2"/>
  <c r="BA401" i="2"/>
  <c r="AZ401" i="2"/>
  <c r="AY401" i="2"/>
  <c r="AX401" i="2"/>
  <c r="AW401" i="2"/>
  <c r="AV401" i="2"/>
  <c r="AU401" i="2"/>
  <c r="AT401" i="2"/>
  <c r="AS401" i="2"/>
  <c r="AR401" i="2"/>
  <c r="AQ401" i="2"/>
  <c r="AP401" i="2"/>
  <c r="AO401" i="2"/>
  <c r="AN401" i="2"/>
  <c r="AM401" i="2"/>
  <c r="AL401" i="2"/>
  <c r="AK401" i="2"/>
  <c r="AJ401" i="2"/>
  <c r="AI401" i="2"/>
  <c r="AH401" i="2"/>
  <c r="AG401" i="2"/>
  <c r="AF401" i="2"/>
  <c r="AE401" i="2"/>
  <c r="AD401" i="2"/>
  <c r="AC401" i="2"/>
  <c r="AB401" i="2"/>
  <c r="AA401" i="2"/>
  <c r="Z401" i="2"/>
  <c r="Y401" i="2"/>
  <c r="X401" i="2"/>
  <c r="W401" i="2"/>
  <c r="V401" i="2"/>
  <c r="U401" i="2"/>
  <c r="T401" i="2"/>
  <c r="S401" i="2"/>
  <c r="R401" i="2"/>
  <c r="Q401" i="2"/>
  <c r="P401" i="2"/>
  <c r="O401" i="2"/>
  <c r="N401" i="2"/>
  <c r="M401" i="2"/>
  <c r="L401" i="2"/>
  <c r="K401" i="2"/>
  <c r="J401" i="2"/>
  <c r="I401" i="2"/>
  <c r="H401" i="2"/>
  <c r="G401" i="2"/>
  <c r="F401" i="2"/>
  <c r="E401" i="2"/>
  <c r="D401" i="2"/>
  <c r="C401" i="2"/>
  <c r="B401" i="2"/>
  <c r="BF400" i="2"/>
  <c r="BE400" i="2"/>
  <c r="BD400" i="2"/>
  <c r="BC400" i="2"/>
  <c r="BB400" i="2"/>
  <c r="BA400" i="2"/>
  <c r="AZ400" i="2"/>
  <c r="AY400" i="2"/>
  <c r="AX400" i="2"/>
  <c r="AW400" i="2"/>
  <c r="AV400" i="2"/>
  <c r="AU400" i="2"/>
  <c r="AT400" i="2"/>
  <c r="AS400" i="2"/>
  <c r="AR400" i="2"/>
  <c r="AQ400" i="2"/>
  <c r="AP400" i="2"/>
  <c r="AO400" i="2"/>
  <c r="AN400" i="2"/>
  <c r="AM400" i="2"/>
  <c r="AL400" i="2"/>
  <c r="AK400" i="2"/>
  <c r="AJ400" i="2"/>
  <c r="AI400" i="2"/>
  <c r="AH400" i="2"/>
  <c r="AG400" i="2"/>
  <c r="AF400" i="2"/>
  <c r="AE400" i="2"/>
  <c r="AD400" i="2"/>
  <c r="AC400" i="2"/>
  <c r="AB400" i="2"/>
  <c r="AA400" i="2"/>
  <c r="Z400" i="2"/>
  <c r="Y400" i="2"/>
  <c r="X400" i="2"/>
  <c r="W400" i="2"/>
  <c r="V400" i="2"/>
  <c r="U400" i="2"/>
  <c r="T400" i="2"/>
  <c r="S400" i="2"/>
  <c r="R400" i="2"/>
  <c r="Q400" i="2"/>
  <c r="P400" i="2"/>
  <c r="O400" i="2"/>
  <c r="N400" i="2"/>
  <c r="M400" i="2"/>
  <c r="L400" i="2"/>
  <c r="K400" i="2"/>
  <c r="J400" i="2"/>
  <c r="I400" i="2"/>
  <c r="H400" i="2"/>
  <c r="G400" i="2"/>
  <c r="F400" i="2"/>
  <c r="E400" i="2"/>
  <c r="D400" i="2"/>
  <c r="C400" i="2"/>
  <c r="B400" i="2"/>
  <c r="BF399" i="2"/>
  <c r="BE399" i="2"/>
  <c r="BD399" i="2"/>
  <c r="BC399" i="2"/>
  <c r="BB399" i="2"/>
  <c r="BA399" i="2"/>
  <c r="AZ399" i="2"/>
  <c r="AY399" i="2"/>
  <c r="AX399" i="2"/>
  <c r="AW399" i="2"/>
  <c r="AV399" i="2"/>
  <c r="AU399" i="2"/>
  <c r="AT399" i="2"/>
  <c r="AS399" i="2"/>
  <c r="AR399" i="2"/>
  <c r="AQ399" i="2"/>
  <c r="AP399" i="2"/>
  <c r="AO399" i="2"/>
  <c r="AN399" i="2"/>
  <c r="AM399" i="2"/>
  <c r="AL399" i="2"/>
  <c r="AK399" i="2"/>
  <c r="AJ399" i="2"/>
  <c r="AI399" i="2"/>
  <c r="AH399" i="2"/>
  <c r="AG399" i="2"/>
  <c r="AF399" i="2"/>
  <c r="AE399" i="2"/>
  <c r="AD399" i="2"/>
  <c r="AC399" i="2"/>
  <c r="AB399" i="2"/>
  <c r="AA399" i="2"/>
  <c r="Z399" i="2"/>
  <c r="Y399" i="2"/>
  <c r="X399" i="2"/>
  <c r="W399" i="2"/>
  <c r="V399" i="2"/>
  <c r="U399" i="2"/>
  <c r="T399" i="2"/>
  <c r="S399" i="2"/>
  <c r="R399" i="2"/>
  <c r="Q399" i="2"/>
  <c r="P399" i="2"/>
  <c r="O399" i="2"/>
  <c r="N399" i="2"/>
  <c r="M399" i="2"/>
  <c r="L399" i="2"/>
  <c r="K399" i="2"/>
  <c r="J399" i="2"/>
  <c r="I399" i="2"/>
  <c r="H399" i="2"/>
  <c r="G399" i="2"/>
  <c r="F399" i="2"/>
  <c r="E399" i="2"/>
  <c r="D399" i="2"/>
  <c r="C399" i="2"/>
  <c r="B399" i="2"/>
  <c r="BF398" i="2"/>
  <c r="BE398" i="2"/>
  <c r="BD398" i="2"/>
  <c r="BC398" i="2"/>
  <c r="BB398" i="2"/>
  <c r="BA398" i="2"/>
  <c r="AZ398" i="2"/>
  <c r="AY398" i="2"/>
  <c r="AX398" i="2"/>
  <c r="AW398" i="2"/>
  <c r="AV398" i="2"/>
  <c r="AU398" i="2"/>
  <c r="AT398" i="2"/>
  <c r="AS398" i="2"/>
  <c r="AR398" i="2"/>
  <c r="AQ398" i="2"/>
  <c r="AP398" i="2"/>
  <c r="AO398" i="2"/>
  <c r="AN398" i="2"/>
  <c r="AM398" i="2"/>
  <c r="AL398" i="2"/>
  <c r="AK398" i="2"/>
  <c r="AJ398" i="2"/>
  <c r="AI398" i="2"/>
  <c r="AH398" i="2"/>
  <c r="AG398" i="2"/>
  <c r="AF398" i="2"/>
  <c r="AE398" i="2"/>
  <c r="AD398" i="2"/>
  <c r="AC398" i="2"/>
  <c r="AB398" i="2"/>
  <c r="AA398" i="2"/>
  <c r="Z398" i="2"/>
  <c r="Y398" i="2"/>
  <c r="X398" i="2"/>
  <c r="W398" i="2"/>
  <c r="V398" i="2"/>
  <c r="U398" i="2"/>
  <c r="T398" i="2"/>
  <c r="S398" i="2"/>
  <c r="R398" i="2"/>
  <c r="Q398" i="2"/>
  <c r="P398" i="2"/>
  <c r="O398" i="2"/>
  <c r="N398" i="2"/>
  <c r="M398" i="2"/>
  <c r="L398" i="2"/>
  <c r="K398" i="2"/>
  <c r="J398" i="2"/>
  <c r="I398" i="2"/>
  <c r="H398" i="2"/>
  <c r="G398" i="2"/>
  <c r="F398" i="2"/>
  <c r="E398" i="2"/>
  <c r="D398" i="2"/>
  <c r="C398" i="2"/>
  <c r="B398" i="2"/>
  <c r="BF397" i="2"/>
  <c r="BE397" i="2"/>
  <c r="BD397" i="2"/>
  <c r="BC397" i="2"/>
  <c r="BB397" i="2"/>
  <c r="BA397" i="2"/>
  <c r="AZ397" i="2"/>
  <c r="AY397" i="2"/>
  <c r="AX397" i="2"/>
  <c r="AW397" i="2"/>
  <c r="AV397" i="2"/>
  <c r="AU397" i="2"/>
  <c r="AT397" i="2"/>
  <c r="AS397" i="2"/>
  <c r="AR397" i="2"/>
  <c r="AQ397" i="2"/>
  <c r="AP397" i="2"/>
  <c r="AO397" i="2"/>
  <c r="AN397" i="2"/>
  <c r="AM397" i="2"/>
  <c r="AL397" i="2"/>
  <c r="AK397" i="2"/>
  <c r="AJ397" i="2"/>
  <c r="AI397" i="2"/>
  <c r="AH397" i="2"/>
  <c r="AG397" i="2"/>
  <c r="AF397" i="2"/>
  <c r="AE397" i="2"/>
  <c r="AD397" i="2"/>
  <c r="AC397" i="2"/>
  <c r="AB397" i="2"/>
  <c r="AA397" i="2"/>
  <c r="Z397" i="2"/>
  <c r="Y397" i="2"/>
  <c r="X397" i="2"/>
  <c r="W397" i="2"/>
  <c r="V397" i="2"/>
  <c r="U397" i="2"/>
  <c r="T397" i="2"/>
  <c r="S397" i="2"/>
  <c r="R397" i="2"/>
  <c r="Q397" i="2"/>
  <c r="P397" i="2"/>
  <c r="O397" i="2"/>
  <c r="N397" i="2"/>
  <c r="M397" i="2"/>
  <c r="L397" i="2"/>
  <c r="K397" i="2"/>
  <c r="J397" i="2"/>
  <c r="I397" i="2"/>
  <c r="H397" i="2"/>
  <c r="G397" i="2"/>
  <c r="F397" i="2"/>
  <c r="E397" i="2"/>
  <c r="D397" i="2"/>
  <c r="C397" i="2"/>
  <c r="B397" i="2"/>
  <c r="BF396" i="2"/>
  <c r="BE396" i="2"/>
  <c r="BD396" i="2"/>
  <c r="BC396" i="2"/>
  <c r="BB396" i="2"/>
  <c r="BA396" i="2"/>
  <c r="AZ396" i="2"/>
  <c r="AY396" i="2"/>
  <c r="AX396" i="2"/>
  <c r="AW396" i="2"/>
  <c r="AV396" i="2"/>
  <c r="AU396" i="2"/>
  <c r="AT396" i="2"/>
  <c r="AS396" i="2"/>
  <c r="AR396" i="2"/>
  <c r="AQ396" i="2"/>
  <c r="AP396" i="2"/>
  <c r="AO396" i="2"/>
  <c r="AN396" i="2"/>
  <c r="AM396" i="2"/>
  <c r="AL396" i="2"/>
  <c r="AK396" i="2"/>
  <c r="AJ396" i="2"/>
  <c r="AI396" i="2"/>
  <c r="AH396" i="2"/>
  <c r="AG396" i="2"/>
  <c r="AF396" i="2"/>
  <c r="AE396" i="2"/>
  <c r="AD396" i="2"/>
  <c r="AC396" i="2"/>
  <c r="AB396" i="2"/>
  <c r="AA396" i="2"/>
  <c r="Z396" i="2"/>
  <c r="Y396" i="2"/>
  <c r="X396" i="2"/>
  <c r="W396" i="2"/>
  <c r="V396" i="2"/>
  <c r="U396" i="2"/>
  <c r="T396" i="2"/>
  <c r="S396" i="2"/>
  <c r="R396" i="2"/>
  <c r="Q396" i="2"/>
  <c r="P396" i="2"/>
  <c r="O396" i="2"/>
  <c r="N396" i="2"/>
  <c r="M396" i="2"/>
  <c r="L396" i="2"/>
  <c r="K396" i="2"/>
  <c r="J396" i="2"/>
  <c r="I396" i="2"/>
  <c r="H396" i="2"/>
  <c r="G396" i="2"/>
  <c r="F396" i="2"/>
  <c r="E396" i="2"/>
  <c r="D396" i="2"/>
  <c r="C396" i="2"/>
  <c r="B396" i="2"/>
  <c r="BF395" i="2"/>
  <c r="BE395" i="2"/>
  <c r="BD395" i="2"/>
  <c r="BC395" i="2"/>
  <c r="BB395" i="2"/>
  <c r="BA395" i="2"/>
  <c r="AZ395" i="2"/>
  <c r="AY395" i="2"/>
  <c r="AX395" i="2"/>
  <c r="AW395" i="2"/>
  <c r="AV395" i="2"/>
  <c r="AU395" i="2"/>
  <c r="AT395" i="2"/>
  <c r="AS395" i="2"/>
  <c r="AR395" i="2"/>
  <c r="AQ395" i="2"/>
  <c r="AP395" i="2"/>
  <c r="AO395" i="2"/>
  <c r="AN395" i="2"/>
  <c r="AM395" i="2"/>
  <c r="AL395" i="2"/>
  <c r="AK395" i="2"/>
  <c r="AJ395" i="2"/>
  <c r="AI395" i="2"/>
  <c r="AH395" i="2"/>
  <c r="AG395" i="2"/>
  <c r="AF395" i="2"/>
  <c r="AE395" i="2"/>
  <c r="AD395" i="2"/>
  <c r="AC395" i="2"/>
  <c r="AB395" i="2"/>
  <c r="AA395" i="2"/>
  <c r="Z395" i="2"/>
  <c r="Y395" i="2"/>
  <c r="X395" i="2"/>
  <c r="W395" i="2"/>
  <c r="V395" i="2"/>
  <c r="U395" i="2"/>
  <c r="T395" i="2"/>
  <c r="S395" i="2"/>
  <c r="R395" i="2"/>
  <c r="Q395" i="2"/>
  <c r="P395" i="2"/>
  <c r="O395" i="2"/>
  <c r="N395" i="2"/>
  <c r="M395" i="2"/>
  <c r="L395" i="2"/>
  <c r="K395" i="2"/>
  <c r="J395" i="2"/>
  <c r="I395" i="2"/>
  <c r="H395" i="2"/>
  <c r="G395" i="2"/>
  <c r="F395" i="2"/>
  <c r="E395" i="2"/>
  <c r="D395" i="2"/>
  <c r="C395" i="2"/>
  <c r="B395" i="2"/>
  <c r="BF394" i="2"/>
  <c r="BE394" i="2"/>
  <c r="BD394" i="2"/>
  <c r="BC394" i="2"/>
  <c r="BB394" i="2"/>
  <c r="BA394" i="2"/>
  <c r="AZ394" i="2"/>
  <c r="AY394" i="2"/>
  <c r="AX394" i="2"/>
  <c r="AW394" i="2"/>
  <c r="AV394" i="2"/>
  <c r="AU394" i="2"/>
  <c r="AT394" i="2"/>
  <c r="AS394" i="2"/>
  <c r="AR394" i="2"/>
  <c r="AQ394" i="2"/>
  <c r="AP394" i="2"/>
  <c r="AO394" i="2"/>
  <c r="AN394" i="2"/>
  <c r="AM394" i="2"/>
  <c r="AL394" i="2"/>
  <c r="AK394" i="2"/>
  <c r="AJ394" i="2"/>
  <c r="AI394" i="2"/>
  <c r="AH394" i="2"/>
  <c r="AG394" i="2"/>
  <c r="AF394" i="2"/>
  <c r="AE394" i="2"/>
  <c r="AD394" i="2"/>
  <c r="AC394" i="2"/>
  <c r="AB394" i="2"/>
  <c r="AA394" i="2"/>
  <c r="Z394" i="2"/>
  <c r="Y394" i="2"/>
  <c r="X394" i="2"/>
  <c r="W394" i="2"/>
  <c r="V394" i="2"/>
  <c r="U394" i="2"/>
  <c r="T394" i="2"/>
  <c r="S394" i="2"/>
  <c r="R394" i="2"/>
  <c r="Q394" i="2"/>
  <c r="P394" i="2"/>
  <c r="O394" i="2"/>
  <c r="N394" i="2"/>
  <c r="M394" i="2"/>
  <c r="L394" i="2"/>
  <c r="K394" i="2"/>
  <c r="J394" i="2"/>
  <c r="I394" i="2"/>
  <c r="H394" i="2"/>
  <c r="G394" i="2"/>
  <c r="F394" i="2"/>
  <c r="E394" i="2"/>
  <c r="D394" i="2"/>
  <c r="C394" i="2"/>
  <c r="B394" i="2"/>
  <c r="BF393" i="2"/>
  <c r="BE393" i="2"/>
  <c r="BD393" i="2"/>
  <c r="BC393" i="2"/>
  <c r="BB393" i="2"/>
  <c r="BA393" i="2"/>
  <c r="AZ393" i="2"/>
  <c r="AY393" i="2"/>
  <c r="AX393" i="2"/>
  <c r="AW393" i="2"/>
  <c r="AV393" i="2"/>
  <c r="AU393" i="2"/>
  <c r="AT393" i="2"/>
  <c r="AS393" i="2"/>
  <c r="AR393" i="2"/>
  <c r="AQ393" i="2"/>
  <c r="AP393" i="2"/>
  <c r="AO393" i="2"/>
  <c r="AN393" i="2"/>
  <c r="AM393" i="2"/>
  <c r="AL393" i="2"/>
  <c r="AK393" i="2"/>
  <c r="AJ393" i="2"/>
  <c r="AI393" i="2"/>
  <c r="AH393" i="2"/>
  <c r="AG393" i="2"/>
  <c r="AF393" i="2"/>
  <c r="AE393" i="2"/>
  <c r="AD393" i="2"/>
  <c r="AC393" i="2"/>
  <c r="AB393" i="2"/>
  <c r="AA393" i="2"/>
  <c r="Z393" i="2"/>
  <c r="Y393" i="2"/>
  <c r="X393" i="2"/>
  <c r="W393" i="2"/>
  <c r="V393" i="2"/>
  <c r="U393" i="2"/>
  <c r="T393" i="2"/>
  <c r="S393" i="2"/>
  <c r="R393" i="2"/>
  <c r="Q393" i="2"/>
  <c r="P393" i="2"/>
  <c r="O393" i="2"/>
  <c r="N393" i="2"/>
  <c r="M393" i="2"/>
  <c r="L393" i="2"/>
  <c r="K393" i="2"/>
  <c r="J393" i="2"/>
  <c r="I393" i="2"/>
  <c r="H393" i="2"/>
  <c r="G393" i="2"/>
  <c r="F393" i="2"/>
  <c r="E393" i="2"/>
  <c r="D393" i="2"/>
  <c r="C393" i="2"/>
  <c r="B393" i="2"/>
  <c r="BF392" i="2"/>
  <c r="BE392" i="2"/>
  <c r="BD392" i="2"/>
  <c r="BC392" i="2"/>
  <c r="BB392" i="2"/>
  <c r="BA392" i="2"/>
  <c r="AZ392" i="2"/>
  <c r="AY392" i="2"/>
  <c r="AX392" i="2"/>
  <c r="AW392" i="2"/>
  <c r="AV392" i="2"/>
  <c r="AU392" i="2"/>
  <c r="AT392" i="2"/>
  <c r="AS392" i="2"/>
  <c r="AR392" i="2"/>
  <c r="AQ392" i="2"/>
  <c r="AP392" i="2"/>
  <c r="AO392" i="2"/>
  <c r="AN392" i="2"/>
  <c r="AM392" i="2"/>
  <c r="AL392" i="2"/>
  <c r="AK392" i="2"/>
  <c r="AJ392" i="2"/>
  <c r="AI392" i="2"/>
  <c r="AH392" i="2"/>
  <c r="AG392" i="2"/>
  <c r="AF392" i="2"/>
  <c r="AE392" i="2"/>
  <c r="AD392" i="2"/>
  <c r="AC392" i="2"/>
  <c r="AB392" i="2"/>
  <c r="AA392" i="2"/>
  <c r="Z392" i="2"/>
  <c r="Y392" i="2"/>
  <c r="X392" i="2"/>
  <c r="W392" i="2"/>
  <c r="V392" i="2"/>
  <c r="U392" i="2"/>
  <c r="T392" i="2"/>
  <c r="S392" i="2"/>
  <c r="R392" i="2"/>
  <c r="Q392" i="2"/>
  <c r="P392" i="2"/>
  <c r="O392" i="2"/>
  <c r="N392" i="2"/>
  <c r="M392" i="2"/>
  <c r="L392" i="2"/>
  <c r="K392" i="2"/>
  <c r="J392" i="2"/>
  <c r="I392" i="2"/>
  <c r="H392" i="2"/>
  <c r="G392" i="2"/>
  <c r="F392" i="2"/>
  <c r="E392" i="2"/>
  <c r="D392" i="2"/>
  <c r="C392" i="2"/>
  <c r="B392" i="2"/>
  <c r="BF391" i="2"/>
  <c r="BE391" i="2"/>
  <c r="BD391" i="2"/>
  <c r="BC391" i="2"/>
  <c r="BB391" i="2"/>
  <c r="BA391" i="2"/>
  <c r="AZ391" i="2"/>
  <c r="AY391" i="2"/>
  <c r="AX391" i="2"/>
  <c r="AW391" i="2"/>
  <c r="AV391" i="2"/>
  <c r="AU391" i="2"/>
  <c r="AT391" i="2"/>
  <c r="AS391" i="2"/>
  <c r="AR391" i="2"/>
  <c r="AQ391" i="2"/>
  <c r="AP391" i="2"/>
  <c r="AO391" i="2"/>
  <c r="AN391" i="2"/>
  <c r="AM391" i="2"/>
  <c r="AL391" i="2"/>
  <c r="AK391" i="2"/>
  <c r="AJ391" i="2"/>
  <c r="AI391" i="2"/>
  <c r="AH391" i="2"/>
  <c r="AG391" i="2"/>
  <c r="AF391" i="2"/>
  <c r="AE391" i="2"/>
  <c r="AD391" i="2"/>
  <c r="AC391" i="2"/>
  <c r="AB391" i="2"/>
  <c r="AA391" i="2"/>
  <c r="Z391" i="2"/>
  <c r="Y391" i="2"/>
  <c r="X391" i="2"/>
  <c r="W391" i="2"/>
  <c r="V391" i="2"/>
  <c r="U391" i="2"/>
  <c r="T391" i="2"/>
  <c r="S391" i="2"/>
  <c r="R391" i="2"/>
  <c r="Q391" i="2"/>
  <c r="P391" i="2"/>
  <c r="O391" i="2"/>
  <c r="N391" i="2"/>
  <c r="M391" i="2"/>
  <c r="L391" i="2"/>
  <c r="K391" i="2"/>
  <c r="J391" i="2"/>
  <c r="I391" i="2"/>
  <c r="H391" i="2"/>
  <c r="G391" i="2"/>
  <c r="F391" i="2"/>
  <c r="E391" i="2"/>
  <c r="D391" i="2"/>
  <c r="C391" i="2"/>
  <c r="B391" i="2"/>
  <c r="BF390" i="2"/>
  <c r="BE390" i="2"/>
  <c r="BD390" i="2"/>
  <c r="BC390" i="2"/>
  <c r="BB390" i="2"/>
  <c r="BA390" i="2"/>
  <c r="AZ390" i="2"/>
  <c r="AY390" i="2"/>
  <c r="AX390" i="2"/>
  <c r="AW390" i="2"/>
  <c r="AV390" i="2"/>
  <c r="AU390" i="2"/>
  <c r="AT390" i="2"/>
  <c r="AS390" i="2"/>
  <c r="AR390" i="2"/>
  <c r="AQ390" i="2"/>
  <c r="AP390" i="2"/>
  <c r="AO390" i="2"/>
  <c r="AN390" i="2"/>
  <c r="AM390" i="2"/>
  <c r="AL390" i="2"/>
  <c r="AK390" i="2"/>
  <c r="AJ390" i="2"/>
  <c r="AI390" i="2"/>
  <c r="AH390" i="2"/>
  <c r="AG390" i="2"/>
  <c r="AF390" i="2"/>
  <c r="AE390" i="2"/>
  <c r="AD390" i="2"/>
  <c r="AC390" i="2"/>
  <c r="AB390" i="2"/>
  <c r="AA390" i="2"/>
  <c r="Z390" i="2"/>
  <c r="Y390" i="2"/>
  <c r="X390" i="2"/>
  <c r="W390" i="2"/>
  <c r="V390" i="2"/>
  <c r="U390" i="2"/>
  <c r="T390" i="2"/>
  <c r="S390" i="2"/>
  <c r="R390" i="2"/>
  <c r="Q390" i="2"/>
  <c r="P390" i="2"/>
  <c r="O390" i="2"/>
  <c r="N390" i="2"/>
  <c r="M390" i="2"/>
  <c r="L390" i="2"/>
  <c r="K390" i="2"/>
  <c r="J390" i="2"/>
  <c r="I390" i="2"/>
  <c r="H390" i="2"/>
  <c r="G390" i="2"/>
  <c r="F390" i="2"/>
  <c r="E390" i="2"/>
  <c r="D390" i="2"/>
  <c r="C390" i="2"/>
  <c r="B390" i="2"/>
  <c r="BF389" i="2"/>
  <c r="BE389" i="2"/>
  <c r="BD389" i="2"/>
  <c r="BC389" i="2"/>
  <c r="BB389" i="2"/>
  <c r="BA389" i="2"/>
  <c r="AZ389" i="2"/>
  <c r="AY389" i="2"/>
  <c r="AX389" i="2"/>
  <c r="AW389" i="2"/>
  <c r="AV389" i="2"/>
  <c r="AU389" i="2"/>
  <c r="AT389" i="2"/>
  <c r="AS389" i="2"/>
  <c r="AR389" i="2"/>
  <c r="AQ389" i="2"/>
  <c r="AP389" i="2"/>
  <c r="AO389" i="2"/>
  <c r="AN389" i="2"/>
  <c r="AM389" i="2"/>
  <c r="AL389" i="2"/>
  <c r="AK389" i="2"/>
  <c r="AJ389" i="2"/>
  <c r="AI389" i="2"/>
  <c r="AH389" i="2"/>
  <c r="AG389" i="2"/>
  <c r="AF389" i="2"/>
  <c r="AE389" i="2"/>
  <c r="AD389" i="2"/>
  <c r="AC389" i="2"/>
  <c r="AB389" i="2"/>
  <c r="AA389" i="2"/>
  <c r="Z389" i="2"/>
  <c r="Y389" i="2"/>
  <c r="X389" i="2"/>
  <c r="W389" i="2"/>
  <c r="V389" i="2"/>
  <c r="U389" i="2"/>
  <c r="T389" i="2"/>
  <c r="S389" i="2"/>
  <c r="R389" i="2"/>
  <c r="Q389" i="2"/>
  <c r="P389" i="2"/>
  <c r="O389" i="2"/>
  <c r="N389" i="2"/>
  <c r="M389" i="2"/>
  <c r="L389" i="2"/>
  <c r="K389" i="2"/>
  <c r="J389" i="2"/>
  <c r="I389" i="2"/>
  <c r="H389" i="2"/>
  <c r="G389" i="2"/>
  <c r="F389" i="2"/>
  <c r="E389" i="2"/>
  <c r="D389" i="2"/>
  <c r="C389" i="2"/>
  <c r="B389" i="2"/>
  <c r="BF388" i="2"/>
  <c r="BE388" i="2"/>
  <c r="BD388" i="2"/>
  <c r="BC388" i="2"/>
  <c r="BB388" i="2"/>
  <c r="BA388" i="2"/>
  <c r="AZ388" i="2"/>
  <c r="AY388" i="2"/>
  <c r="AX388" i="2"/>
  <c r="AW388" i="2"/>
  <c r="AV388" i="2"/>
  <c r="AU388" i="2"/>
  <c r="AT388" i="2"/>
  <c r="AS388" i="2"/>
  <c r="AR388" i="2"/>
  <c r="AQ388" i="2"/>
  <c r="AP388" i="2"/>
  <c r="AO388" i="2"/>
  <c r="AN388" i="2"/>
  <c r="AM388" i="2"/>
  <c r="AL388" i="2"/>
  <c r="AK388" i="2"/>
  <c r="AJ388" i="2"/>
  <c r="AI388" i="2"/>
  <c r="AH388" i="2"/>
  <c r="AG388" i="2"/>
  <c r="AF388" i="2"/>
  <c r="AE388" i="2"/>
  <c r="AD388" i="2"/>
  <c r="AC388" i="2"/>
  <c r="AB388" i="2"/>
  <c r="AA388" i="2"/>
  <c r="Z388" i="2"/>
  <c r="Y388" i="2"/>
  <c r="X388" i="2"/>
  <c r="W388" i="2"/>
  <c r="V388" i="2"/>
  <c r="U388" i="2"/>
  <c r="T388" i="2"/>
  <c r="S388" i="2"/>
  <c r="R388" i="2"/>
  <c r="Q388" i="2"/>
  <c r="P388" i="2"/>
  <c r="O388" i="2"/>
  <c r="N388" i="2"/>
  <c r="M388" i="2"/>
  <c r="L388" i="2"/>
  <c r="K388" i="2"/>
  <c r="J388" i="2"/>
  <c r="I388" i="2"/>
  <c r="H388" i="2"/>
  <c r="G388" i="2"/>
  <c r="F388" i="2"/>
  <c r="E388" i="2"/>
  <c r="D388" i="2"/>
  <c r="C388" i="2"/>
  <c r="B388" i="2"/>
  <c r="BF78" i="2"/>
  <c r="BE78" i="2"/>
  <c r="BD78" i="2"/>
  <c r="BC78" i="2"/>
  <c r="BB78" i="2"/>
  <c r="BA78" i="2"/>
  <c r="AZ78" i="2"/>
  <c r="AY78" i="2"/>
  <c r="AX78" i="2"/>
  <c r="AW78" i="2"/>
  <c r="AV78" i="2"/>
  <c r="AU78" i="2"/>
  <c r="AT78" i="2"/>
  <c r="AS78" i="2"/>
  <c r="AR78" i="2"/>
  <c r="AQ78" i="2"/>
  <c r="AP78" i="2"/>
  <c r="AO78" i="2"/>
  <c r="AN78" i="2"/>
  <c r="AM78" i="2"/>
  <c r="AL78" i="2"/>
  <c r="AK78" i="2"/>
  <c r="AJ78" i="2"/>
  <c r="AI78" i="2"/>
  <c r="AH78" i="2"/>
  <c r="AG78" i="2"/>
  <c r="AF78" i="2"/>
  <c r="AE78" i="2"/>
  <c r="AD78" i="2"/>
  <c r="AC78" i="2"/>
  <c r="AB78" i="2"/>
  <c r="AA78" i="2"/>
  <c r="Z78" i="2"/>
  <c r="Y78" i="2"/>
  <c r="X78" i="2"/>
  <c r="W78" i="2"/>
  <c r="V78" i="2"/>
  <c r="U78" i="2"/>
  <c r="T78" i="2"/>
  <c r="S78" i="2"/>
  <c r="R78" i="2"/>
  <c r="Q78" i="2"/>
  <c r="P78" i="2"/>
  <c r="O78" i="2"/>
  <c r="N78" i="2"/>
  <c r="M78" i="2"/>
  <c r="L78" i="2"/>
  <c r="K78" i="2"/>
  <c r="J78" i="2"/>
  <c r="I78" i="2"/>
  <c r="H78" i="2"/>
  <c r="G78" i="2"/>
  <c r="F78" i="2"/>
  <c r="E78" i="2"/>
  <c r="D78" i="2"/>
  <c r="C78" i="2"/>
  <c r="BF77" i="2"/>
  <c r="BE77" i="2"/>
  <c r="BD77" i="2"/>
  <c r="BC77" i="2"/>
  <c r="BB77" i="2"/>
  <c r="BA77" i="2"/>
  <c r="AZ77" i="2"/>
  <c r="AY77" i="2"/>
  <c r="AX77" i="2"/>
  <c r="AW77" i="2"/>
  <c r="AV77" i="2"/>
  <c r="AU77" i="2"/>
  <c r="AT77" i="2"/>
  <c r="AS77" i="2"/>
  <c r="AR77" i="2"/>
  <c r="AQ77" i="2"/>
  <c r="AP77" i="2"/>
  <c r="AO77" i="2"/>
  <c r="AN77" i="2"/>
  <c r="AM77" i="2"/>
  <c r="AL77" i="2"/>
  <c r="AK77" i="2"/>
  <c r="AJ77" i="2"/>
  <c r="AI77" i="2"/>
  <c r="AH77" i="2"/>
  <c r="AG77" i="2"/>
  <c r="AF77" i="2"/>
  <c r="AE77" i="2"/>
  <c r="AD77" i="2"/>
  <c r="AC77" i="2"/>
  <c r="AB77" i="2"/>
  <c r="AA77" i="2"/>
  <c r="Z77" i="2"/>
  <c r="Y77" i="2"/>
  <c r="X77" i="2"/>
  <c r="W77" i="2"/>
  <c r="V77" i="2"/>
  <c r="U77" i="2"/>
  <c r="T77" i="2"/>
  <c r="S77" i="2"/>
  <c r="R77" i="2"/>
  <c r="Q77" i="2"/>
  <c r="P77" i="2"/>
  <c r="O77" i="2"/>
  <c r="N77" i="2"/>
  <c r="M77" i="2"/>
  <c r="L77" i="2"/>
  <c r="K77" i="2"/>
  <c r="J77" i="2"/>
  <c r="I77" i="2"/>
  <c r="H77" i="2"/>
  <c r="G77" i="2"/>
  <c r="F77" i="2"/>
  <c r="E77" i="2"/>
  <c r="D77" i="2"/>
  <c r="C77" i="2"/>
  <c r="BF76" i="2"/>
  <c r="BE76" i="2"/>
  <c r="BD76" i="2"/>
  <c r="BC76" i="2"/>
  <c r="BB76" i="2"/>
  <c r="BA76" i="2"/>
  <c r="AZ76" i="2"/>
  <c r="AY76" i="2"/>
  <c r="AX76" i="2"/>
  <c r="AW76" i="2"/>
  <c r="AV76" i="2"/>
  <c r="AU76" i="2"/>
  <c r="AT76" i="2"/>
  <c r="AS76" i="2"/>
  <c r="AR76" i="2"/>
  <c r="AQ76" i="2"/>
  <c r="AP76" i="2"/>
  <c r="AO76" i="2"/>
  <c r="AN76" i="2"/>
  <c r="AM76" i="2"/>
  <c r="AL76" i="2"/>
  <c r="AK76" i="2"/>
  <c r="AJ76" i="2"/>
  <c r="AI76" i="2"/>
  <c r="AH76" i="2"/>
  <c r="AG76" i="2"/>
  <c r="AF76" i="2"/>
  <c r="AE76" i="2"/>
  <c r="AD76" i="2"/>
  <c r="AC76" i="2"/>
  <c r="AB76" i="2"/>
  <c r="AA76" i="2"/>
  <c r="Z76" i="2"/>
  <c r="Y76" i="2"/>
  <c r="X76" i="2"/>
  <c r="W76" i="2"/>
  <c r="V76" i="2"/>
  <c r="U76" i="2"/>
  <c r="T76" i="2"/>
  <c r="S76" i="2"/>
  <c r="R76" i="2"/>
  <c r="Q76" i="2"/>
  <c r="P76" i="2"/>
  <c r="O76" i="2"/>
  <c r="N76" i="2"/>
  <c r="M76" i="2"/>
  <c r="L76" i="2"/>
  <c r="K76" i="2"/>
  <c r="J76" i="2"/>
  <c r="I76" i="2"/>
  <c r="H76" i="2"/>
  <c r="G76" i="2"/>
  <c r="F76" i="2"/>
  <c r="E76" i="2"/>
  <c r="D76" i="2"/>
  <c r="C76" i="2"/>
  <c r="BF74" i="2"/>
  <c r="BE74" i="2"/>
  <c r="BD74" i="2"/>
  <c r="BC74" i="2"/>
  <c r="BB74" i="2"/>
  <c r="BA74" i="2"/>
  <c r="AZ74" i="2"/>
  <c r="AY74" i="2"/>
  <c r="AX74" i="2"/>
  <c r="AW74" i="2"/>
  <c r="AV74" i="2"/>
  <c r="AU74" i="2"/>
  <c r="AT74" i="2"/>
  <c r="AS74" i="2"/>
  <c r="AR74" i="2"/>
  <c r="AQ74" i="2"/>
  <c r="AP74" i="2"/>
  <c r="AO74" i="2"/>
  <c r="AN74" i="2"/>
  <c r="AM74" i="2"/>
  <c r="AL74" i="2"/>
  <c r="AK74" i="2"/>
  <c r="AJ74" i="2"/>
  <c r="AI74" i="2"/>
  <c r="AH74" i="2"/>
  <c r="AG74" i="2"/>
  <c r="AF74" i="2"/>
  <c r="AE74" i="2"/>
  <c r="AD74" i="2"/>
  <c r="AC74" i="2"/>
  <c r="AB74" i="2"/>
  <c r="AA74" i="2"/>
  <c r="Z74" i="2"/>
  <c r="Y74" i="2"/>
  <c r="X74" i="2"/>
  <c r="W74" i="2"/>
  <c r="V74" i="2"/>
  <c r="U74" i="2"/>
  <c r="T74" i="2"/>
  <c r="S74" i="2"/>
  <c r="R74" i="2"/>
  <c r="Q74" i="2"/>
  <c r="P74" i="2"/>
  <c r="O74" i="2"/>
  <c r="N74" i="2"/>
  <c r="M74" i="2"/>
  <c r="L74" i="2"/>
  <c r="K74" i="2"/>
  <c r="J74" i="2"/>
  <c r="I74" i="2"/>
  <c r="H74" i="2"/>
  <c r="G74" i="2"/>
  <c r="F74" i="2"/>
  <c r="E74" i="2"/>
  <c r="D74" i="2"/>
  <c r="C74" i="2"/>
  <c r="BF73" i="2"/>
  <c r="BE73" i="2"/>
  <c r="BD73" i="2"/>
  <c r="BC73" i="2"/>
  <c r="BB73" i="2"/>
  <c r="BA73" i="2"/>
  <c r="AZ73" i="2"/>
  <c r="AY73" i="2"/>
  <c r="AX73" i="2"/>
  <c r="AW73" i="2"/>
  <c r="AV73" i="2"/>
  <c r="AU73" i="2"/>
  <c r="AT73" i="2"/>
  <c r="AS73" i="2"/>
  <c r="AR73" i="2"/>
  <c r="AQ73" i="2"/>
  <c r="AP73" i="2"/>
  <c r="AO73" i="2"/>
  <c r="AN73" i="2"/>
  <c r="AM73" i="2"/>
  <c r="AL73" i="2"/>
  <c r="AK73" i="2"/>
  <c r="AJ73" i="2"/>
  <c r="AI73" i="2"/>
  <c r="AH73" i="2"/>
  <c r="AG73" i="2"/>
  <c r="AF73" i="2"/>
  <c r="AE73" i="2"/>
  <c r="AD73" i="2"/>
  <c r="AC73" i="2"/>
  <c r="AB73" i="2"/>
  <c r="AA73" i="2"/>
  <c r="Z73" i="2"/>
  <c r="Y73" i="2"/>
  <c r="X73" i="2"/>
  <c r="W73" i="2"/>
  <c r="V73" i="2"/>
  <c r="U73" i="2"/>
  <c r="T73" i="2"/>
  <c r="S73" i="2"/>
  <c r="R73" i="2"/>
  <c r="Q73" i="2"/>
  <c r="P73" i="2"/>
  <c r="O73" i="2"/>
  <c r="N73" i="2"/>
  <c r="M73" i="2"/>
  <c r="L73" i="2"/>
  <c r="K73" i="2"/>
  <c r="J73" i="2"/>
  <c r="I73" i="2"/>
  <c r="H73" i="2"/>
  <c r="G73" i="2"/>
  <c r="F73" i="2"/>
  <c r="E73" i="2"/>
  <c r="D73" i="2"/>
  <c r="C73" i="2"/>
  <c r="BF72" i="2"/>
  <c r="BE72" i="2"/>
  <c r="BD72" i="2"/>
  <c r="BC72" i="2"/>
  <c r="BB72" i="2"/>
  <c r="BA72" i="2"/>
  <c r="AZ72" i="2"/>
  <c r="AY72" i="2"/>
  <c r="AX72" i="2"/>
  <c r="AW72" i="2"/>
  <c r="AV72" i="2"/>
  <c r="AU72" i="2"/>
  <c r="AT72" i="2"/>
  <c r="AS72" i="2"/>
  <c r="AR72" i="2"/>
  <c r="AQ72" i="2"/>
  <c r="AP72" i="2"/>
  <c r="AO72" i="2"/>
  <c r="AN72" i="2"/>
  <c r="AM72" i="2"/>
  <c r="AL72" i="2"/>
  <c r="AK72" i="2"/>
  <c r="AJ72" i="2"/>
  <c r="AI72" i="2"/>
  <c r="AH72" i="2"/>
  <c r="AG72" i="2"/>
  <c r="AF72" i="2"/>
  <c r="AE72" i="2"/>
  <c r="AD72" i="2"/>
  <c r="AC72" i="2"/>
  <c r="AB72" i="2"/>
  <c r="AA72" i="2"/>
  <c r="Z72" i="2"/>
  <c r="Y72" i="2"/>
  <c r="X72" i="2"/>
  <c r="W72" i="2"/>
  <c r="V72" i="2"/>
  <c r="U72" i="2"/>
  <c r="T72" i="2"/>
  <c r="S72" i="2"/>
  <c r="R72" i="2"/>
  <c r="Q72" i="2"/>
  <c r="P72" i="2"/>
  <c r="O72" i="2"/>
  <c r="N72" i="2"/>
  <c r="M72" i="2"/>
  <c r="L72" i="2"/>
  <c r="K72" i="2"/>
  <c r="J72" i="2"/>
  <c r="I72" i="2"/>
  <c r="H72" i="2"/>
  <c r="G72" i="2"/>
  <c r="F72" i="2"/>
  <c r="E72" i="2"/>
  <c r="D72" i="2"/>
  <c r="C72" i="2"/>
  <c r="BF71" i="2"/>
  <c r="BE71" i="2"/>
  <c r="BD71" i="2"/>
  <c r="BC71" i="2"/>
  <c r="BB71" i="2"/>
  <c r="BA71" i="2"/>
  <c r="AZ71" i="2"/>
  <c r="AY71" i="2"/>
  <c r="AX71" i="2"/>
  <c r="AW71" i="2"/>
  <c r="AV71" i="2"/>
  <c r="AU71" i="2"/>
  <c r="AT71" i="2"/>
  <c r="AS71" i="2"/>
  <c r="AR71" i="2"/>
  <c r="AQ71" i="2"/>
  <c r="AP71" i="2"/>
  <c r="AO71" i="2"/>
  <c r="AN71" i="2"/>
  <c r="AM71" i="2"/>
  <c r="AL71" i="2"/>
  <c r="AK71" i="2"/>
  <c r="AJ71" i="2"/>
  <c r="AI71" i="2"/>
  <c r="AH71" i="2"/>
  <c r="AG71" i="2"/>
  <c r="AF71" i="2"/>
  <c r="AE71" i="2"/>
  <c r="AD71" i="2"/>
  <c r="AC71" i="2"/>
  <c r="AB71" i="2"/>
  <c r="AA71" i="2"/>
  <c r="Z71" i="2"/>
  <c r="Y71" i="2"/>
  <c r="X71" i="2"/>
  <c r="W71" i="2"/>
  <c r="V71" i="2"/>
  <c r="U71" i="2"/>
  <c r="T71" i="2"/>
  <c r="S71" i="2"/>
  <c r="R71" i="2"/>
  <c r="Q71" i="2"/>
  <c r="P71" i="2"/>
  <c r="O71" i="2"/>
  <c r="N71" i="2"/>
  <c r="M71" i="2"/>
  <c r="L71" i="2"/>
  <c r="K71" i="2"/>
  <c r="J71" i="2"/>
  <c r="I71" i="2"/>
  <c r="H71" i="2"/>
  <c r="G71" i="2"/>
  <c r="F71" i="2"/>
  <c r="E71" i="2"/>
  <c r="D71" i="2"/>
  <c r="C71" i="2"/>
  <c r="BF70" i="2"/>
  <c r="BE70" i="2"/>
  <c r="BD70" i="2"/>
  <c r="BC70" i="2"/>
  <c r="BB70" i="2"/>
  <c r="BA70" i="2"/>
  <c r="AZ70" i="2"/>
  <c r="AY70" i="2"/>
  <c r="AX70" i="2"/>
  <c r="AW70" i="2"/>
  <c r="AV70" i="2"/>
  <c r="AU70" i="2"/>
  <c r="AT70" i="2"/>
  <c r="AS70" i="2"/>
  <c r="AR70" i="2"/>
  <c r="AQ70" i="2"/>
  <c r="AP70" i="2"/>
  <c r="AO70" i="2"/>
  <c r="AN70" i="2"/>
  <c r="AM70" i="2"/>
  <c r="AL70" i="2"/>
  <c r="AK70" i="2"/>
  <c r="AJ70" i="2"/>
  <c r="AI70" i="2"/>
  <c r="AH70" i="2"/>
  <c r="AG70" i="2"/>
  <c r="AF70" i="2"/>
  <c r="AE70" i="2"/>
  <c r="AD70" i="2"/>
  <c r="AC70" i="2"/>
  <c r="AB70" i="2"/>
  <c r="AA70" i="2"/>
  <c r="Z70" i="2"/>
  <c r="Y70" i="2"/>
  <c r="X70" i="2"/>
  <c r="W70" i="2"/>
  <c r="V70" i="2"/>
  <c r="U70" i="2"/>
  <c r="T70" i="2"/>
  <c r="S70" i="2"/>
  <c r="R70" i="2"/>
  <c r="Q70" i="2"/>
  <c r="P70" i="2"/>
  <c r="O70" i="2"/>
  <c r="N70" i="2"/>
  <c r="M70" i="2"/>
  <c r="L70" i="2"/>
  <c r="K70" i="2"/>
  <c r="J70" i="2"/>
  <c r="I70" i="2"/>
  <c r="H70" i="2"/>
  <c r="G70" i="2"/>
  <c r="F70" i="2"/>
  <c r="E70" i="2"/>
  <c r="D70" i="2"/>
  <c r="C70" i="2"/>
  <c r="BF68" i="2"/>
  <c r="BE68" i="2"/>
  <c r="BD68" i="2"/>
  <c r="BC68" i="2"/>
  <c r="BB68" i="2"/>
  <c r="BA68" i="2"/>
  <c r="AZ68" i="2"/>
  <c r="AY68" i="2"/>
  <c r="AX68" i="2"/>
  <c r="AW68" i="2"/>
  <c r="AV68" i="2"/>
  <c r="AU68" i="2"/>
  <c r="AT68" i="2"/>
  <c r="AS68" i="2"/>
  <c r="AR68" i="2"/>
  <c r="AQ68" i="2"/>
  <c r="AP68" i="2"/>
  <c r="AO68" i="2"/>
  <c r="AN68" i="2"/>
  <c r="AM68" i="2"/>
  <c r="AL68" i="2"/>
  <c r="AK68" i="2"/>
  <c r="AJ68" i="2"/>
  <c r="AI68" i="2"/>
  <c r="AH68" i="2"/>
  <c r="AG68" i="2"/>
  <c r="AF68" i="2"/>
  <c r="AE68" i="2"/>
  <c r="AD68" i="2"/>
  <c r="AC68" i="2"/>
  <c r="AB68" i="2"/>
  <c r="AA68" i="2"/>
  <c r="Z68" i="2"/>
  <c r="Y68" i="2"/>
  <c r="X68" i="2"/>
  <c r="W68" i="2"/>
  <c r="V68" i="2"/>
  <c r="U68" i="2"/>
  <c r="T68" i="2"/>
  <c r="S68" i="2"/>
  <c r="R68" i="2"/>
  <c r="Q68" i="2"/>
  <c r="P68" i="2"/>
  <c r="O68" i="2"/>
  <c r="N68" i="2"/>
  <c r="M68" i="2"/>
  <c r="L68" i="2"/>
  <c r="K68" i="2"/>
  <c r="J68" i="2"/>
  <c r="I68" i="2"/>
  <c r="H68" i="2"/>
  <c r="G68" i="2"/>
  <c r="F68" i="2"/>
  <c r="E68" i="2"/>
  <c r="D68" i="2"/>
  <c r="C68" i="2"/>
  <c r="BF67" i="2"/>
  <c r="BE67" i="2"/>
  <c r="BD67" i="2"/>
  <c r="BC67" i="2"/>
  <c r="BB67" i="2"/>
  <c r="BA67" i="2"/>
  <c r="AZ67" i="2"/>
  <c r="AY67" i="2"/>
  <c r="AX67" i="2"/>
  <c r="AW67" i="2"/>
  <c r="AV67" i="2"/>
  <c r="AU67" i="2"/>
  <c r="AT67" i="2"/>
  <c r="AS67" i="2"/>
  <c r="AR67" i="2"/>
  <c r="AQ67" i="2"/>
  <c r="AP67" i="2"/>
  <c r="AO67" i="2"/>
  <c r="AN67" i="2"/>
  <c r="AM67" i="2"/>
  <c r="AL67" i="2"/>
  <c r="AK67" i="2"/>
  <c r="AJ67" i="2"/>
  <c r="AI67" i="2"/>
  <c r="AH67" i="2"/>
  <c r="AG67" i="2"/>
  <c r="AF67" i="2"/>
  <c r="AE67" i="2"/>
  <c r="AD67" i="2"/>
  <c r="AC67" i="2"/>
  <c r="AB67" i="2"/>
  <c r="AA67" i="2"/>
  <c r="Z67" i="2"/>
  <c r="Y67" i="2"/>
  <c r="X67" i="2"/>
  <c r="W67" i="2"/>
  <c r="V67" i="2"/>
  <c r="U67" i="2"/>
  <c r="T67" i="2"/>
  <c r="S67" i="2"/>
  <c r="R67" i="2"/>
  <c r="Q67" i="2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C67" i="2"/>
  <c r="BF503" i="2"/>
  <c r="BE503" i="2"/>
  <c r="BD503" i="2"/>
  <c r="BC503" i="2"/>
  <c r="BB503" i="2"/>
  <c r="BA503" i="2"/>
  <c r="AZ503" i="2"/>
  <c r="AY503" i="2"/>
  <c r="AX503" i="2"/>
  <c r="AW503" i="2"/>
  <c r="AV503" i="2"/>
  <c r="AU503" i="2"/>
  <c r="AT503" i="2"/>
  <c r="AS503" i="2"/>
  <c r="AR503" i="2"/>
  <c r="AQ503" i="2"/>
  <c r="AP503" i="2"/>
  <c r="AO503" i="2"/>
  <c r="AN503" i="2"/>
  <c r="AM503" i="2"/>
  <c r="AL503" i="2"/>
  <c r="AK503" i="2"/>
  <c r="AJ503" i="2"/>
  <c r="AI503" i="2"/>
  <c r="AH503" i="2"/>
  <c r="AG503" i="2"/>
  <c r="AF503" i="2"/>
  <c r="AE503" i="2"/>
  <c r="AD503" i="2"/>
  <c r="AC503" i="2"/>
  <c r="AB503" i="2"/>
  <c r="AA503" i="2"/>
  <c r="Z503" i="2"/>
  <c r="Y503" i="2"/>
  <c r="X503" i="2"/>
  <c r="W503" i="2"/>
  <c r="V503" i="2"/>
  <c r="U503" i="2"/>
  <c r="T503" i="2"/>
  <c r="S503" i="2"/>
  <c r="R503" i="2"/>
  <c r="Q503" i="2"/>
  <c r="P503" i="2"/>
  <c r="O503" i="2"/>
  <c r="N503" i="2"/>
  <c r="M503" i="2"/>
  <c r="L503" i="2"/>
  <c r="K503" i="2"/>
  <c r="J503" i="2"/>
  <c r="I503" i="2"/>
  <c r="H503" i="2"/>
  <c r="G503" i="2"/>
  <c r="F503" i="2"/>
  <c r="E503" i="2"/>
  <c r="D503" i="2"/>
  <c r="C503" i="2"/>
  <c r="B503" i="2"/>
  <c r="BF502" i="2"/>
  <c r="BE502" i="2"/>
  <c r="BD502" i="2"/>
  <c r="BC502" i="2"/>
  <c r="BB502" i="2"/>
  <c r="BA502" i="2"/>
  <c r="AZ502" i="2"/>
  <c r="AY502" i="2"/>
  <c r="AX502" i="2"/>
  <c r="AW502" i="2"/>
  <c r="AV502" i="2"/>
  <c r="AU502" i="2"/>
  <c r="AT502" i="2"/>
  <c r="AS502" i="2"/>
  <c r="AR502" i="2"/>
  <c r="AQ502" i="2"/>
  <c r="AP502" i="2"/>
  <c r="AO502" i="2"/>
  <c r="AN502" i="2"/>
  <c r="AM502" i="2"/>
  <c r="AL502" i="2"/>
  <c r="AK502" i="2"/>
  <c r="AJ502" i="2"/>
  <c r="AI502" i="2"/>
  <c r="AH502" i="2"/>
  <c r="AG502" i="2"/>
  <c r="AF502" i="2"/>
  <c r="AE502" i="2"/>
  <c r="AD502" i="2"/>
  <c r="AC502" i="2"/>
  <c r="AB502" i="2"/>
  <c r="AA502" i="2"/>
  <c r="Z502" i="2"/>
  <c r="Y502" i="2"/>
  <c r="X502" i="2"/>
  <c r="W502" i="2"/>
  <c r="V502" i="2"/>
  <c r="U502" i="2"/>
  <c r="T502" i="2"/>
  <c r="S502" i="2"/>
  <c r="R502" i="2"/>
  <c r="Q502" i="2"/>
  <c r="P502" i="2"/>
  <c r="O502" i="2"/>
  <c r="N502" i="2"/>
  <c r="M502" i="2"/>
  <c r="L502" i="2"/>
  <c r="K502" i="2"/>
  <c r="J502" i="2"/>
  <c r="I502" i="2"/>
  <c r="H502" i="2"/>
  <c r="G502" i="2"/>
  <c r="F502" i="2"/>
  <c r="E502" i="2"/>
  <c r="D502" i="2"/>
  <c r="C502" i="2"/>
  <c r="B502" i="2"/>
  <c r="BF501" i="2"/>
  <c r="BE501" i="2"/>
  <c r="BD501" i="2"/>
  <c r="BC501" i="2"/>
  <c r="BB501" i="2"/>
  <c r="BA501" i="2"/>
  <c r="AZ501" i="2"/>
  <c r="AY501" i="2"/>
  <c r="AX501" i="2"/>
  <c r="AW501" i="2"/>
  <c r="AV501" i="2"/>
  <c r="AU501" i="2"/>
  <c r="AT501" i="2"/>
  <c r="AS501" i="2"/>
  <c r="AR501" i="2"/>
  <c r="AQ501" i="2"/>
  <c r="AP501" i="2"/>
  <c r="AO501" i="2"/>
  <c r="AN501" i="2"/>
  <c r="AM501" i="2"/>
  <c r="AL501" i="2"/>
  <c r="AK501" i="2"/>
  <c r="AJ501" i="2"/>
  <c r="AI501" i="2"/>
  <c r="AH501" i="2"/>
  <c r="AG501" i="2"/>
  <c r="AF501" i="2"/>
  <c r="AE501" i="2"/>
  <c r="AD501" i="2"/>
  <c r="AC501" i="2"/>
  <c r="AB501" i="2"/>
  <c r="AA501" i="2"/>
  <c r="Z501" i="2"/>
  <c r="Y501" i="2"/>
  <c r="X501" i="2"/>
  <c r="W501" i="2"/>
  <c r="V501" i="2"/>
  <c r="U501" i="2"/>
  <c r="T501" i="2"/>
  <c r="S501" i="2"/>
  <c r="R501" i="2"/>
  <c r="Q501" i="2"/>
  <c r="P501" i="2"/>
  <c r="O501" i="2"/>
  <c r="N501" i="2"/>
  <c r="M501" i="2"/>
  <c r="L501" i="2"/>
  <c r="K501" i="2"/>
  <c r="J501" i="2"/>
  <c r="I501" i="2"/>
  <c r="H501" i="2"/>
  <c r="G501" i="2"/>
  <c r="F501" i="2"/>
  <c r="E501" i="2"/>
  <c r="D501" i="2"/>
  <c r="C501" i="2"/>
  <c r="B501" i="2"/>
  <c r="BF499" i="2"/>
  <c r="BE499" i="2"/>
  <c r="BD499" i="2"/>
  <c r="BC499" i="2"/>
  <c r="BB499" i="2"/>
  <c r="BA499" i="2"/>
  <c r="AZ499" i="2"/>
  <c r="AY499" i="2"/>
  <c r="AX499" i="2"/>
  <c r="AW499" i="2"/>
  <c r="AV499" i="2"/>
  <c r="AU499" i="2"/>
  <c r="AT499" i="2"/>
  <c r="AS499" i="2"/>
  <c r="AR499" i="2"/>
  <c r="AQ499" i="2"/>
  <c r="AP499" i="2"/>
  <c r="AO499" i="2"/>
  <c r="AN499" i="2"/>
  <c r="AM499" i="2"/>
  <c r="AL499" i="2"/>
  <c r="AK499" i="2"/>
  <c r="AJ499" i="2"/>
  <c r="AI499" i="2"/>
  <c r="AH499" i="2"/>
  <c r="AG499" i="2"/>
  <c r="AF499" i="2"/>
  <c r="AE499" i="2"/>
  <c r="AD499" i="2"/>
  <c r="AC499" i="2"/>
  <c r="AB499" i="2"/>
  <c r="AA499" i="2"/>
  <c r="Z499" i="2"/>
  <c r="Y499" i="2"/>
  <c r="X499" i="2"/>
  <c r="W499" i="2"/>
  <c r="V499" i="2"/>
  <c r="U499" i="2"/>
  <c r="T499" i="2"/>
  <c r="S499" i="2"/>
  <c r="R499" i="2"/>
  <c r="Q499" i="2"/>
  <c r="P499" i="2"/>
  <c r="O499" i="2"/>
  <c r="N499" i="2"/>
  <c r="M499" i="2"/>
  <c r="L499" i="2"/>
  <c r="K499" i="2"/>
  <c r="J499" i="2"/>
  <c r="I499" i="2"/>
  <c r="H499" i="2"/>
  <c r="G499" i="2"/>
  <c r="F499" i="2"/>
  <c r="E499" i="2"/>
  <c r="D499" i="2"/>
  <c r="C499" i="2"/>
  <c r="B499" i="2"/>
  <c r="BF498" i="2"/>
  <c r="BE498" i="2"/>
  <c r="BD498" i="2"/>
  <c r="BC498" i="2"/>
  <c r="BB498" i="2"/>
  <c r="BA498" i="2"/>
  <c r="AZ498" i="2"/>
  <c r="AY498" i="2"/>
  <c r="AX498" i="2"/>
  <c r="AW498" i="2"/>
  <c r="AV498" i="2"/>
  <c r="AU498" i="2"/>
  <c r="AT498" i="2"/>
  <c r="AS498" i="2"/>
  <c r="AR498" i="2"/>
  <c r="AQ498" i="2"/>
  <c r="AP498" i="2"/>
  <c r="AO498" i="2"/>
  <c r="AN498" i="2"/>
  <c r="AM498" i="2"/>
  <c r="AL498" i="2"/>
  <c r="AK498" i="2"/>
  <c r="AJ498" i="2"/>
  <c r="AI498" i="2"/>
  <c r="AH498" i="2"/>
  <c r="AG498" i="2"/>
  <c r="AF498" i="2"/>
  <c r="AE498" i="2"/>
  <c r="AD498" i="2"/>
  <c r="AC498" i="2"/>
  <c r="AB498" i="2"/>
  <c r="AA498" i="2"/>
  <c r="Z498" i="2"/>
  <c r="Y498" i="2"/>
  <c r="X498" i="2"/>
  <c r="W498" i="2"/>
  <c r="V498" i="2"/>
  <c r="U498" i="2"/>
  <c r="T498" i="2"/>
  <c r="S498" i="2"/>
  <c r="R498" i="2"/>
  <c r="Q498" i="2"/>
  <c r="P498" i="2"/>
  <c r="O498" i="2"/>
  <c r="N498" i="2"/>
  <c r="M498" i="2"/>
  <c r="L498" i="2"/>
  <c r="K498" i="2"/>
  <c r="J498" i="2"/>
  <c r="I498" i="2"/>
  <c r="H498" i="2"/>
  <c r="G498" i="2"/>
  <c r="F498" i="2"/>
  <c r="E498" i="2"/>
  <c r="D498" i="2"/>
  <c r="C498" i="2"/>
  <c r="B498" i="2"/>
  <c r="BF497" i="2"/>
  <c r="BE497" i="2"/>
  <c r="BD497" i="2"/>
  <c r="BC497" i="2"/>
  <c r="BB497" i="2"/>
  <c r="BA497" i="2"/>
  <c r="AZ497" i="2"/>
  <c r="AY497" i="2"/>
  <c r="AX497" i="2"/>
  <c r="AW497" i="2"/>
  <c r="AV497" i="2"/>
  <c r="AU497" i="2"/>
  <c r="AT497" i="2"/>
  <c r="AS497" i="2"/>
  <c r="AR497" i="2"/>
  <c r="AQ497" i="2"/>
  <c r="AP497" i="2"/>
  <c r="AO497" i="2"/>
  <c r="AN497" i="2"/>
  <c r="AM497" i="2"/>
  <c r="AL497" i="2"/>
  <c r="AK497" i="2"/>
  <c r="AJ497" i="2"/>
  <c r="AI497" i="2"/>
  <c r="AH497" i="2"/>
  <c r="AG497" i="2"/>
  <c r="AF497" i="2"/>
  <c r="AE497" i="2"/>
  <c r="AD497" i="2"/>
  <c r="AC497" i="2"/>
  <c r="AB497" i="2"/>
  <c r="AA497" i="2"/>
  <c r="Z497" i="2"/>
  <c r="Y497" i="2"/>
  <c r="X497" i="2"/>
  <c r="W497" i="2"/>
  <c r="V497" i="2"/>
  <c r="U497" i="2"/>
  <c r="T497" i="2"/>
  <c r="S497" i="2"/>
  <c r="R497" i="2"/>
  <c r="Q497" i="2"/>
  <c r="P497" i="2"/>
  <c r="O497" i="2"/>
  <c r="N497" i="2"/>
  <c r="M497" i="2"/>
  <c r="L497" i="2"/>
  <c r="K497" i="2"/>
  <c r="J497" i="2"/>
  <c r="I497" i="2"/>
  <c r="H497" i="2"/>
  <c r="G497" i="2"/>
  <c r="F497" i="2"/>
  <c r="E497" i="2"/>
  <c r="D497" i="2"/>
  <c r="C497" i="2"/>
  <c r="B497" i="2"/>
  <c r="BF496" i="2"/>
  <c r="BE496" i="2"/>
  <c r="BD496" i="2"/>
  <c r="BC496" i="2"/>
  <c r="BB496" i="2"/>
  <c r="BA496" i="2"/>
  <c r="AZ496" i="2"/>
  <c r="AY496" i="2"/>
  <c r="AX496" i="2"/>
  <c r="AW496" i="2"/>
  <c r="AV496" i="2"/>
  <c r="AU496" i="2"/>
  <c r="AT496" i="2"/>
  <c r="AS496" i="2"/>
  <c r="AR496" i="2"/>
  <c r="AQ496" i="2"/>
  <c r="AP496" i="2"/>
  <c r="AO496" i="2"/>
  <c r="AN496" i="2"/>
  <c r="AM496" i="2"/>
  <c r="AL496" i="2"/>
  <c r="AK496" i="2"/>
  <c r="AJ496" i="2"/>
  <c r="AI496" i="2"/>
  <c r="AH496" i="2"/>
  <c r="AG496" i="2"/>
  <c r="AF496" i="2"/>
  <c r="AE496" i="2"/>
  <c r="AD496" i="2"/>
  <c r="AC496" i="2"/>
  <c r="AB496" i="2"/>
  <c r="AA496" i="2"/>
  <c r="Z496" i="2"/>
  <c r="Y496" i="2"/>
  <c r="X496" i="2"/>
  <c r="W496" i="2"/>
  <c r="V496" i="2"/>
  <c r="U496" i="2"/>
  <c r="T496" i="2"/>
  <c r="S496" i="2"/>
  <c r="R496" i="2"/>
  <c r="Q496" i="2"/>
  <c r="P496" i="2"/>
  <c r="O496" i="2"/>
  <c r="N496" i="2"/>
  <c r="M496" i="2"/>
  <c r="L496" i="2"/>
  <c r="K496" i="2"/>
  <c r="J496" i="2"/>
  <c r="I496" i="2"/>
  <c r="H496" i="2"/>
  <c r="G496" i="2"/>
  <c r="F496" i="2"/>
  <c r="E496" i="2"/>
  <c r="D496" i="2"/>
  <c r="C496" i="2"/>
  <c r="B496" i="2"/>
  <c r="BF495" i="2"/>
  <c r="BE495" i="2"/>
  <c r="BD495" i="2"/>
  <c r="BC495" i="2"/>
  <c r="BB495" i="2"/>
  <c r="BA495" i="2"/>
  <c r="AZ495" i="2"/>
  <c r="AY495" i="2"/>
  <c r="AX495" i="2"/>
  <c r="AW495" i="2"/>
  <c r="AV495" i="2"/>
  <c r="AU495" i="2"/>
  <c r="AT495" i="2"/>
  <c r="AS495" i="2"/>
  <c r="AR495" i="2"/>
  <c r="AQ495" i="2"/>
  <c r="AP495" i="2"/>
  <c r="AO495" i="2"/>
  <c r="AN495" i="2"/>
  <c r="AM495" i="2"/>
  <c r="AL495" i="2"/>
  <c r="AK495" i="2"/>
  <c r="AJ495" i="2"/>
  <c r="AI495" i="2"/>
  <c r="AH495" i="2"/>
  <c r="AG495" i="2"/>
  <c r="AF495" i="2"/>
  <c r="AE495" i="2"/>
  <c r="AD495" i="2"/>
  <c r="AC495" i="2"/>
  <c r="AB495" i="2"/>
  <c r="AA495" i="2"/>
  <c r="Z495" i="2"/>
  <c r="Y495" i="2"/>
  <c r="X495" i="2"/>
  <c r="W495" i="2"/>
  <c r="V495" i="2"/>
  <c r="U495" i="2"/>
  <c r="T495" i="2"/>
  <c r="S495" i="2"/>
  <c r="R495" i="2"/>
  <c r="Q495" i="2"/>
  <c r="P495" i="2"/>
  <c r="O495" i="2"/>
  <c r="N495" i="2"/>
  <c r="M495" i="2"/>
  <c r="L495" i="2"/>
  <c r="K495" i="2"/>
  <c r="J495" i="2"/>
  <c r="I495" i="2"/>
  <c r="H495" i="2"/>
  <c r="G495" i="2"/>
  <c r="F495" i="2"/>
  <c r="E495" i="2"/>
  <c r="D495" i="2"/>
  <c r="C495" i="2"/>
  <c r="B495" i="2"/>
  <c r="BF493" i="2"/>
  <c r="BE493" i="2"/>
  <c r="BD493" i="2"/>
  <c r="BC493" i="2"/>
  <c r="BB493" i="2"/>
  <c r="BA493" i="2"/>
  <c r="AZ493" i="2"/>
  <c r="AY493" i="2"/>
  <c r="AX493" i="2"/>
  <c r="AW493" i="2"/>
  <c r="AV493" i="2"/>
  <c r="AU493" i="2"/>
  <c r="AT493" i="2"/>
  <c r="AS493" i="2"/>
  <c r="AR493" i="2"/>
  <c r="AQ493" i="2"/>
  <c r="AP493" i="2"/>
  <c r="AO493" i="2"/>
  <c r="AN493" i="2"/>
  <c r="AM493" i="2"/>
  <c r="AL493" i="2"/>
  <c r="AK493" i="2"/>
  <c r="AJ493" i="2"/>
  <c r="AI493" i="2"/>
  <c r="AH493" i="2"/>
  <c r="AG493" i="2"/>
  <c r="AF493" i="2"/>
  <c r="AE493" i="2"/>
  <c r="AD493" i="2"/>
  <c r="AC493" i="2"/>
  <c r="AB493" i="2"/>
  <c r="AA493" i="2"/>
  <c r="Z493" i="2"/>
  <c r="Y493" i="2"/>
  <c r="X493" i="2"/>
  <c r="W493" i="2"/>
  <c r="V493" i="2"/>
  <c r="U493" i="2"/>
  <c r="T493" i="2"/>
  <c r="S493" i="2"/>
  <c r="R493" i="2"/>
  <c r="Q493" i="2"/>
  <c r="P493" i="2"/>
  <c r="O493" i="2"/>
  <c r="N493" i="2"/>
  <c r="M493" i="2"/>
  <c r="L493" i="2"/>
  <c r="K493" i="2"/>
  <c r="J493" i="2"/>
  <c r="I493" i="2"/>
  <c r="H493" i="2"/>
  <c r="G493" i="2"/>
  <c r="F493" i="2"/>
  <c r="E493" i="2"/>
  <c r="D493" i="2"/>
  <c r="C493" i="2"/>
  <c r="B493" i="2"/>
  <c r="BF492" i="2"/>
  <c r="BE492" i="2"/>
  <c r="BD492" i="2"/>
  <c r="BC492" i="2"/>
  <c r="BB492" i="2"/>
  <c r="BA492" i="2"/>
  <c r="AZ492" i="2"/>
  <c r="AY492" i="2"/>
  <c r="AX492" i="2"/>
  <c r="AW492" i="2"/>
  <c r="AV492" i="2"/>
  <c r="AU492" i="2"/>
  <c r="AT492" i="2"/>
  <c r="AS492" i="2"/>
  <c r="AR492" i="2"/>
  <c r="AQ492" i="2"/>
  <c r="AP492" i="2"/>
  <c r="AO492" i="2"/>
  <c r="AN492" i="2"/>
  <c r="AM492" i="2"/>
  <c r="AL492" i="2"/>
  <c r="AK492" i="2"/>
  <c r="AJ492" i="2"/>
  <c r="AI492" i="2"/>
  <c r="AH492" i="2"/>
  <c r="AG492" i="2"/>
  <c r="AF492" i="2"/>
  <c r="AE492" i="2"/>
  <c r="AD492" i="2"/>
  <c r="AC492" i="2"/>
  <c r="AB492" i="2"/>
  <c r="AA492" i="2"/>
  <c r="Z492" i="2"/>
  <c r="Y492" i="2"/>
  <c r="X492" i="2"/>
  <c r="W492" i="2"/>
  <c r="V492" i="2"/>
  <c r="U492" i="2"/>
  <c r="T492" i="2"/>
  <c r="S492" i="2"/>
  <c r="R492" i="2"/>
  <c r="Q492" i="2"/>
  <c r="P492" i="2"/>
  <c r="O492" i="2"/>
  <c r="N492" i="2"/>
  <c r="M492" i="2"/>
  <c r="L492" i="2"/>
  <c r="K492" i="2"/>
  <c r="J492" i="2"/>
  <c r="I492" i="2"/>
  <c r="H492" i="2"/>
  <c r="G492" i="2"/>
  <c r="F492" i="2"/>
  <c r="E492" i="2"/>
  <c r="D492" i="2"/>
  <c r="C492" i="2"/>
  <c r="B492" i="2"/>
  <c r="BF490" i="2"/>
  <c r="BE490" i="2"/>
  <c r="BD490" i="2"/>
  <c r="BC490" i="2"/>
  <c r="BB490" i="2"/>
  <c r="BA490" i="2"/>
  <c r="AZ490" i="2"/>
  <c r="AY490" i="2"/>
  <c r="AX490" i="2"/>
  <c r="AW490" i="2"/>
  <c r="AV490" i="2"/>
  <c r="AU490" i="2"/>
  <c r="AT490" i="2"/>
  <c r="AS490" i="2"/>
  <c r="AR490" i="2"/>
  <c r="AQ490" i="2"/>
  <c r="AP490" i="2"/>
  <c r="AO490" i="2"/>
  <c r="AN490" i="2"/>
  <c r="AM490" i="2"/>
  <c r="AL490" i="2"/>
  <c r="AK490" i="2"/>
  <c r="AJ490" i="2"/>
  <c r="AI490" i="2"/>
  <c r="AH490" i="2"/>
  <c r="AG490" i="2"/>
  <c r="AF490" i="2"/>
  <c r="AE490" i="2"/>
  <c r="AD490" i="2"/>
  <c r="AC490" i="2"/>
  <c r="AB490" i="2"/>
  <c r="AA490" i="2"/>
  <c r="Z490" i="2"/>
  <c r="Y490" i="2"/>
  <c r="X490" i="2"/>
  <c r="W490" i="2"/>
  <c r="V490" i="2"/>
  <c r="U490" i="2"/>
  <c r="T490" i="2"/>
  <c r="S490" i="2"/>
  <c r="R490" i="2"/>
  <c r="Q490" i="2"/>
  <c r="P490" i="2"/>
  <c r="O490" i="2"/>
  <c r="N490" i="2"/>
  <c r="M490" i="2"/>
  <c r="L490" i="2"/>
  <c r="K490" i="2"/>
  <c r="J490" i="2"/>
  <c r="I490" i="2"/>
  <c r="H490" i="2"/>
  <c r="G490" i="2"/>
  <c r="F490" i="2"/>
  <c r="E490" i="2"/>
  <c r="D490" i="2"/>
  <c r="C490" i="2"/>
  <c r="B490" i="2"/>
  <c r="BF489" i="2"/>
  <c r="BE489" i="2"/>
  <c r="BD489" i="2"/>
  <c r="BC489" i="2"/>
  <c r="BB489" i="2"/>
  <c r="BA489" i="2"/>
  <c r="AZ489" i="2"/>
  <c r="AY489" i="2"/>
  <c r="AX489" i="2"/>
  <c r="AW489" i="2"/>
  <c r="AV489" i="2"/>
  <c r="AU489" i="2"/>
  <c r="AT489" i="2"/>
  <c r="AS489" i="2"/>
  <c r="AR489" i="2"/>
  <c r="AQ489" i="2"/>
  <c r="AP489" i="2"/>
  <c r="AO489" i="2"/>
  <c r="AN489" i="2"/>
  <c r="AM489" i="2"/>
  <c r="AL489" i="2"/>
  <c r="AK489" i="2"/>
  <c r="AJ489" i="2"/>
  <c r="AI489" i="2"/>
  <c r="AH489" i="2"/>
  <c r="AG489" i="2"/>
  <c r="AF489" i="2"/>
  <c r="AE489" i="2"/>
  <c r="AD489" i="2"/>
  <c r="AC489" i="2"/>
  <c r="AB489" i="2"/>
  <c r="AA489" i="2"/>
  <c r="Z489" i="2"/>
  <c r="Y489" i="2"/>
  <c r="X489" i="2"/>
  <c r="W489" i="2"/>
  <c r="V489" i="2"/>
  <c r="U489" i="2"/>
  <c r="T489" i="2"/>
  <c r="S489" i="2"/>
  <c r="R489" i="2"/>
  <c r="Q489" i="2"/>
  <c r="P489" i="2"/>
  <c r="O489" i="2"/>
  <c r="N489" i="2"/>
  <c r="M489" i="2"/>
  <c r="L489" i="2"/>
  <c r="K489" i="2"/>
  <c r="J489" i="2"/>
  <c r="I489" i="2"/>
  <c r="H489" i="2"/>
  <c r="G489" i="2"/>
  <c r="F489" i="2"/>
  <c r="E489" i="2"/>
  <c r="D489" i="2"/>
  <c r="C489" i="2"/>
  <c r="B489" i="2"/>
  <c r="BF488" i="2"/>
  <c r="BE488" i="2"/>
  <c r="BD488" i="2"/>
  <c r="BC488" i="2"/>
  <c r="BB488" i="2"/>
  <c r="BA488" i="2"/>
  <c r="AZ488" i="2"/>
  <c r="AY488" i="2"/>
  <c r="AX488" i="2"/>
  <c r="AW488" i="2"/>
  <c r="AV488" i="2"/>
  <c r="AU488" i="2"/>
  <c r="AT488" i="2"/>
  <c r="AS488" i="2"/>
  <c r="AR488" i="2"/>
  <c r="AQ488" i="2"/>
  <c r="AP488" i="2"/>
  <c r="AO488" i="2"/>
  <c r="AN488" i="2"/>
  <c r="AM488" i="2"/>
  <c r="AL488" i="2"/>
  <c r="AK488" i="2"/>
  <c r="AJ488" i="2"/>
  <c r="AI488" i="2"/>
  <c r="AH488" i="2"/>
  <c r="AG488" i="2"/>
  <c r="AF488" i="2"/>
  <c r="AE488" i="2"/>
  <c r="AD488" i="2"/>
  <c r="AC488" i="2"/>
  <c r="AB488" i="2"/>
  <c r="AA488" i="2"/>
  <c r="Z488" i="2"/>
  <c r="Y488" i="2"/>
  <c r="X488" i="2"/>
  <c r="W488" i="2"/>
  <c r="V488" i="2"/>
  <c r="U488" i="2"/>
  <c r="T488" i="2"/>
  <c r="S488" i="2"/>
  <c r="R488" i="2"/>
  <c r="Q488" i="2"/>
  <c r="P488" i="2"/>
  <c r="O488" i="2"/>
  <c r="N488" i="2"/>
  <c r="M488" i="2"/>
  <c r="L488" i="2"/>
  <c r="K488" i="2"/>
  <c r="J488" i="2"/>
  <c r="I488" i="2"/>
  <c r="H488" i="2"/>
  <c r="G488" i="2"/>
  <c r="F488" i="2"/>
  <c r="E488" i="2"/>
  <c r="D488" i="2"/>
  <c r="C488" i="2"/>
  <c r="B488" i="2"/>
  <c r="BF486" i="2"/>
  <c r="BE486" i="2"/>
  <c r="BD486" i="2"/>
  <c r="BC486" i="2"/>
  <c r="BB486" i="2"/>
  <c r="BA486" i="2"/>
  <c r="AZ486" i="2"/>
  <c r="AY486" i="2"/>
  <c r="AX486" i="2"/>
  <c r="AW486" i="2"/>
  <c r="AV486" i="2"/>
  <c r="AU486" i="2"/>
  <c r="AT486" i="2"/>
  <c r="AS486" i="2"/>
  <c r="AR486" i="2"/>
  <c r="AQ486" i="2"/>
  <c r="AP486" i="2"/>
  <c r="AO486" i="2"/>
  <c r="AN486" i="2"/>
  <c r="AM486" i="2"/>
  <c r="AL486" i="2"/>
  <c r="AK486" i="2"/>
  <c r="AJ486" i="2"/>
  <c r="AI486" i="2"/>
  <c r="AH486" i="2"/>
  <c r="AG486" i="2"/>
  <c r="AF486" i="2"/>
  <c r="AE486" i="2"/>
  <c r="AD486" i="2"/>
  <c r="AC486" i="2"/>
  <c r="AB486" i="2"/>
  <c r="AA486" i="2"/>
  <c r="Z486" i="2"/>
  <c r="Y486" i="2"/>
  <c r="X486" i="2"/>
  <c r="W486" i="2"/>
  <c r="V486" i="2"/>
  <c r="U486" i="2"/>
  <c r="T486" i="2"/>
  <c r="S486" i="2"/>
  <c r="R486" i="2"/>
  <c r="Q486" i="2"/>
  <c r="P486" i="2"/>
  <c r="O486" i="2"/>
  <c r="N486" i="2"/>
  <c r="M486" i="2"/>
  <c r="L486" i="2"/>
  <c r="K486" i="2"/>
  <c r="J486" i="2"/>
  <c r="I486" i="2"/>
  <c r="H486" i="2"/>
  <c r="G486" i="2"/>
  <c r="F486" i="2"/>
  <c r="E486" i="2"/>
  <c r="D486" i="2"/>
  <c r="C486" i="2"/>
  <c r="B486" i="2"/>
  <c r="BF485" i="2"/>
  <c r="BE485" i="2"/>
  <c r="BD485" i="2"/>
  <c r="BC485" i="2"/>
  <c r="BB485" i="2"/>
  <c r="BA485" i="2"/>
  <c r="AZ485" i="2"/>
  <c r="AY485" i="2"/>
  <c r="AX485" i="2"/>
  <c r="AW485" i="2"/>
  <c r="AV485" i="2"/>
  <c r="AU485" i="2"/>
  <c r="AT485" i="2"/>
  <c r="AS485" i="2"/>
  <c r="AR485" i="2"/>
  <c r="AQ485" i="2"/>
  <c r="AP485" i="2"/>
  <c r="AO485" i="2"/>
  <c r="AN485" i="2"/>
  <c r="AM485" i="2"/>
  <c r="AL485" i="2"/>
  <c r="AK485" i="2"/>
  <c r="AJ485" i="2"/>
  <c r="AI485" i="2"/>
  <c r="AH485" i="2"/>
  <c r="AG485" i="2"/>
  <c r="AF485" i="2"/>
  <c r="AE485" i="2"/>
  <c r="AD485" i="2"/>
  <c r="AC485" i="2"/>
  <c r="AB485" i="2"/>
  <c r="AA485" i="2"/>
  <c r="Z485" i="2"/>
  <c r="Y485" i="2"/>
  <c r="X485" i="2"/>
  <c r="W485" i="2"/>
  <c r="V485" i="2"/>
  <c r="U485" i="2"/>
  <c r="T485" i="2"/>
  <c r="S485" i="2"/>
  <c r="R485" i="2"/>
  <c r="Q485" i="2"/>
  <c r="P485" i="2"/>
  <c r="O485" i="2"/>
  <c r="N485" i="2"/>
  <c r="M485" i="2"/>
  <c r="L485" i="2"/>
  <c r="K485" i="2"/>
  <c r="J485" i="2"/>
  <c r="I485" i="2"/>
  <c r="H485" i="2"/>
  <c r="G485" i="2"/>
  <c r="F485" i="2"/>
  <c r="E485" i="2"/>
  <c r="D485" i="2"/>
  <c r="C485" i="2"/>
  <c r="B485" i="2"/>
  <c r="BF484" i="2"/>
  <c r="BE484" i="2"/>
  <c r="BD484" i="2"/>
  <c r="BC484" i="2"/>
  <c r="BB484" i="2"/>
  <c r="BA484" i="2"/>
  <c r="AZ484" i="2"/>
  <c r="AY484" i="2"/>
  <c r="AX484" i="2"/>
  <c r="AW484" i="2"/>
  <c r="AV484" i="2"/>
  <c r="AU484" i="2"/>
  <c r="AT484" i="2"/>
  <c r="AS484" i="2"/>
  <c r="AR484" i="2"/>
  <c r="AQ484" i="2"/>
  <c r="AP484" i="2"/>
  <c r="AO484" i="2"/>
  <c r="AN484" i="2"/>
  <c r="AM484" i="2"/>
  <c r="AL484" i="2"/>
  <c r="AK484" i="2"/>
  <c r="AJ484" i="2"/>
  <c r="AI484" i="2"/>
  <c r="AH484" i="2"/>
  <c r="AG484" i="2"/>
  <c r="AF484" i="2"/>
  <c r="AE484" i="2"/>
  <c r="AD484" i="2"/>
  <c r="AC484" i="2"/>
  <c r="AB484" i="2"/>
  <c r="AA484" i="2"/>
  <c r="Z484" i="2"/>
  <c r="Y484" i="2"/>
  <c r="X484" i="2"/>
  <c r="W484" i="2"/>
  <c r="V484" i="2"/>
  <c r="U484" i="2"/>
  <c r="T484" i="2"/>
  <c r="S484" i="2"/>
  <c r="R484" i="2"/>
  <c r="Q484" i="2"/>
  <c r="P484" i="2"/>
  <c r="O484" i="2"/>
  <c r="N484" i="2"/>
  <c r="M484" i="2"/>
  <c r="L484" i="2"/>
  <c r="K484" i="2"/>
  <c r="J484" i="2"/>
  <c r="I484" i="2"/>
  <c r="H484" i="2"/>
  <c r="G484" i="2"/>
  <c r="F484" i="2"/>
  <c r="E484" i="2"/>
  <c r="D484" i="2"/>
  <c r="C484" i="2"/>
  <c r="B484" i="2"/>
  <c r="BF483" i="2"/>
  <c r="BE483" i="2"/>
  <c r="BD483" i="2"/>
  <c r="BC483" i="2"/>
  <c r="BB483" i="2"/>
  <c r="BA483" i="2"/>
  <c r="AZ483" i="2"/>
  <c r="AY483" i="2"/>
  <c r="AX483" i="2"/>
  <c r="AW483" i="2"/>
  <c r="AV483" i="2"/>
  <c r="AU483" i="2"/>
  <c r="AT483" i="2"/>
  <c r="AS483" i="2"/>
  <c r="AR483" i="2"/>
  <c r="AQ483" i="2"/>
  <c r="AP483" i="2"/>
  <c r="AO483" i="2"/>
  <c r="AN483" i="2"/>
  <c r="AM483" i="2"/>
  <c r="AL483" i="2"/>
  <c r="AK483" i="2"/>
  <c r="AJ483" i="2"/>
  <c r="AI483" i="2"/>
  <c r="AH483" i="2"/>
  <c r="AG483" i="2"/>
  <c r="AF483" i="2"/>
  <c r="AE483" i="2"/>
  <c r="AD483" i="2"/>
  <c r="AC483" i="2"/>
  <c r="AB483" i="2"/>
  <c r="AA483" i="2"/>
  <c r="Z483" i="2"/>
  <c r="Y483" i="2"/>
  <c r="X483" i="2"/>
  <c r="W483" i="2"/>
  <c r="V483" i="2"/>
  <c r="U483" i="2"/>
  <c r="T483" i="2"/>
  <c r="S483" i="2"/>
  <c r="R483" i="2"/>
  <c r="Q483" i="2"/>
  <c r="P483" i="2"/>
  <c r="O483" i="2"/>
  <c r="N483" i="2"/>
  <c r="M483" i="2"/>
  <c r="L483" i="2"/>
  <c r="K483" i="2"/>
  <c r="J483" i="2"/>
  <c r="I483" i="2"/>
  <c r="H483" i="2"/>
  <c r="G483" i="2"/>
  <c r="F483" i="2"/>
  <c r="E483" i="2"/>
  <c r="D483" i="2"/>
  <c r="C483" i="2"/>
  <c r="B483" i="2"/>
  <c r="BF482" i="2"/>
  <c r="BE482" i="2"/>
  <c r="BD482" i="2"/>
  <c r="BC482" i="2"/>
  <c r="BB482" i="2"/>
  <c r="BA482" i="2"/>
  <c r="AZ482" i="2"/>
  <c r="AY482" i="2"/>
  <c r="AX482" i="2"/>
  <c r="AW482" i="2"/>
  <c r="AV482" i="2"/>
  <c r="AU482" i="2"/>
  <c r="AT482" i="2"/>
  <c r="AS482" i="2"/>
  <c r="AR482" i="2"/>
  <c r="AQ482" i="2"/>
  <c r="AP482" i="2"/>
  <c r="AO482" i="2"/>
  <c r="AN482" i="2"/>
  <c r="AM482" i="2"/>
  <c r="AL482" i="2"/>
  <c r="AK482" i="2"/>
  <c r="AJ482" i="2"/>
  <c r="AI482" i="2"/>
  <c r="AH482" i="2"/>
  <c r="AG482" i="2"/>
  <c r="AF482" i="2"/>
  <c r="AE482" i="2"/>
  <c r="AD482" i="2"/>
  <c r="AC482" i="2"/>
  <c r="AB482" i="2"/>
  <c r="AA482" i="2"/>
  <c r="Z482" i="2"/>
  <c r="Y482" i="2"/>
  <c r="X482" i="2"/>
  <c r="W482" i="2"/>
  <c r="V482" i="2"/>
  <c r="U482" i="2"/>
  <c r="T482" i="2"/>
  <c r="S482" i="2"/>
  <c r="R482" i="2"/>
  <c r="Q482" i="2"/>
  <c r="P482" i="2"/>
  <c r="O482" i="2"/>
  <c r="N482" i="2"/>
  <c r="M482" i="2"/>
  <c r="L482" i="2"/>
  <c r="K482" i="2"/>
  <c r="J482" i="2"/>
  <c r="I482" i="2"/>
  <c r="H482" i="2"/>
  <c r="G482" i="2"/>
  <c r="F482" i="2"/>
  <c r="E482" i="2"/>
  <c r="D482" i="2"/>
  <c r="C482" i="2"/>
  <c r="B482" i="2"/>
  <c r="BF480" i="2"/>
  <c r="BE480" i="2"/>
  <c r="BD480" i="2"/>
  <c r="BC480" i="2"/>
  <c r="BB480" i="2"/>
  <c r="BA480" i="2"/>
  <c r="AZ480" i="2"/>
  <c r="AY480" i="2"/>
  <c r="AX480" i="2"/>
  <c r="AW480" i="2"/>
  <c r="AV480" i="2"/>
  <c r="AU480" i="2"/>
  <c r="AT480" i="2"/>
  <c r="AS480" i="2"/>
  <c r="AR480" i="2"/>
  <c r="AQ480" i="2"/>
  <c r="AP480" i="2"/>
  <c r="AO480" i="2"/>
  <c r="AN480" i="2"/>
  <c r="AM480" i="2"/>
  <c r="AL480" i="2"/>
  <c r="AK480" i="2"/>
  <c r="AJ480" i="2"/>
  <c r="AI480" i="2"/>
  <c r="AH480" i="2"/>
  <c r="AG480" i="2"/>
  <c r="AF480" i="2"/>
  <c r="AE480" i="2"/>
  <c r="AD480" i="2"/>
  <c r="AC480" i="2"/>
  <c r="AB480" i="2"/>
  <c r="AA480" i="2"/>
  <c r="Z480" i="2"/>
  <c r="Y480" i="2"/>
  <c r="X480" i="2"/>
  <c r="W480" i="2"/>
  <c r="V480" i="2"/>
  <c r="U480" i="2"/>
  <c r="T480" i="2"/>
  <c r="S480" i="2"/>
  <c r="R480" i="2"/>
  <c r="Q480" i="2"/>
  <c r="P480" i="2"/>
  <c r="O480" i="2"/>
  <c r="N480" i="2"/>
  <c r="M480" i="2"/>
  <c r="L480" i="2"/>
  <c r="K480" i="2"/>
  <c r="J480" i="2"/>
  <c r="I480" i="2"/>
  <c r="H480" i="2"/>
  <c r="G480" i="2"/>
  <c r="F480" i="2"/>
  <c r="E480" i="2"/>
  <c r="D480" i="2"/>
  <c r="C480" i="2"/>
  <c r="B480" i="2"/>
  <c r="BF479" i="2"/>
  <c r="BE479" i="2"/>
  <c r="BD479" i="2"/>
  <c r="BC479" i="2"/>
  <c r="BB479" i="2"/>
  <c r="BA479" i="2"/>
  <c r="AZ479" i="2"/>
  <c r="AY479" i="2"/>
  <c r="AX479" i="2"/>
  <c r="AW479" i="2"/>
  <c r="AV479" i="2"/>
  <c r="AU479" i="2"/>
  <c r="AT479" i="2"/>
  <c r="AS479" i="2"/>
  <c r="AR479" i="2"/>
  <c r="AQ479" i="2"/>
  <c r="AP479" i="2"/>
  <c r="AO479" i="2"/>
  <c r="AN479" i="2"/>
  <c r="AM479" i="2"/>
  <c r="AL479" i="2"/>
  <c r="AK479" i="2"/>
  <c r="AJ479" i="2"/>
  <c r="AI479" i="2"/>
  <c r="AH479" i="2"/>
  <c r="AG479" i="2"/>
  <c r="AF479" i="2"/>
  <c r="AE479" i="2"/>
  <c r="AD479" i="2"/>
  <c r="AC479" i="2"/>
  <c r="AB479" i="2"/>
  <c r="AA479" i="2"/>
  <c r="Z479" i="2"/>
  <c r="Y479" i="2"/>
  <c r="X479" i="2"/>
  <c r="W479" i="2"/>
  <c r="V479" i="2"/>
  <c r="U479" i="2"/>
  <c r="T479" i="2"/>
  <c r="S479" i="2"/>
  <c r="R479" i="2"/>
  <c r="Q479" i="2"/>
  <c r="P479" i="2"/>
  <c r="O479" i="2"/>
  <c r="N479" i="2"/>
  <c r="M479" i="2"/>
  <c r="L479" i="2"/>
  <c r="K479" i="2"/>
  <c r="J479" i="2"/>
  <c r="I479" i="2"/>
  <c r="H479" i="2"/>
  <c r="G479" i="2"/>
  <c r="F479" i="2"/>
  <c r="E479" i="2"/>
  <c r="D479" i="2"/>
  <c r="C479" i="2"/>
  <c r="B479" i="2"/>
  <c r="BF469" i="2"/>
  <c r="BE469" i="2"/>
  <c r="BD469" i="2"/>
  <c r="BC469" i="2"/>
  <c r="BB469" i="2"/>
  <c r="BA469" i="2"/>
  <c r="AZ469" i="2"/>
  <c r="AY469" i="2"/>
  <c r="AX469" i="2"/>
  <c r="AW469" i="2"/>
  <c r="AV469" i="2"/>
  <c r="AU469" i="2"/>
  <c r="AT469" i="2"/>
  <c r="AS469" i="2"/>
  <c r="AR469" i="2"/>
  <c r="AQ469" i="2"/>
  <c r="AP469" i="2"/>
  <c r="AO469" i="2"/>
  <c r="AN469" i="2"/>
  <c r="AM469" i="2"/>
  <c r="AL469" i="2"/>
  <c r="AK469" i="2"/>
  <c r="AJ469" i="2"/>
  <c r="AI469" i="2"/>
  <c r="AH469" i="2"/>
  <c r="AG469" i="2"/>
  <c r="AF469" i="2"/>
  <c r="AE469" i="2"/>
  <c r="AD469" i="2"/>
  <c r="AC469" i="2"/>
  <c r="AB469" i="2"/>
  <c r="AA469" i="2"/>
  <c r="Z469" i="2"/>
  <c r="Y469" i="2"/>
  <c r="X469" i="2"/>
  <c r="W469" i="2"/>
  <c r="V469" i="2"/>
  <c r="U469" i="2"/>
  <c r="T469" i="2"/>
  <c r="S469" i="2"/>
  <c r="R469" i="2"/>
  <c r="Q469" i="2"/>
  <c r="P469" i="2"/>
  <c r="O469" i="2"/>
  <c r="N469" i="2"/>
  <c r="M469" i="2"/>
  <c r="L469" i="2"/>
  <c r="K469" i="2"/>
  <c r="J469" i="2"/>
  <c r="I469" i="2"/>
  <c r="H469" i="2"/>
  <c r="G469" i="2"/>
  <c r="F469" i="2"/>
  <c r="E469" i="2"/>
  <c r="D469" i="2"/>
  <c r="C469" i="2"/>
  <c r="B469" i="2"/>
  <c r="BF468" i="2"/>
  <c r="BE468" i="2"/>
  <c r="BD468" i="2"/>
  <c r="BC468" i="2"/>
  <c r="BB468" i="2"/>
  <c r="BA468" i="2"/>
  <c r="AZ468" i="2"/>
  <c r="AY468" i="2"/>
  <c r="AX468" i="2"/>
  <c r="AW468" i="2"/>
  <c r="AV468" i="2"/>
  <c r="AU468" i="2"/>
  <c r="AT468" i="2"/>
  <c r="AS468" i="2"/>
  <c r="AR468" i="2"/>
  <c r="AQ468" i="2"/>
  <c r="AP468" i="2"/>
  <c r="AO468" i="2"/>
  <c r="AN468" i="2"/>
  <c r="AM468" i="2"/>
  <c r="AL468" i="2"/>
  <c r="AK468" i="2"/>
  <c r="AJ468" i="2"/>
  <c r="AI468" i="2"/>
  <c r="AH468" i="2"/>
  <c r="AG468" i="2"/>
  <c r="AF468" i="2"/>
  <c r="AE468" i="2"/>
  <c r="AD468" i="2"/>
  <c r="AC468" i="2"/>
  <c r="AB468" i="2"/>
  <c r="AA468" i="2"/>
  <c r="Z468" i="2"/>
  <c r="Y468" i="2"/>
  <c r="X468" i="2"/>
  <c r="W468" i="2"/>
  <c r="V468" i="2"/>
  <c r="U468" i="2"/>
  <c r="T468" i="2"/>
  <c r="S468" i="2"/>
  <c r="R468" i="2"/>
  <c r="Q468" i="2"/>
  <c r="P468" i="2"/>
  <c r="O468" i="2"/>
  <c r="N468" i="2"/>
  <c r="M468" i="2"/>
  <c r="L468" i="2"/>
  <c r="K468" i="2"/>
  <c r="J468" i="2"/>
  <c r="I468" i="2"/>
  <c r="H468" i="2"/>
  <c r="G468" i="2"/>
  <c r="F468" i="2"/>
  <c r="E468" i="2"/>
  <c r="D468" i="2"/>
  <c r="C468" i="2"/>
  <c r="B468" i="2"/>
  <c r="BF467" i="2"/>
  <c r="BE467" i="2"/>
  <c r="BD467" i="2"/>
  <c r="BC467" i="2"/>
  <c r="BB467" i="2"/>
  <c r="BA467" i="2"/>
  <c r="AZ467" i="2"/>
  <c r="AY467" i="2"/>
  <c r="AX467" i="2"/>
  <c r="AW467" i="2"/>
  <c r="AV467" i="2"/>
  <c r="AU467" i="2"/>
  <c r="AT467" i="2"/>
  <c r="AS467" i="2"/>
  <c r="AR467" i="2"/>
  <c r="AQ467" i="2"/>
  <c r="AP467" i="2"/>
  <c r="AO467" i="2"/>
  <c r="AN467" i="2"/>
  <c r="AM467" i="2"/>
  <c r="AL467" i="2"/>
  <c r="AK467" i="2"/>
  <c r="AJ467" i="2"/>
  <c r="AI467" i="2"/>
  <c r="AH467" i="2"/>
  <c r="AG467" i="2"/>
  <c r="AF467" i="2"/>
  <c r="AE467" i="2"/>
  <c r="AD467" i="2"/>
  <c r="AC467" i="2"/>
  <c r="AB467" i="2"/>
  <c r="AA467" i="2"/>
  <c r="Z467" i="2"/>
  <c r="Y467" i="2"/>
  <c r="X467" i="2"/>
  <c r="W467" i="2"/>
  <c r="V467" i="2"/>
  <c r="U467" i="2"/>
  <c r="T467" i="2"/>
  <c r="S467" i="2"/>
  <c r="R467" i="2"/>
  <c r="Q467" i="2"/>
  <c r="P467" i="2"/>
  <c r="O467" i="2"/>
  <c r="N467" i="2"/>
  <c r="M467" i="2"/>
  <c r="L467" i="2"/>
  <c r="K467" i="2"/>
  <c r="J467" i="2"/>
  <c r="I467" i="2"/>
  <c r="H467" i="2"/>
  <c r="G467" i="2"/>
  <c r="F467" i="2"/>
  <c r="E467" i="2"/>
  <c r="D467" i="2"/>
  <c r="C467" i="2"/>
  <c r="B467" i="2"/>
  <c r="BF465" i="2"/>
  <c r="BE465" i="2"/>
  <c r="BD465" i="2"/>
  <c r="BC465" i="2"/>
  <c r="BB465" i="2"/>
  <c r="BA465" i="2"/>
  <c r="AZ465" i="2"/>
  <c r="AY465" i="2"/>
  <c r="AX465" i="2"/>
  <c r="AW465" i="2"/>
  <c r="AV465" i="2"/>
  <c r="AU465" i="2"/>
  <c r="AT465" i="2"/>
  <c r="AS465" i="2"/>
  <c r="AR465" i="2"/>
  <c r="AQ465" i="2"/>
  <c r="AP465" i="2"/>
  <c r="AO465" i="2"/>
  <c r="AN465" i="2"/>
  <c r="AM465" i="2"/>
  <c r="AL465" i="2"/>
  <c r="AK465" i="2"/>
  <c r="AJ465" i="2"/>
  <c r="AI465" i="2"/>
  <c r="AH465" i="2"/>
  <c r="AG465" i="2"/>
  <c r="AF465" i="2"/>
  <c r="AE465" i="2"/>
  <c r="AD465" i="2"/>
  <c r="AC465" i="2"/>
  <c r="AB465" i="2"/>
  <c r="AA465" i="2"/>
  <c r="Z465" i="2"/>
  <c r="Y465" i="2"/>
  <c r="X465" i="2"/>
  <c r="W465" i="2"/>
  <c r="V465" i="2"/>
  <c r="U465" i="2"/>
  <c r="T465" i="2"/>
  <c r="S465" i="2"/>
  <c r="R465" i="2"/>
  <c r="Q465" i="2"/>
  <c r="P465" i="2"/>
  <c r="O465" i="2"/>
  <c r="N465" i="2"/>
  <c r="M465" i="2"/>
  <c r="L465" i="2"/>
  <c r="K465" i="2"/>
  <c r="J465" i="2"/>
  <c r="I465" i="2"/>
  <c r="H465" i="2"/>
  <c r="G465" i="2"/>
  <c r="F465" i="2"/>
  <c r="E465" i="2"/>
  <c r="D465" i="2"/>
  <c r="C465" i="2"/>
  <c r="B465" i="2"/>
  <c r="BF464" i="2"/>
  <c r="BE464" i="2"/>
  <c r="BD464" i="2"/>
  <c r="BC464" i="2"/>
  <c r="BB464" i="2"/>
  <c r="BA464" i="2"/>
  <c r="AZ464" i="2"/>
  <c r="AY464" i="2"/>
  <c r="AX464" i="2"/>
  <c r="AW464" i="2"/>
  <c r="AV464" i="2"/>
  <c r="AU464" i="2"/>
  <c r="AT464" i="2"/>
  <c r="AS464" i="2"/>
  <c r="AR464" i="2"/>
  <c r="AQ464" i="2"/>
  <c r="AP464" i="2"/>
  <c r="AO464" i="2"/>
  <c r="AN464" i="2"/>
  <c r="AM464" i="2"/>
  <c r="AL464" i="2"/>
  <c r="AK464" i="2"/>
  <c r="AJ464" i="2"/>
  <c r="AI464" i="2"/>
  <c r="AH464" i="2"/>
  <c r="AG464" i="2"/>
  <c r="AF464" i="2"/>
  <c r="AE464" i="2"/>
  <c r="AD464" i="2"/>
  <c r="AC464" i="2"/>
  <c r="AB464" i="2"/>
  <c r="AA464" i="2"/>
  <c r="Z464" i="2"/>
  <c r="Y464" i="2"/>
  <c r="X464" i="2"/>
  <c r="W464" i="2"/>
  <c r="V464" i="2"/>
  <c r="U464" i="2"/>
  <c r="T464" i="2"/>
  <c r="S464" i="2"/>
  <c r="R464" i="2"/>
  <c r="Q464" i="2"/>
  <c r="P464" i="2"/>
  <c r="O464" i="2"/>
  <c r="N464" i="2"/>
  <c r="M464" i="2"/>
  <c r="L464" i="2"/>
  <c r="K464" i="2"/>
  <c r="J464" i="2"/>
  <c r="I464" i="2"/>
  <c r="H464" i="2"/>
  <c r="G464" i="2"/>
  <c r="F464" i="2"/>
  <c r="E464" i="2"/>
  <c r="D464" i="2"/>
  <c r="C464" i="2"/>
  <c r="B464" i="2"/>
  <c r="BF463" i="2"/>
  <c r="BE463" i="2"/>
  <c r="BD463" i="2"/>
  <c r="BC463" i="2"/>
  <c r="BB463" i="2"/>
  <c r="BA463" i="2"/>
  <c r="AZ463" i="2"/>
  <c r="AY463" i="2"/>
  <c r="AX463" i="2"/>
  <c r="AW463" i="2"/>
  <c r="AV463" i="2"/>
  <c r="AU463" i="2"/>
  <c r="AT463" i="2"/>
  <c r="AS463" i="2"/>
  <c r="AR463" i="2"/>
  <c r="AQ463" i="2"/>
  <c r="AP463" i="2"/>
  <c r="AO463" i="2"/>
  <c r="AN463" i="2"/>
  <c r="AM463" i="2"/>
  <c r="AL463" i="2"/>
  <c r="AK463" i="2"/>
  <c r="AJ463" i="2"/>
  <c r="AI463" i="2"/>
  <c r="AH463" i="2"/>
  <c r="AG463" i="2"/>
  <c r="AF463" i="2"/>
  <c r="AE463" i="2"/>
  <c r="AD463" i="2"/>
  <c r="AC463" i="2"/>
  <c r="AB463" i="2"/>
  <c r="AA463" i="2"/>
  <c r="Z463" i="2"/>
  <c r="Y463" i="2"/>
  <c r="X463" i="2"/>
  <c r="W463" i="2"/>
  <c r="V463" i="2"/>
  <c r="U463" i="2"/>
  <c r="T463" i="2"/>
  <c r="S463" i="2"/>
  <c r="R463" i="2"/>
  <c r="Q463" i="2"/>
  <c r="P463" i="2"/>
  <c r="O463" i="2"/>
  <c r="N463" i="2"/>
  <c r="M463" i="2"/>
  <c r="L463" i="2"/>
  <c r="K463" i="2"/>
  <c r="J463" i="2"/>
  <c r="I463" i="2"/>
  <c r="H463" i="2"/>
  <c r="G463" i="2"/>
  <c r="F463" i="2"/>
  <c r="E463" i="2"/>
  <c r="D463" i="2"/>
  <c r="C463" i="2"/>
  <c r="B463" i="2"/>
  <c r="BF462" i="2"/>
  <c r="BE462" i="2"/>
  <c r="BD462" i="2"/>
  <c r="BC462" i="2"/>
  <c r="BB462" i="2"/>
  <c r="BA462" i="2"/>
  <c r="AZ462" i="2"/>
  <c r="AY462" i="2"/>
  <c r="AX462" i="2"/>
  <c r="AW462" i="2"/>
  <c r="AV462" i="2"/>
  <c r="AU462" i="2"/>
  <c r="AT462" i="2"/>
  <c r="AS462" i="2"/>
  <c r="AR462" i="2"/>
  <c r="AQ462" i="2"/>
  <c r="AP462" i="2"/>
  <c r="AO462" i="2"/>
  <c r="AN462" i="2"/>
  <c r="AM462" i="2"/>
  <c r="AL462" i="2"/>
  <c r="AK462" i="2"/>
  <c r="AJ462" i="2"/>
  <c r="AI462" i="2"/>
  <c r="AH462" i="2"/>
  <c r="AG462" i="2"/>
  <c r="AF462" i="2"/>
  <c r="AE462" i="2"/>
  <c r="AD462" i="2"/>
  <c r="AC462" i="2"/>
  <c r="AB462" i="2"/>
  <c r="AA462" i="2"/>
  <c r="Z462" i="2"/>
  <c r="Y462" i="2"/>
  <c r="X462" i="2"/>
  <c r="W462" i="2"/>
  <c r="V462" i="2"/>
  <c r="U462" i="2"/>
  <c r="T462" i="2"/>
  <c r="S462" i="2"/>
  <c r="R462" i="2"/>
  <c r="Q462" i="2"/>
  <c r="P462" i="2"/>
  <c r="O462" i="2"/>
  <c r="N462" i="2"/>
  <c r="M462" i="2"/>
  <c r="L462" i="2"/>
  <c r="K462" i="2"/>
  <c r="J462" i="2"/>
  <c r="I462" i="2"/>
  <c r="H462" i="2"/>
  <c r="G462" i="2"/>
  <c r="F462" i="2"/>
  <c r="E462" i="2"/>
  <c r="D462" i="2"/>
  <c r="C462" i="2"/>
  <c r="B462" i="2"/>
  <c r="BF461" i="2"/>
  <c r="BE461" i="2"/>
  <c r="BD461" i="2"/>
  <c r="BC461" i="2"/>
  <c r="BB461" i="2"/>
  <c r="BA461" i="2"/>
  <c r="AZ461" i="2"/>
  <c r="AY461" i="2"/>
  <c r="AX461" i="2"/>
  <c r="AW461" i="2"/>
  <c r="AV461" i="2"/>
  <c r="AU461" i="2"/>
  <c r="AT461" i="2"/>
  <c r="AS461" i="2"/>
  <c r="AR461" i="2"/>
  <c r="AQ461" i="2"/>
  <c r="AP461" i="2"/>
  <c r="AO461" i="2"/>
  <c r="AN461" i="2"/>
  <c r="AM461" i="2"/>
  <c r="AL461" i="2"/>
  <c r="AK461" i="2"/>
  <c r="AJ461" i="2"/>
  <c r="AI461" i="2"/>
  <c r="AH461" i="2"/>
  <c r="AG461" i="2"/>
  <c r="AF461" i="2"/>
  <c r="AE461" i="2"/>
  <c r="AD461" i="2"/>
  <c r="AC461" i="2"/>
  <c r="AB461" i="2"/>
  <c r="AA461" i="2"/>
  <c r="Z461" i="2"/>
  <c r="Y461" i="2"/>
  <c r="X461" i="2"/>
  <c r="W461" i="2"/>
  <c r="V461" i="2"/>
  <c r="U461" i="2"/>
  <c r="T461" i="2"/>
  <c r="S461" i="2"/>
  <c r="R461" i="2"/>
  <c r="Q461" i="2"/>
  <c r="P461" i="2"/>
  <c r="O461" i="2"/>
  <c r="N461" i="2"/>
  <c r="M461" i="2"/>
  <c r="L461" i="2"/>
  <c r="K461" i="2"/>
  <c r="J461" i="2"/>
  <c r="I461" i="2"/>
  <c r="H461" i="2"/>
  <c r="G461" i="2"/>
  <c r="F461" i="2"/>
  <c r="E461" i="2"/>
  <c r="D461" i="2"/>
  <c r="C461" i="2"/>
  <c r="B461" i="2"/>
  <c r="BF459" i="2"/>
  <c r="BE459" i="2"/>
  <c r="BD459" i="2"/>
  <c r="BC459" i="2"/>
  <c r="BB459" i="2"/>
  <c r="BA459" i="2"/>
  <c r="AZ459" i="2"/>
  <c r="AY459" i="2"/>
  <c r="AX459" i="2"/>
  <c r="AW459" i="2"/>
  <c r="AV459" i="2"/>
  <c r="AU459" i="2"/>
  <c r="AT459" i="2"/>
  <c r="AS459" i="2"/>
  <c r="AR459" i="2"/>
  <c r="AQ459" i="2"/>
  <c r="AP459" i="2"/>
  <c r="AO459" i="2"/>
  <c r="AN459" i="2"/>
  <c r="AM459" i="2"/>
  <c r="AL459" i="2"/>
  <c r="AK459" i="2"/>
  <c r="AJ459" i="2"/>
  <c r="AI459" i="2"/>
  <c r="AH459" i="2"/>
  <c r="AG459" i="2"/>
  <c r="AF459" i="2"/>
  <c r="AE459" i="2"/>
  <c r="AD459" i="2"/>
  <c r="AC459" i="2"/>
  <c r="AB459" i="2"/>
  <c r="AA459" i="2"/>
  <c r="Z459" i="2"/>
  <c r="Y459" i="2"/>
  <c r="X459" i="2"/>
  <c r="W459" i="2"/>
  <c r="V459" i="2"/>
  <c r="U459" i="2"/>
  <c r="T459" i="2"/>
  <c r="S459" i="2"/>
  <c r="R459" i="2"/>
  <c r="Q459" i="2"/>
  <c r="P459" i="2"/>
  <c r="O459" i="2"/>
  <c r="N459" i="2"/>
  <c r="M459" i="2"/>
  <c r="L459" i="2"/>
  <c r="K459" i="2"/>
  <c r="J459" i="2"/>
  <c r="I459" i="2"/>
  <c r="H459" i="2"/>
  <c r="G459" i="2"/>
  <c r="F459" i="2"/>
  <c r="E459" i="2"/>
  <c r="D459" i="2"/>
  <c r="C459" i="2"/>
  <c r="B459" i="2"/>
  <c r="BF458" i="2"/>
  <c r="BE458" i="2"/>
  <c r="BD458" i="2"/>
  <c r="BC458" i="2"/>
  <c r="BB458" i="2"/>
  <c r="BA458" i="2"/>
  <c r="AZ458" i="2"/>
  <c r="AY458" i="2"/>
  <c r="AX458" i="2"/>
  <c r="AW458" i="2"/>
  <c r="AV458" i="2"/>
  <c r="AU458" i="2"/>
  <c r="AT458" i="2"/>
  <c r="AS458" i="2"/>
  <c r="AR458" i="2"/>
  <c r="AQ458" i="2"/>
  <c r="AP458" i="2"/>
  <c r="AO458" i="2"/>
  <c r="AN458" i="2"/>
  <c r="AM458" i="2"/>
  <c r="AL458" i="2"/>
  <c r="AK458" i="2"/>
  <c r="AJ458" i="2"/>
  <c r="AI458" i="2"/>
  <c r="AH458" i="2"/>
  <c r="AG458" i="2"/>
  <c r="AF458" i="2"/>
  <c r="AE458" i="2"/>
  <c r="AD458" i="2"/>
  <c r="AC458" i="2"/>
  <c r="AB458" i="2"/>
  <c r="AA458" i="2"/>
  <c r="Z458" i="2"/>
  <c r="Y458" i="2"/>
  <c r="X458" i="2"/>
  <c r="W458" i="2"/>
  <c r="V458" i="2"/>
  <c r="U458" i="2"/>
  <c r="T458" i="2"/>
  <c r="S458" i="2"/>
  <c r="R458" i="2"/>
  <c r="Q458" i="2"/>
  <c r="P458" i="2"/>
  <c r="O458" i="2"/>
  <c r="N458" i="2"/>
  <c r="M458" i="2"/>
  <c r="L458" i="2"/>
  <c r="K458" i="2"/>
  <c r="J458" i="2"/>
  <c r="I458" i="2"/>
  <c r="H458" i="2"/>
  <c r="G458" i="2"/>
  <c r="F458" i="2"/>
  <c r="E458" i="2"/>
  <c r="D458" i="2"/>
  <c r="C458" i="2"/>
  <c r="B458" i="2"/>
  <c r="BF456" i="2"/>
  <c r="BE456" i="2"/>
  <c r="BD456" i="2"/>
  <c r="BC456" i="2"/>
  <c r="BB456" i="2"/>
  <c r="BA456" i="2"/>
  <c r="AZ456" i="2"/>
  <c r="AY456" i="2"/>
  <c r="AX456" i="2"/>
  <c r="AW456" i="2"/>
  <c r="AV456" i="2"/>
  <c r="AU456" i="2"/>
  <c r="AT456" i="2"/>
  <c r="AS456" i="2"/>
  <c r="AR456" i="2"/>
  <c r="AQ456" i="2"/>
  <c r="AP456" i="2"/>
  <c r="AO456" i="2"/>
  <c r="AN456" i="2"/>
  <c r="AM456" i="2"/>
  <c r="AL456" i="2"/>
  <c r="AK456" i="2"/>
  <c r="AJ456" i="2"/>
  <c r="AI456" i="2"/>
  <c r="AH456" i="2"/>
  <c r="AG456" i="2"/>
  <c r="AF456" i="2"/>
  <c r="AE456" i="2"/>
  <c r="AD456" i="2"/>
  <c r="AC456" i="2"/>
  <c r="AB456" i="2"/>
  <c r="AA456" i="2"/>
  <c r="Z456" i="2"/>
  <c r="Y456" i="2"/>
  <c r="X456" i="2"/>
  <c r="W456" i="2"/>
  <c r="V456" i="2"/>
  <c r="U456" i="2"/>
  <c r="T456" i="2"/>
  <c r="S456" i="2"/>
  <c r="R456" i="2"/>
  <c r="Q456" i="2"/>
  <c r="P456" i="2"/>
  <c r="O456" i="2"/>
  <c r="N456" i="2"/>
  <c r="M456" i="2"/>
  <c r="L456" i="2"/>
  <c r="K456" i="2"/>
  <c r="J456" i="2"/>
  <c r="I456" i="2"/>
  <c r="H456" i="2"/>
  <c r="G456" i="2"/>
  <c r="F456" i="2"/>
  <c r="E456" i="2"/>
  <c r="D456" i="2"/>
  <c r="C456" i="2"/>
  <c r="B456" i="2"/>
  <c r="BF455" i="2"/>
  <c r="BE455" i="2"/>
  <c r="BD455" i="2"/>
  <c r="BC455" i="2"/>
  <c r="BB455" i="2"/>
  <c r="BA455" i="2"/>
  <c r="AZ455" i="2"/>
  <c r="AY455" i="2"/>
  <c r="AX455" i="2"/>
  <c r="AW455" i="2"/>
  <c r="AV455" i="2"/>
  <c r="AU455" i="2"/>
  <c r="AT455" i="2"/>
  <c r="AS455" i="2"/>
  <c r="AR455" i="2"/>
  <c r="AQ455" i="2"/>
  <c r="AP455" i="2"/>
  <c r="AO455" i="2"/>
  <c r="AN455" i="2"/>
  <c r="AM455" i="2"/>
  <c r="AL455" i="2"/>
  <c r="AK455" i="2"/>
  <c r="AJ455" i="2"/>
  <c r="AI455" i="2"/>
  <c r="AH455" i="2"/>
  <c r="AG455" i="2"/>
  <c r="AF455" i="2"/>
  <c r="AE455" i="2"/>
  <c r="AD455" i="2"/>
  <c r="AC455" i="2"/>
  <c r="AB455" i="2"/>
  <c r="AA455" i="2"/>
  <c r="Z455" i="2"/>
  <c r="Y455" i="2"/>
  <c r="X455" i="2"/>
  <c r="W455" i="2"/>
  <c r="V455" i="2"/>
  <c r="U455" i="2"/>
  <c r="T455" i="2"/>
  <c r="S455" i="2"/>
  <c r="R455" i="2"/>
  <c r="Q455" i="2"/>
  <c r="P455" i="2"/>
  <c r="O455" i="2"/>
  <c r="N455" i="2"/>
  <c r="M455" i="2"/>
  <c r="L455" i="2"/>
  <c r="K455" i="2"/>
  <c r="J455" i="2"/>
  <c r="I455" i="2"/>
  <c r="H455" i="2"/>
  <c r="G455" i="2"/>
  <c r="F455" i="2"/>
  <c r="E455" i="2"/>
  <c r="D455" i="2"/>
  <c r="C455" i="2"/>
  <c r="B455" i="2"/>
  <c r="BF454" i="2"/>
  <c r="BE454" i="2"/>
  <c r="BD454" i="2"/>
  <c r="BC454" i="2"/>
  <c r="BB454" i="2"/>
  <c r="BA454" i="2"/>
  <c r="AZ454" i="2"/>
  <c r="AY454" i="2"/>
  <c r="AX454" i="2"/>
  <c r="AW454" i="2"/>
  <c r="AV454" i="2"/>
  <c r="AU454" i="2"/>
  <c r="AT454" i="2"/>
  <c r="AS454" i="2"/>
  <c r="AR454" i="2"/>
  <c r="AQ454" i="2"/>
  <c r="AP454" i="2"/>
  <c r="AO454" i="2"/>
  <c r="AN454" i="2"/>
  <c r="AM454" i="2"/>
  <c r="AL454" i="2"/>
  <c r="AK454" i="2"/>
  <c r="AJ454" i="2"/>
  <c r="AI454" i="2"/>
  <c r="AH454" i="2"/>
  <c r="AG454" i="2"/>
  <c r="AF454" i="2"/>
  <c r="AE454" i="2"/>
  <c r="AD454" i="2"/>
  <c r="AC454" i="2"/>
  <c r="AB454" i="2"/>
  <c r="AA454" i="2"/>
  <c r="Z454" i="2"/>
  <c r="Y454" i="2"/>
  <c r="X454" i="2"/>
  <c r="W454" i="2"/>
  <c r="V454" i="2"/>
  <c r="U454" i="2"/>
  <c r="T454" i="2"/>
  <c r="S454" i="2"/>
  <c r="R454" i="2"/>
  <c r="Q454" i="2"/>
  <c r="P454" i="2"/>
  <c r="O454" i="2"/>
  <c r="N454" i="2"/>
  <c r="M454" i="2"/>
  <c r="L454" i="2"/>
  <c r="K454" i="2"/>
  <c r="J454" i="2"/>
  <c r="I454" i="2"/>
  <c r="H454" i="2"/>
  <c r="G454" i="2"/>
  <c r="F454" i="2"/>
  <c r="E454" i="2"/>
  <c r="D454" i="2"/>
  <c r="C454" i="2"/>
  <c r="B454" i="2"/>
  <c r="BF452" i="2"/>
  <c r="BE452" i="2"/>
  <c r="BD452" i="2"/>
  <c r="BC452" i="2"/>
  <c r="BB452" i="2"/>
  <c r="BA452" i="2"/>
  <c r="AZ452" i="2"/>
  <c r="AY452" i="2"/>
  <c r="AX452" i="2"/>
  <c r="AW452" i="2"/>
  <c r="AV452" i="2"/>
  <c r="AU452" i="2"/>
  <c r="AT452" i="2"/>
  <c r="AS452" i="2"/>
  <c r="AR452" i="2"/>
  <c r="AQ452" i="2"/>
  <c r="AP452" i="2"/>
  <c r="AO452" i="2"/>
  <c r="AN452" i="2"/>
  <c r="AM452" i="2"/>
  <c r="AL452" i="2"/>
  <c r="AK452" i="2"/>
  <c r="AJ452" i="2"/>
  <c r="AI452" i="2"/>
  <c r="AH452" i="2"/>
  <c r="AG452" i="2"/>
  <c r="AF452" i="2"/>
  <c r="AE452" i="2"/>
  <c r="AD452" i="2"/>
  <c r="AC452" i="2"/>
  <c r="AB452" i="2"/>
  <c r="AA452" i="2"/>
  <c r="Z452" i="2"/>
  <c r="Y452" i="2"/>
  <c r="X452" i="2"/>
  <c r="W452" i="2"/>
  <c r="V452" i="2"/>
  <c r="U452" i="2"/>
  <c r="T452" i="2"/>
  <c r="S452" i="2"/>
  <c r="R452" i="2"/>
  <c r="Q452" i="2"/>
  <c r="P452" i="2"/>
  <c r="O452" i="2"/>
  <c r="N452" i="2"/>
  <c r="M452" i="2"/>
  <c r="L452" i="2"/>
  <c r="K452" i="2"/>
  <c r="J452" i="2"/>
  <c r="I452" i="2"/>
  <c r="H452" i="2"/>
  <c r="G452" i="2"/>
  <c r="F452" i="2"/>
  <c r="E452" i="2"/>
  <c r="D452" i="2"/>
  <c r="C452" i="2"/>
  <c r="B452" i="2"/>
  <c r="BF451" i="2"/>
  <c r="BE451" i="2"/>
  <c r="BD451" i="2"/>
  <c r="BC451" i="2"/>
  <c r="BB451" i="2"/>
  <c r="BA451" i="2"/>
  <c r="AZ451" i="2"/>
  <c r="AY451" i="2"/>
  <c r="AX451" i="2"/>
  <c r="AW451" i="2"/>
  <c r="AV451" i="2"/>
  <c r="AU451" i="2"/>
  <c r="AT451" i="2"/>
  <c r="AS451" i="2"/>
  <c r="AR451" i="2"/>
  <c r="AQ451" i="2"/>
  <c r="AP451" i="2"/>
  <c r="AO451" i="2"/>
  <c r="AN451" i="2"/>
  <c r="AM451" i="2"/>
  <c r="AL451" i="2"/>
  <c r="AK451" i="2"/>
  <c r="AJ451" i="2"/>
  <c r="AI451" i="2"/>
  <c r="AH451" i="2"/>
  <c r="AG451" i="2"/>
  <c r="AF451" i="2"/>
  <c r="AE451" i="2"/>
  <c r="AD451" i="2"/>
  <c r="AC451" i="2"/>
  <c r="AB451" i="2"/>
  <c r="AA451" i="2"/>
  <c r="Z451" i="2"/>
  <c r="Y451" i="2"/>
  <c r="X451" i="2"/>
  <c r="W451" i="2"/>
  <c r="V451" i="2"/>
  <c r="U451" i="2"/>
  <c r="T451" i="2"/>
  <c r="S451" i="2"/>
  <c r="R451" i="2"/>
  <c r="Q451" i="2"/>
  <c r="P451" i="2"/>
  <c r="O451" i="2"/>
  <c r="N451" i="2"/>
  <c r="M451" i="2"/>
  <c r="L451" i="2"/>
  <c r="K451" i="2"/>
  <c r="J451" i="2"/>
  <c r="I451" i="2"/>
  <c r="H451" i="2"/>
  <c r="G451" i="2"/>
  <c r="F451" i="2"/>
  <c r="E451" i="2"/>
  <c r="D451" i="2"/>
  <c r="C451" i="2"/>
  <c r="B451" i="2"/>
  <c r="BF450" i="2"/>
  <c r="BE450" i="2"/>
  <c r="BD450" i="2"/>
  <c r="BC450" i="2"/>
  <c r="BB450" i="2"/>
  <c r="BA450" i="2"/>
  <c r="AZ450" i="2"/>
  <c r="AY450" i="2"/>
  <c r="AX450" i="2"/>
  <c r="AW450" i="2"/>
  <c r="AV450" i="2"/>
  <c r="AU450" i="2"/>
  <c r="AT450" i="2"/>
  <c r="AS450" i="2"/>
  <c r="AR450" i="2"/>
  <c r="AQ450" i="2"/>
  <c r="AP450" i="2"/>
  <c r="AO450" i="2"/>
  <c r="AN450" i="2"/>
  <c r="AM450" i="2"/>
  <c r="AL450" i="2"/>
  <c r="AK450" i="2"/>
  <c r="AJ450" i="2"/>
  <c r="AI450" i="2"/>
  <c r="AH450" i="2"/>
  <c r="AG450" i="2"/>
  <c r="AF450" i="2"/>
  <c r="AE450" i="2"/>
  <c r="AD450" i="2"/>
  <c r="AC450" i="2"/>
  <c r="AB450" i="2"/>
  <c r="AA450" i="2"/>
  <c r="Z450" i="2"/>
  <c r="Y450" i="2"/>
  <c r="X450" i="2"/>
  <c r="W450" i="2"/>
  <c r="V450" i="2"/>
  <c r="U450" i="2"/>
  <c r="T450" i="2"/>
  <c r="S450" i="2"/>
  <c r="R450" i="2"/>
  <c r="Q450" i="2"/>
  <c r="P450" i="2"/>
  <c r="O450" i="2"/>
  <c r="N450" i="2"/>
  <c r="M450" i="2"/>
  <c r="L450" i="2"/>
  <c r="K450" i="2"/>
  <c r="J450" i="2"/>
  <c r="I450" i="2"/>
  <c r="H450" i="2"/>
  <c r="G450" i="2"/>
  <c r="F450" i="2"/>
  <c r="E450" i="2"/>
  <c r="D450" i="2"/>
  <c r="C450" i="2"/>
  <c r="B450" i="2"/>
  <c r="BF449" i="2"/>
  <c r="BE449" i="2"/>
  <c r="BD449" i="2"/>
  <c r="BC449" i="2"/>
  <c r="BB449" i="2"/>
  <c r="BA449" i="2"/>
  <c r="AZ449" i="2"/>
  <c r="AY449" i="2"/>
  <c r="AX449" i="2"/>
  <c r="AW449" i="2"/>
  <c r="AV449" i="2"/>
  <c r="AU449" i="2"/>
  <c r="AT449" i="2"/>
  <c r="AS449" i="2"/>
  <c r="AR449" i="2"/>
  <c r="AQ449" i="2"/>
  <c r="AP449" i="2"/>
  <c r="AO449" i="2"/>
  <c r="AN449" i="2"/>
  <c r="AM449" i="2"/>
  <c r="AL449" i="2"/>
  <c r="AK449" i="2"/>
  <c r="AJ449" i="2"/>
  <c r="AI449" i="2"/>
  <c r="AH449" i="2"/>
  <c r="AG449" i="2"/>
  <c r="AF449" i="2"/>
  <c r="AE449" i="2"/>
  <c r="AD449" i="2"/>
  <c r="AC449" i="2"/>
  <c r="AB449" i="2"/>
  <c r="AA449" i="2"/>
  <c r="Z449" i="2"/>
  <c r="Y449" i="2"/>
  <c r="X449" i="2"/>
  <c r="W449" i="2"/>
  <c r="V449" i="2"/>
  <c r="U449" i="2"/>
  <c r="T449" i="2"/>
  <c r="S449" i="2"/>
  <c r="R449" i="2"/>
  <c r="Q449" i="2"/>
  <c r="P449" i="2"/>
  <c r="O449" i="2"/>
  <c r="N449" i="2"/>
  <c r="M449" i="2"/>
  <c r="L449" i="2"/>
  <c r="K449" i="2"/>
  <c r="J449" i="2"/>
  <c r="I449" i="2"/>
  <c r="H449" i="2"/>
  <c r="G449" i="2"/>
  <c r="F449" i="2"/>
  <c r="E449" i="2"/>
  <c r="D449" i="2"/>
  <c r="C449" i="2"/>
  <c r="B449" i="2"/>
  <c r="BF448" i="2"/>
  <c r="BE448" i="2"/>
  <c r="BD448" i="2"/>
  <c r="BC448" i="2"/>
  <c r="BB448" i="2"/>
  <c r="BA448" i="2"/>
  <c r="AZ448" i="2"/>
  <c r="AY448" i="2"/>
  <c r="AX448" i="2"/>
  <c r="AW448" i="2"/>
  <c r="AV448" i="2"/>
  <c r="AU448" i="2"/>
  <c r="AT448" i="2"/>
  <c r="AS448" i="2"/>
  <c r="AR448" i="2"/>
  <c r="AQ448" i="2"/>
  <c r="AP448" i="2"/>
  <c r="AO448" i="2"/>
  <c r="AN448" i="2"/>
  <c r="AM448" i="2"/>
  <c r="AL448" i="2"/>
  <c r="AK448" i="2"/>
  <c r="AJ448" i="2"/>
  <c r="AI448" i="2"/>
  <c r="AH448" i="2"/>
  <c r="AG448" i="2"/>
  <c r="AF448" i="2"/>
  <c r="AE448" i="2"/>
  <c r="AD448" i="2"/>
  <c r="AC448" i="2"/>
  <c r="AB448" i="2"/>
  <c r="AA448" i="2"/>
  <c r="Z448" i="2"/>
  <c r="Y448" i="2"/>
  <c r="X448" i="2"/>
  <c r="W448" i="2"/>
  <c r="V448" i="2"/>
  <c r="U448" i="2"/>
  <c r="T448" i="2"/>
  <c r="S448" i="2"/>
  <c r="R448" i="2"/>
  <c r="Q448" i="2"/>
  <c r="P448" i="2"/>
  <c r="O448" i="2"/>
  <c r="N448" i="2"/>
  <c r="M448" i="2"/>
  <c r="L448" i="2"/>
  <c r="K448" i="2"/>
  <c r="J448" i="2"/>
  <c r="I448" i="2"/>
  <c r="H448" i="2"/>
  <c r="G448" i="2"/>
  <c r="F448" i="2"/>
  <c r="E448" i="2"/>
  <c r="D448" i="2"/>
  <c r="C448" i="2"/>
  <c r="B448" i="2"/>
  <c r="BF446" i="2"/>
  <c r="BE446" i="2"/>
  <c r="BD446" i="2"/>
  <c r="BC446" i="2"/>
  <c r="BB446" i="2"/>
  <c r="BA446" i="2"/>
  <c r="AZ446" i="2"/>
  <c r="AY446" i="2"/>
  <c r="AX446" i="2"/>
  <c r="AW446" i="2"/>
  <c r="AV446" i="2"/>
  <c r="AU446" i="2"/>
  <c r="AT446" i="2"/>
  <c r="AS446" i="2"/>
  <c r="AR446" i="2"/>
  <c r="AQ446" i="2"/>
  <c r="AP446" i="2"/>
  <c r="AO446" i="2"/>
  <c r="AN446" i="2"/>
  <c r="AM446" i="2"/>
  <c r="AL446" i="2"/>
  <c r="AK446" i="2"/>
  <c r="AJ446" i="2"/>
  <c r="AI446" i="2"/>
  <c r="AH446" i="2"/>
  <c r="AG446" i="2"/>
  <c r="AF446" i="2"/>
  <c r="AE446" i="2"/>
  <c r="AD446" i="2"/>
  <c r="AC446" i="2"/>
  <c r="AB446" i="2"/>
  <c r="AA446" i="2"/>
  <c r="Z446" i="2"/>
  <c r="Y446" i="2"/>
  <c r="X446" i="2"/>
  <c r="W446" i="2"/>
  <c r="V446" i="2"/>
  <c r="U446" i="2"/>
  <c r="T446" i="2"/>
  <c r="S446" i="2"/>
  <c r="R446" i="2"/>
  <c r="Q446" i="2"/>
  <c r="P446" i="2"/>
  <c r="O446" i="2"/>
  <c r="N446" i="2"/>
  <c r="M446" i="2"/>
  <c r="L446" i="2"/>
  <c r="K446" i="2"/>
  <c r="J446" i="2"/>
  <c r="I446" i="2"/>
  <c r="H446" i="2"/>
  <c r="G446" i="2"/>
  <c r="F446" i="2"/>
  <c r="E446" i="2"/>
  <c r="D446" i="2"/>
  <c r="C446" i="2"/>
  <c r="B446" i="2"/>
  <c r="BF445" i="2"/>
  <c r="BE445" i="2"/>
  <c r="BD445" i="2"/>
  <c r="BC445" i="2"/>
  <c r="BB445" i="2"/>
  <c r="BA445" i="2"/>
  <c r="AZ445" i="2"/>
  <c r="AY445" i="2"/>
  <c r="AX445" i="2"/>
  <c r="AW445" i="2"/>
  <c r="AV445" i="2"/>
  <c r="AU445" i="2"/>
  <c r="AT445" i="2"/>
  <c r="AS445" i="2"/>
  <c r="AR445" i="2"/>
  <c r="AQ445" i="2"/>
  <c r="AP445" i="2"/>
  <c r="AO445" i="2"/>
  <c r="AN445" i="2"/>
  <c r="AM445" i="2"/>
  <c r="AL445" i="2"/>
  <c r="AK445" i="2"/>
  <c r="AJ445" i="2"/>
  <c r="AI445" i="2"/>
  <c r="AH445" i="2"/>
  <c r="AG445" i="2"/>
  <c r="AF445" i="2"/>
  <c r="AE445" i="2"/>
  <c r="AD445" i="2"/>
  <c r="AC445" i="2"/>
  <c r="AB445" i="2"/>
  <c r="AA445" i="2"/>
  <c r="Z445" i="2"/>
  <c r="Y445" i="2"/>
  <c r="X445" i="2"/>
  <c r="W445" i="2"/>
  <c r="V445" i="2"/>
  <c r="U445" i="2"/>
  <c r="T445" i="2"/>
  <c r="S445" i="2"/>
  <c r="R445" i="2"/>
  <c r="Q445" i="2"/>
  <c r="P445" i="2"/>
  <c r="O445" i="2"/>
  <c r="N445" i="2"/>
  <c r="M445" i="2"/>
  <c r="L445" i="2"/>
  <c r="K445" i="2"/>
  <c r="J445" i="2"/>
  <c r="I445" i="2"/>
  <c r="H445" i="2"/>
  <c r="G445" i="2"/>
  <c r="F445" i="2"/>
  <c r="E445" i="2"/>
  <c r="D445" i="2"/>
  <c r="C445" i="2"/>
  <c r="BF386" i="2"/>
  <c r="BE386" i="2"/>
  <c r="BD386" i="2"/>
  <c r="BC386" i="2"/>
  <c r="BB386" i="2"/>
  <c r="BA386" i="2"/>
  <c r="AZ386" i="2"/>
  <c r="AY386" i="2"/>
  <c r="AX386" i="2"/>
  <c r="AW386" i="2"/>
  <c r="AV386" i="2"/>
  <c r="AU386" i="2"/>
  <c r="AT386" i="2"/>
  <c r="AS386" i="2"/>
  <c r="AR386" i="2"/>
  <c r="AQ386" i="2"/>
  <c r="AP386" i="2"/>
  <c r="AO386" i="2"/>
  <c r="AN386" i="2"/>
  <c r="AM386" i="2"/>
  <c r="AL386" i="2"/>
  <c r="AK386" i="2"/>
  <c r="AJ386" i="2"/>
  <c r="AI386" i="2"/>
  <c r="AH386" i="2"/>
  <c r="AG386" i="2"/>
  <c r="AF386" i="2"/>
  <c r="AE386" i="2"/>
  <c r="AD386" i="2"/>
  <c r="AC386" i="2"/>
  <c r="AB386" i="2"/>
  <c r="AA386" i="2"/>
  <c r="Z386" i="2"/>
  <c r="Y386" i="2"/>
  <c r="X386" i="2"/>
  <c r="W386" i="2"/>
  <c r="V386" i="2"/>
  <c r="U386" i="2"/>
  <c r="T386" i="2"/>
  <c r="S386" i="2"/>
  <c r="R386" i="2"/>
  <c r="Q386" i="2"/>
  <c r="P386" i="2"/>
  <c r="O386" i="2"/>
  <c r="N386" i="2"/>
  <c r="M386" i="2"/>
  <c r="L386" i="2"/>
  <c r="K386" i="2"/>
  <c r="J386" i="2"/>
  <c r="I386" i="2"/>
  <c r="H386" i="2"/>
  <c r="G386" i="2"/>
  <c r="F386" i="2"/>
  <c r="E386" i="2"/>
  <c r="D386" i="2"/>
  <c r="C386" i="2"/>
  <c r="BF385" i="2"/>
  <c r="BE385" i="2"/>
  <c r="BD385" i="2"/>
  <c r="BC385" i="2"/>
  <c r="BB385" i="2"/>
  <c r="BA385" i="2"/>
  <c r="AZ385" i="2"/>
  <c r="AY385" i="2"/>
  <c r="AX385" i="2"/>
  <c r="AW385" i="2"/>
  <c r="AV385" i="2"/>
  <c r="AU385" i="2"/>
  <c r="AT385" i="2"/>
  <c r="AS385" i="2"/>
  <c r="AR385" i="2"/>
  <c r="AQ385" i="2"/>
  <c r="AP385" i="2"/>
  <c r="AO385" i="2"/>
  <c r="AN385" i="2"/>
  <c r="AM385" i="2"/>
  <c r="AL385" i="2"/>
  <c r="AK385" i="2"/>
  <c r="AJ385" i="2"/>
  <c r="AI385" i="2"/>
  <c r="AH385" i="2"/>
  <c r="AG385" i="2"/>
  <c r="AF385" i="2"/>
  <c r="AE385" i="2"/>
  <c r="AD385" i="2"/>
  <c r="AC385" i="2"/>
  <c r="AB385" i="2"/>
  <c r="AA385" i="2"/>
  <c r="Z385" i="2"/>
  <c r="Y385" i="2"/>
  <c r="X385" i="2"/>
  <c r="W385" i="2"/>
  <c r="V385" i="2"/>
  <c r="U385" i="2"/>
  <c r="T385" i="2"/>
  <c r="S385" i="2"/>
  <c r="R385" i="2"/>
  <c r="Q385" i="2"/>
  <c r="P385" i="2"/>
  <c r="O385" i="2"/>
  <c r="N385" i="2"/>
  <c r="M385" i="2"/>
  <c r="L385" i="2"/>
  <c r="K385" i="2"/>
  <c r="J385" i="2"/>
  <c r="I385" i="2"/>
  <c r="H385" i="2"/>
  <c r="G385" i="2"/>
  <c r="F385" i="2"/>
  <c r="E385" i="2"/>
  <c r="D385" i="2"/>
  <c r="C385" i="2"/>
  <c r="BF384" i="2"/>
  <c r="BE384" i="2"/>
  <c r="BD384" i="2"/>
  <c r="BC384" i="2"/>
  <c r="BB384" i="2"/>
  <c r="BA384" i="2"/>
  <c r="AZ384" i="2"/>
  <c r="AY384" i="2"/>
  <c r="AX384" i="2"/>
  <c r="AW384" i="2"/>
  <c r="AV384" i="2"/>
  <c r="AU384" i="2"/>
  <c r="AT384" i="2"/>
  <c r="AS384" i="2"/>
  <c r="AR384" i="2"/>
  <c r="AQ384" i="2"/>
  <c r="AP384" i="2"/>
  <c r="AO384" i="2"/>
  <c r="AN384" i="2"/>
  <c r="AM384" i="2"/>
  <c r="AL384" i="2"/>
  <c r="AK384" i="2"/>
  <c r="AJ384" i="2"/>
  <c r="AI384" i="2"/>
  <c r="AH384" i="2"/>
  <c r="AG384" i="2"/>
  <c r="AF384" i="2"/>
  <c r="AE384" i="2"/>
  <c r="AD384" i="2"/>
  <c r="AC384" i="2"/>
  <c r="AB384" i="2"/>
  <c r="AA384" i="2"/>
  <c r="Z384" i="2"/>
  <c r="Y384" i="2"/>
  <c r="X384" i="2"/>
  <c r="W384" i="2"/>
  <c r="V384" i="2"/>
  <c r="U384" i="2"/>
  <c r="T384" i="2"/>
  <c r="S384" i="2"/>
  <c r="R384" i="2"/>
  <c r="Q384" i="2"/>
  <c r="P384" i="2"/>
  <c r="O384" i="2"/>
  <c r="N384" i="2"/>
  <c r="M384" i="2"/>
  <c r="L384" i="2"/>
  <c r="K384" i="2"/>
  <c r="J384" i="2"/>
  <c r="I384" i="2"/>
  <c r="H384" i="2"/>
  <c r="G384" i="2"/>
  <c r="F384" i="2"/>
  <c r="E384" i="2"/>
  <c r="D384" i="2"/>
  <c r="C384" i="2"/>
  <c r="BF383" i="2"/>
  <c r="BE383" i="2"/>
  <c r="BD383" i="2"/>
  <c r="BC383" i="2"/>
  <c r="BB383" i="2"/>
  <c r="BA383" i="2"/>
  <c r="AZ383" i="2"/>
  <c r="AY383" i="2"/>
  <c r="AX383" i="2"/>
  <c r="AW383" i="2"/>
  <c r="AV383" i="2"/>
  <c r="AU383" i="2"/>
  <c r="AT383" i="2"/>
  <c r="AS383" i="2"/>
  <c r="AR383" i="2"/>
  <c r="AQ383" i="2"/>
  <c r="AP383" i="2"/>
  <c r="AO383" i="2"/>
  <c r="AN383" i="2"/>
  <c r="AM383" i="2"/>
  <c r="AL383" i="2"/>
  <c r="AK383" i="2"/>
  <c r="AJ383" i="2"/>
  <c r="AI383" i="2"/>
  <c r="AH383" i="2"/>
  <c r="AG383" i="2"/>
  <c r="AF383" i="2"/>
  <c r="AE383" i="2"/>
  <c r="AD383" i="2"/>
  <c r="AC383" i="2"/>
  <c r="AB383" i="2"/>
  <c r="AA383" i="2"/>
  <c r="Z383" i="2"/>
  <c r="Y383" i="2"/>
  <c r="X383" i="2"/>
  <c r="W383" i="2"/>
  <c r="V383" i="2"/>
  <c r="U383" i="2"/>
  <c r="T383" i="2"/>
  <c r="S383" i="2"/>
  <c r="R383" i="2"/>
  <c r="Q383" i="2"/>
  <c r="P383" i="2"/>
  <c r="O383" i="2"/>
  <c r="N383" i="2"/>
  <c r="M383" i="2"/>
  <c r="L383" i="2"/>
  <c r="K383" i="2"/>
  <c r="J383" i="2"/>
  <c r="I383" i="2"/>
  <c r="H383" i="2"/>
  <c r="G383" i="2"/>
  <c r="F383" i="2"/>
  <c r="E383" i="2"/>
  <c r="D383" i="2"/>
  <c r="C383" i="2"/>
  <c r="BF382" i="2"/>
  <c r="BE382" i="2"/>
  <c r="BD382" i="2"/>
  <c r="BC382" i="2"/>
  <c r="BB382" i="2"/>
  <c r="BA382" i="2"/>
  <c r="AZ382" i="2"/>
  <c r="AY382" i="2"/>
  <c r="AX382" i="2"/>
  <c r="AW382" i="2"/>
  <c r="AV382" i="2"/>
  <c r="AU382" i="2"/>
  <c r="AT382" i="2"/>
  <c r="AS382" i="2"/>
  <c r="AR382" i="2"/>
  <c r="AQ382" i="2"/>
  <c r="AP382" i="2"/>
  <c r="AO382" i="2"/>
  <c r="AN382" i="2"/>
  <c r="AM382" i="2"/>
  <c r="AL382" i="2"/>
  <c r="AK382" i="2"/>
  <c r="AJ382" i="2"/>
  <c r="AI382" i="2"/>
  <c r="AH382" i="2"/>
  <c r="AG382" i="2"/>
  <c r="AF382" i="2"/>
  <c r="AE382" i="2"/>
  <c r="AD382" i="2"/>
  <c r="AC382" i="2"/>
  <c r="AB382" i="2"/>
  <c r="AA382" i="2"/>
  <c r="Z382" i="2"/>
  <c r="Y382" i="2"/>
  <c r="X382" i="2"/>
  <c r="W382" i="2"/>
  <c r="V382" i="2"/>
  <c r="U382" i="2"/>
  <c r="T382" i="2"/>
  <c r="S382" i="2"/>
  <c r="R382" i="2"/>
  <c r="Q382" i="2"/>
  <c r="P382" i="2"/>
  <c r="O382" i="2"/>
  <c r="N382" i="2"/>
  <c r="M382" i="2"/>
  <c r="L382" i="2"/>
  <c r="K382" i="2"/>
  <c r="J382" i="2"/>
  <c r="I382" i="2"/>
  <c r="H382" i="2"/>
  <c r="G382" i="2"/>
  <c r="F382" i="2"/>
  <c r="E382" i="2"/>
  <c r="D382" i="2"/>
  <c r="C382" i="2"/>
  <c r="BF381" i="2"/>
  <c r="BE381" i="2"/>
  <c r="BD381" i="2"/>
  <c r="BC381" i="2"/>
  <c r="BB381" i="2"/>
  <c r="BA381" i="2"/>
  <c r="AZ381" i="2"/>
  <c r="AY381" i="2"/>
  <c r="AX381" i="2"/>
  <c r="AW381" i="2"/>
  <c r="AV381" i="2"/>
  <c r="AU381" i="2"/>
  <c r="AT381" i="2"/>
  <c r="AS381" i="2"/>
  <c r="AR381" i="2"/>
  <c r="AQ381" i="2"/>
  <c r="AP381" i="2"/>
  <c r="AO381" i="2"/>
  <c r="AN381" i="2"/>
  <c r="AM381" i="2"/>
  <c r="AL381" i="2"/>
  <c r="AK381" i="2"/>
  <c r="AJ381" i="2"/>
  <c r="AI381" i="2"/>
  <c r="AH381" i="2"/>
  <c r="AG381" i="2"/>
  <c r="AF381" i="2"/>
  <c r="AE381" i="2"/>
  <c r="AD381" i="2"/>
  <c r="AC381" i="2"/>
  <c r="AB381" i="2"/>
  <c r="AA381" i="2"/>
  <c r="Z381" i="2"/>
  <c r="Y381" i="2"/>
  <c r="X381" i="2"/>
  <c r="W381" i="2"/>
  <c r="V381" i="2"/>
  <c r="U381" i="2"/>
  <c r="T381" i="2"/>
  <c r="S381" i="2"/>
  <c r="R381" i="2"/>
  <c r="Q381" i="2"/>
  <c r="P381" i="2"/>
  <c r="O381" i="2"/>
  <c r="N381" i="2"/>
  <c r="M381" i="2"/>
  <c r="L381" i="2"/>
  <c r="K381" i="2"/>
  <c r="J381" i="2"/>
  <c r="I381" i="2"/>
  <c r="H381" i="2"/>
  <c r="G381" i="2"/>
  <c r="F381" i="2"/>
  <c r="E381" i="2"/>
  <c r="D381" i="2"/>
  <c r="C381" i="2"/>
  <c r="BF380" i="2"/>
  <c r="BE380" i="2"/>
  <c r="BD380" i="2"/>
  <c r="BC380" i="2"/>
  <c r="BB380" i="2"/>
  <c r="BA380" i="2"/>
  <c r="AZ380" i="2"/>
  <c r="AY380" i="2"/>
  <c r="AX380" i="2"/>
  <c r="AW380" i="2"/>
  <c r="AV380" i="2"/>
  <c r="AU380" i="2"/>
  <c r="AT380" i="2"/>
  <c r="AS380" i="2"/>
  <c r="AR380" i="2"/>
  <c r="AQ380" i="2"/>
  <c r="AP380" i="2"/>
  <c r="AO380" i="2"/>
  <c r="AN380" i="2"/>
  <c r="AM380" i="2"/>
  <c r="AL380" i="2"/>
  <c r="AK380" i="2"/>
  <c r="AJ380" i="2"/>
  <c r="AI380" i="2"/>
  <c r="AH380" i="2"/>
  <c r="AG380" i="2"/>
  <c r="AF380" i="2"/>
  <c r="AE380" i="2"/>
  <c r="AD380" i="2"/>
  <c r="AC380" i="2"/>
  <c r="AB380" i="2"/>
  <c r="AA380" i="2"/>
  <c r="Z380" i="2"/>
  <c r="Y380" i="2"/>
  <c r="X380" i="2"/>
  <c r="W380" i="2"/>
  <c r="V380" i="2"/>
  <c r="U380" i="2"/>
  <c r="T380" i="2"/>
  <c r="S380" i="2"/>
  <c r="R380" i="2"/>
  <c r="Q380" i="2"/>
  <c r="P380" i="2"/>
  <c r="O380" i="2"/>
  <c r="N380" i="2"/>
  <c r="M380" i="2"/>
  <c r="L380" i="2"/>
  <c r="K380" i="2"/>
  <c r="J380" i="2"/>
  <c r="I380" i="2"/>
  <c r="H380" i="2"/>
  <c r="G380" i="2"/>
  <c r="F380" i="2"/>
  <c r="E380" i="2"/>
  <c r="D380" i="2"/>
  <c r="C380" i="2"/>
  <c r="BF377" i="2"/>
  <c r="BE377" i="2"/>
  <c r="BD377" i="2"/>
  <c r="BC377" i="2"/>
  <c r="BB377" i="2"/>
  <c r="BA377" i="2"/>
  <c r="AZ377" i="2"/>
  <c r="AY377" i="2"/>
  <c r="AX377" i="2"/>
  <c r="AW377" i="2"/>
  <c r="AV377" i="2"/>
  <c r="AU377" i="2"/>
  <c r="AT377" i="2"/>
  <c r="AS377" i="2"/>
  <c r="AR377" i="2"/>
  <c r="AQ377" i="2"/>
  <c r="AP377" i="2"/>
  <c r="AO377" i="2"/>
  <c r="AN377" i="2"/>
  <c r="AM377" i="2"/>
  <c r="AL377" i="2"/>
  <c r="AK377" i="2"/>
  <c r="AJ377" i="2"/>
  <c r="AI377" i="2"/>
  <c r="AH377" i="2"/>
  <c r="AG377" i="2"/>
  <c r="AF377" i="2"/>
  <c r="AE377" i="2"/>
  <c r="AD377" i="2"/>
  <c r="AC377" i="2"/>
  <c r="AB377" i="2"/>
  <c r="AA377" i="2"/>
  <c r="Z377" i="2"/>
  <c r="Y377" i="2"/>
  <c r="X377" i="2"/>
  <c r="W377" i="2"/>
  <c r="V377" i="2"/>
  <c r="U377" i="2"/>
  <c r="T377" i="2"/>
  <c r="S377" i="2"/>
  <c r="R377" i="2"/>
  <c r="Q377" i="2"/>
  <c r="P377" i="2"/>
  <c r="O377" i="2"/>
  <c r="N377" i="2"/>
  <c r="M377" i="2"/>
  <c r="L377" i="2"/>
  <c r="K377" i="2"/>
  <c r="J377" i="2"/>
  <c r="I377" i="2"/>
  <c r="H377" i="2"/>
  <c r="G377" i="2"/>
  <c r="F377" i="2"/>
  <c r="E377" i="2"/>
  <c r="D377" i="2"/>
  <c r="C377" i="2"/>
  <c r="BF376" i="2"/>
  <c r="BE376" i="2"/>
  <c r="BD376" i="2"/>
  <c r="BC376" i="2"/>
  <c r="BB376" i="2"/>
  <c r="BA376" i="2"/>
  <c r="AZ376" i="2"/>
  <c r="AY376" i="2"/>
  <c r="AX376" i="2"/>
  <c r="AW376" i="2"/>
  <c r="AV376" i="2"/>
  <c r="AU376" i="2"/>
  <c r="AT376" i="2"/>
  <c r="AS376" i="2"/>
  <c r="AR376" i="2"/>
  <c r="AQ376" i="2"/>
  <c r="AP376" i="2"/>
  <c r="AO376" i="2"/>
  <c r="AN376" i="2"/>
  <c r="AM376" i="2"/>
  <c r="AL376" i="2"/>
  <c r="AK376" i="2"/>
  <c r="AJ376" i="2"/>
  <c r="AI376" i="2"/>
  <c r="AH376" i="2"/>
  <c r="AG376" i="2"/>
  <c r="AF376" i="2"/>
  <c r="AE376" i="2"/>
  <c r="AD376" i="2"/>
  <c r="AC376" i="2"/>
  <c r="AB376" i="2"/>
  <c r="AA376" i="2"/>
  <c r="Z376" i="2"/>
  <c r="Y376" i="2"/>
  <c r="X376" i="2"/>
  <c r="W376" i="2"/>
  <c r="V376" i="2"/>
  <c r="U376" i="2"/>
  <c r="T376" i="2"/>
  <c r="S376" i="2"/>
  <c r="R376" i="2"/>
  <c r="Q376" i="2"/>
  <c r="P376" i="2"/>
  <c r="O376" i="2"/>
  <c r="N376" i="2"/>
  <c r="M376" i="2"/>
  <c r="L376" i="2"/>
  <c r="K376" i="2"/>
  <c r="J376" i="2"/>
  <c r="I376" i="2"/>
  <c r="H376" i="2"/>
  <c r="G376" i="2"/>
  <c r="F376" i="2"/>
  <c r="E376" i="2"/>
  <c r="D376" i="2"/>
  <c r="C376" i="2"/>
  <c r="BF375" i="2"/>
  <c r="BE375" i="2"/>
  <c r="BD375" i="2"/>
  <c r="BC375" i="2"/>
  <c r="BB375" i="2"/>
  <c r="BA375" i="2"/>
  <c r="AZ375" i="2"/>
  <c r="AY375" i="2"/>
  <c r="AX375" i="2"/>
  <c r="AW375" i="2"/>
  <c r="AV375" i="2"/>
  <c r="AU375" i="2"/>
  <c r="AT375" i="2"/>
  <c r="AS375" i="2"/>
  <c r="AR375" i="2"/>
  <c r="AQ375" i="2"/>
  <c r="AP375" i="2"/>
  <c r="AO375" i="2"/>
  <c r="AN375" i="2"/>
  <c r="AM375" i="2"/>
  <c r="AL375" i="2"/>
  <c r="AK375" i="2"/>
  <c r="AJ375" i="2"/>
  <c r="AI375" i="2"/>
  <c r="AH375" i="2"/>
  <c r="AG375" i="2"/>
  <c r="AF375" i="2"/>
  <c r="AE375" i="2"/>
  <c r="AD375" i="2"/>
  <c r="AC375" i="2"/>
  <c r="AB375" i="2"/>
  <c r="AA375" i="2"/>
  <c r="Z375" i="2"/>
  <c r="Y375" i="2"/>
  <c r="X375" i="2"/>
  <c r="W375" i="2"/>
  <c r="V375" i="2"/>
  <c r="U375" i="2"/>
  <c r="T375" i="2"/>
  <c r="S375" i="2"/>
  <c r="R375" i="2"/>
  <c r="Q375" i="2"/>
  <c r="P375" i="2"/>
  <c r="O375" i="2"/>
  <c r="N375" i="2"/>
  <c r="M375" i="2"/>
  <c r="L375" i="2"/>
  <c r="K375" i="2"/>
  <c r="J375" i="2"/>
  <c r="I375" i="2"/>
  <c r="H375" i="2"/>
  <c r="G375" i="2"/>
  <c r="F375" i="2"/>
  <c r="E375" i="2"/>
  <c r="D375" i="2"/>
  <c r="C375" i="2"/>
  <c r="BF374" i="2"/>
  <c r="BE374" i="2"/>
  <c r="BD374" i="2"/>
  <c r="BC374" i="2"/>
  <c r="BB374" i="2"/>
  <c r="BA374" i="2"/>
  <c r="AZ374" i="2"/>
  <c r="AY374" i="2"/>
  <c r="AX374" i="2"/>
  <c r="AW374" i="2"/>
  <c r="AV374" i="2"/>
  <c r="AU374" i="2"/>
  <c r="AT374" i="2"/>
  <c r="AS374" i="2"/>
  <c r="AR374" i="2"/>
  <c r="AQ374" i="2"/>
  <c r="AP374" i="2"/>
  <c r="AO374" i="2"/>
  <c r="AN374" i="2"/>
  <c r="AM374" i="2"/>
  <c r="AL374" i="2"/>
  <c r="AK374" i="2"/>
  <c r="AJ374" i="2"/>
  <c r="AI374" i="2"/>
  <c r="AH374" i="2"/>
  <c r="AG374" i="2"/>
  <c r="AF374" i="2"/>
  <c r="AE374" i="2"/>
  <c r="AD374" i="2"/>
  <c r="AC374" i="2"/>
  <c r="AB374" i="2"/>
  <c r="AA374" i="2"/>
  <c r="Z374" i="2"/>
  <c r="Y374" i="2"/>
  <c r="X374" i="2"/>
  <c r="W374" i="2"/>
  <c r="V374" i="2"/>
  <c r="U374" i="2"/>
  <c r="T374" i="2"/>
  <c r="S374" i="2"/>
  <c r="R374" i="2"/>
  <c r="Q374" i="2"/>
  <c r="P374" i="2"/>
  <c r="O374" i="2"/>
  <c r="N374" i="2"/>
  <c r="M374" i="2"/>
  <c r="L374" i="2"/>
  <c r="K374" i="2"/>
  <c r="J374" i="2"/>
  <c r="I374" i="2"/>
  <c r="H374" i="2"/>
  <c r="G374" i="2"/>
  <c r="F374" i="2"/>
  <c r="E374" i="2"/>
  <c r="D374" i="2"/>
  <c r="C374" i="2"/>
  <c r="BF373" i="2"/>
  <c r="BE373" i="2"/>
  <c r="BD373" i="2"/>
  <c r="BC373" i="2"/>
  <c r="BB373" i="2"/>
  <c r="BA373" i="2"/>
  <c r="AZ373" i="2"/>
  <c r="AY373" i="2"/>
  <c r="AX373" i="2"/>
  <c r="AW373" i="2"/>
  <c r="AV373" i="2"/>
  <c r="AU373" i="2"/>
  <c r="AT373" i="2"/>
  <c r="AS373" i="2"/>
  <c r="AR373" i="2"/>
  <c r="AQ373" i="2"/>
  <c r="AP373" i="2"/>
  <c r="AO373" i="2"/>
  <c r="AN373" i="2"/>
  <c r="AM373" i="2"/>
  <c r="AL373" i="2"/>
  <c r="AK373" i="2"/>
  <c r="AJ373" i="2"/>
  <c r="AI373" i="2"/>
  <c r="AH373" i="2"/>
  <c r="AG373" i="2"/>
  <c r="AF373" i="2"/>
  <c r="AE373" i="2"/>
  <c r="AD373" i="2"/>
  <c r="AC373" i="2"/>
  <c r="AB373" i="2"/>
  <c r="AA373" i="2"/>
  <c r="Z373" i="2"/>
  <c r="Y373" i="2"/>
  <c r="X373" i="2"/>
  <c r="W373" i="2"/>
  <c r="V373" i="2"/>
  <c r="U373" i="2"/>
  <c r="T373" i="2"/>
  <c r="S373" i="2"/>
  <c r="R373" i="2"/>
  <c r="Q373" i="2"/>
  <c r="P373" i="2"/>
  <c r="O373" i="2"/>
  <c r="N373" i="2"/>
  <c r="M373" i="2"/>
  <c r="L373" i="2"/>
  <c r="K373" i="2"/>
  <c r="J373" i="2"/>
  <c r="I373" i="2"/>
  <c r="H373" i="2"/>
  <c r="G373" i="2"/>
  <c r="F373" i="2"/>
  <c r="E373" i="2"/>
  <c r="D373" i="2"/>
  <c r="C373" i="2"/>
  <c r="BF372" i="2"/>
  <c r="BE372" i="2"/>
  <c r="BD372" i="2"/>
  <c r="BC372" i="2"/>
  <c r="BB372" i="2"/>
  <c r="BA372" i="2"/>
  <c r="AZ372" i="2"/>
  <c r="AY372" i="2"/>
  <c r="AX372" i="2"/>
  <c r="AW372" i="2"/>
  <c r="AV372" i="2"/>
  <c r="AU372" i="2"/>
  <c r="AT372" i="2"/>
  <c r="AS372" i="2"/>
  <c r="AR372" i="2"/>
  <c r="AQ372" i="2"/>
  <c r="AP372" i="2"/>
  <c r="AO372" i="2"/>
  <c r="AN372" i="2"/>
  <c r="AM372" i="2"/>
  <c r="AL372" i="2"/>
  <c r="AK372" i="2"/>
  <c r="AJ372" i="2"/>
  <c r="AI372" i="2"/>
  <c r="AH372" i="2"/>
  <c r="AG372" i="2"/>
  <c r="AF372" i="2"/>
  <c r="AE372" i="2"/>
  <c r="AD372" i="2"/>
  <c r="AC372" i="2"/>
  <c r="AB372" i="2"/>
  <c r="AA372" i="2"/>
  <c r="Z372" i="2"/>
  <c r="Y372" i="2"/>
  <c r="X372" i="2"/>
  <c r="W372" i="2"/>
  <c r="V372" i="2"/>
  <c r="U372" i="2"/>
  <c r="T372" i="2"/>
  <c r="S372" i="2"/>
  <c r="R372" i="2"/>
  <c r="Q372" i="2"/>
  <c r="P372" i="2"/>
  <c r="O372" i="2"/>
  <c r="N372" i="2"/>
  <c r="M372" i="2"/>
  <c r="L372" i="2"/>
  <c r="K372" i="2"/>
  <c r="J372" i="2"/>
  <c r="I372" i="2"/>
  <c r="H372" i="2"/>
  <c r="G372" i="2"/>
  <c r="F372" i="2"/>
  <c r="E372" i="2"/>
  <c r="D372" i="2"/>
  <c r="C372" i="2"/>
  <c r="BF371" i="2"/>
  <c r="BE371" i="2"/>
  <c r="BD371" i="2"/>
  <c r="BC371" i="2"/>
  <c r="BB371" i="2"/>
  <c r="BA371" i="2"/>
  <c r="AZ371" i="2"/>
  <c r="AY371" i="2"/>
  <c r="AX371" i="2"/>
  <c r="AW371" i="2"/>
  <c r="AV371" i="2"/>
  <c r="AU371" i="2"/>
  <c r="AT371" i="2"/>
  <c r="AS371" i="2"/>
  <c r="AR371" i="2"/>
  <c r="AQ371" i="2"/>
  <c r="AP371" i="2"/>
  <c r="AO371" i="2"/>
  <c r="AN371" i="2"/>
  <c r="AM371" i="2"/>
  <c r="AL371" i="2"/>
  <c r="AK371" i="2"/>
  <c r="AJ371" i="2"/>
  <c r="AI371" i="2"/>
  <c r="AH371" i="2"/>
  <c r="AG371" i="2"/>
  <c r="AF371" i="2"/>
  <c r="AE371" i="2"/>
  <c r="AD371" i="2"/>
  <c r="AC371" i="2"/>
  <c r="AB371" i="2"/>
  <c r="AA371" i="2"/>
  <c r="Z371" i="2"/>
  <c r="Y371" i="2"/>
  <c r="X371" i="2"/>
  <c r="W371" i="2"/>
  <c r="V371" i="2"/>
  <c r="U371" i="2"/>
  <c r="T371" i="2"/>
  <c r="S371" i="2"/>
  <c r="R371" i="2"/>
  <c r="Q371" i="2"/>
  <c r="P371" i="2"/>
  <c r="O371" i="2"/>
  <c r="N371" i="2"/>
  <c r="M371" i="2"/>
  <c r="L371" i="2"/>
  <c r="K371" i="2"/>
  <c r="J371" i="2"/>
  <c r="I371" i="2"/>
  <c r="H371" i="2"/>
  <c r="G371" i="2"/>
  <c r="F371" i="2"/>
  <c r="E371" i="2"/>
  <c r="D371" i="2"/>
  <c r="C371" i="2"/>
  <c r="BF306" i="2"/>
  <c r="BE306" i="2"/>
  <c r="BD306" i="2"/>
  <c r="BC306" i="2"/>
  <c r="BB306" i="2"/>
  <c r="BA306" i="2"/>
  <c r="AZ306" i="2"/>
  <c r="AY306" i="2"/>
  <c r="AX306" i="2"/>
  <c r="AW306" i="2"/>
  <c r="AV306" i="2"/>
  <c r="AU306" i="2"/>
  <c r="AT306" i="2"/>
  <c r="AS306" i="2"/>
  <c r="AR306" i="2"/>
  <c r="AQ306" i="2"/>
  <c r="AP306" i="2"/>
  <c r="AO306" i="2"/>
  <c r="AN306" i="2"/>
  <c r="AM306" i="2"/>
  <c r="AL306" i="2"/>
  <c r="AK306" i="2"/>
  <c r="AJ306" i="2"/>
  <c r="AI306" i="2"/>
  <c r="AH306" i="2"/>
  <c r="AG306" i="2"/>
  <c r="AF306" i="2"/>
  <c r="AE306" i="2"/>
  <c r="AD306" i="2"/>
  <c r="AC306" i="2"/>
  <c r="AB306" i="2"/>
  <c r="AA306" i="2"/>
  <c r="Z306" i="2"/>
  <c r="Y306" i="2"/>
  <c r="X306" i="2"/>
  <c r="W306" i="2"/>
  <c r="V306" i="2"/>
  <c r="U306" i="2"/>
  <c r="T306" i="2"/>
  <c r="S306" i="2"/>
  <c r="R306" i="2"/>
  <c r="Q306" i="2"/>
  <c r="P306" i="2"/>
  <c r="O306" i="2"/>
  <c r="N306" i="2"/>
  <c r="M306" i="2"/>
  <c r="L306" i="2"/>
  <c r="K306" i="2"/>
  <c r="J306" i="2"/>
  <c r="I306" i="2"/>
  <c r="H306" i="2"/>
  <c r="G306" i="2"/>
  <c r="F306" i="2"/>
  <c r="E306" i="2"/>
  <c r="D306" i="2"/>
  <c r="C306" i="2"/>
  <c r="BF305" i="2"/>
  <c r="BE305" i="2"/>
  <c r="BD305" i="2"/>
  <c r="BC305" i="2"/>
  <c r="BB305" i="2"/>
  <c r="BA305" i="2"/>
  <c r="AZ305" i="2"/>
  <c r="AY305" i="2"/>
  <c r="AX305" i="2"/>
  <c r="AW305" i="2"/>
  <c r="AV305" i="2"/>
  <c r="AU305" i="2"/>
  <c r="AT305" i="2"/>
  <c r="AS305" i="2"/>
  <c r="AR305" i="2"/>
  <c r="AQ305" i="2"/>
  <c r="AP305" i="2"/>
  <c r="AO305" i="2"/>
  <c r="AN305" i="2"/>
  <c r="AM305" i="2"/>
  <c r="AL305" i="2"/>
  <c r="AK305" i="2"/>
  <c r="AJ305" i="2"/>
  <c r="AI305" i="2"/>
  <c r="AH305" i="2"/>
  <c r="AG305" i="2"/>
  <c r="AF305" i="2"/>
  <c r="AE305" i="2"/>
  <c r="AD305" i="2"/>
  <c r="AC305" i="2"/>
  <c r="AB305" i="2"/>
  <c r="AA305" i="2"/>
  <c r="Z305" i="2"/>
  <c r="Y305" i="2"/>
  <c r="X305" i="2"/>
  <c r="W305" i="2"/>
  <c r="V305" i="2"/>
  <c r="U305" i="2"/>
  <c r="T305" i="2"/>
  <c r="S305" i="2"/>
  <c r="R305" i="2"/>
  <c r="Q305" i="2"/>
  <c r="P305" i="2"/>
  <c r="O305" i="2"/>
  <c r="N305" i="2"/>
  <c r="M305" i="2"/>
  <c r="L305" i="2"/>
  <c r="K305" i="2"/>
  <c r="J305" i="2"/>
  <c r="I305" i="2"/>
  <c r="H305" i="2"/>
  <c r="G305" i="2"/>
  <c r="F305" i="2"/>
  <c r="E305" i="2"/>
  <c r="D305" i="2"/>
  <c r="C305" i="2"/>
  <c r="BF304" i="2"/>
  <c r="BE304" i="2"/>
  <c r="BD304" i="2"/>
  <c r="BC304" i="2"/>
  <c r="BB304" i="2"/>
  <c r="BA304" i="2"/>
  <c r="AZ304" i="2"/>
  <c r="AY304" i="2"/>
  <c r="AX304" i="2"/>
  <c r="AW304" i="2"/>
  <c r="AV304" i="2"/>
  <c r="AU304" i="2"/>
  <c r="AT304" i="2"/>
  <c r="AS304" i="2"/>
  <c r="AR304" i="2"/>
  <c r="AQ304" i="2"/>
  <c r="AP304" i="2"/>
  <c r="AO304" i="2"/>
  <c r="AN304" i="2"/>
  <c r="AM304" i="2"/>
  <c r="AL304" i="2"/>
  <c r="AK304" i="2"/>
  <c r="AJ304" i="2"/>
  <c r="AI304" i="2"/>
  <c r="AH304" i="2"/>
  <c r="AG304" i="2"/>
  <c r="AF304" i="2"/>
  <c r="AE304" i="2"/>
  <c r="AD304" i="2"/>
  <c r="AC304" i="2"/>
  <c r="AB304" i="2"/>
  <c r="AA304" i="2"/>
  <c r="Z304" i="2"/>
  <c r="Y304" i="2"/>
  <c r="X304" i="2"/>
  <c r="W304" i="2"/>
  <c r="V304" i="2"/>
  <c r="U304" i="2"/>
  <c r="T304" i="2"/>
  <c r="S304" i="2"/>
  <c r="R304" i="2"/>
  <c r="Q304" i="2"/>
  <c r="P304" i="2"/>
  <c r="O304" i="2"/>
  <c r="N304" i="2"/>
  <c r="M304" i="2"/>
  <c r="L304" i="2"/>
  <c r="K304" i="2"/>
  <c r="J304" i="2"/>
  <c r="I304" i="2"/>
  <c r="H304" i="2"/>
  <c r="G304" i="2"/>
  <c r="F304" i="2"/>
  <c r="E304" i="2"/>
  <c r="D304" i="2"/>
  <c r="C304" i="2"/>
  <c r="BF303" i="2"/>
  <c r="BE303" i="2"/>
  <c r="BD303" i="2"/>
  <c r="BC303" i="2"/>
  <c r="BB303" i="2"/>
  <c r="BA303" i="2"/>
  <c r="AZ303" i="2"/>
  <c r="AY303" i="2"/>
  <c r="AX303" i="2"/>
  <c r="AW303" i="2"/>
  <c r="AV303" i="2"/>
  <c r="AU303" i="2"/>
  <c r="AT303" i="2"/>
  <c r="AS303" i="2"/>
  <c r="AR303" i="2"/>
  <c r="AQ303" i="2"/>
  <c r="AP303" i="2"/>
  <c r="AO303" i="2"/>
  <c r="AN303" i="2"/>
  <c r="AM303" i="2"/>
  <c r="AL303" i="2"/>
  <c r="AK303" i="2"/>
  <c r="AJ303" i="2"/>
  <c r="AI303" i="2"/>
  <c r="AH303" i="2"/>
  <c r="AG303" i="2"/>
  <c r="AF303" i="2"/>
  <c r="AE303" i="2"/>
  <c r="AD303" i="2"/>
  <c r="AC303" i="2"/>
  <c r="AB303" i="2"/>
  <c r="AA303" i="2"/>
  <c r="Z303" i="2"/>
  <c r="Y303" i="2"/>
  <c r="X303" i="2"/>
  <c r="W303" i="2"/>
  <c r="V303" i="2"/>
  <c r="U303" i="2"/>
  <c r="T303" i="2"/>
  <c r="S303" i="2"/>
  <c r="R303" i="2"/>
  <c r="Q303" i="2"/>
  <c r="P303" i="2"/>
  <c r="O303" i="2"/>
  <c r="N303" i="2"/>
  <c r="M303" i="2"/>
  <c r="L303" i="2"/>
  <c r="K303" i="2"/>
  <c r="J303" i="2"/>
  <c r="I303" i="2"/>
  <c r="H303" i="2"/>
  <c r="G303" i="2"/>
  <c r="F303" i="2"/>
  <c r="E303" i="2"/>
  <c r="D303" i="2"/>
  <c r="C303" i="2"/>
  <c r="BF300" i="2"/>
  <c r="BE300" i="2"/>
  <c r="BD300" i="2"/>
  <c r="BC300" i="2"/>
  <c r="BB300" i="2"/>
  <c r="BA300" i="2"/>
  <c r="AZ300" i="2"/>
  <c r="AY300" i="2"/>
  <c r="AX300" i="2"/>
  <c r="AW300" i="2"/>
  <c r="AV300" i="2"/>
  <c r="AU300" i="2"/>
  <c r="AT300" i="2"/>
  <c r="AS300" i="2"/>
  <c r="AR300" i="2"/>
  <c r="AQ300" i="2"/>
  <c r="AP300" i="2"/>
  <c r="AO300" i="2"/>
  <c r="AN300" i="2"/>
  <c r="AM300" i="2"/>
  <c r="AL300" i="2"/>
  <c r="AK300" i="2"/>
  <c r="AJ300" i="2"/>
  <c r="AI300" i="2"/>
  <c r="AH300" i="2"/>
  <c r="AG300" i="2"/>
  <c r="AF300" i="2"/>
  <c r="AE300" i="2"/>
  <c r="AD300" i="2"/>
  <c r="AC300" i="2"/>
  <c r="AB300" i="2"/>
  <c r="AA300" i="2"/>
  <c r="Z300" i="2"/>
  <c r="Y300" i="2"/>
  <c r="X300" i="2"/>
  <c r="W300" i="2"/>
  <c r="V300" i="2"/>
  <c r="U300" i="2"/>
  <c r="T300" i="2"/>
  <c r="S300" i="2"/>
  <c r="R300" i="2"/>
  <c r="Q300" i="2"/>
  <c r="P300" i="2"/>
  <c r="O300" i="2"/>
  <c r="N300" i="2"/>
  <c r="M300" i="2"/>
  <c r="L300" i="2"/>
  <c r="K300" i="2"/>
  <c r="J300" i="2"/>
  <c r="I300" i="2"/>
  <c r="H300" i="2"/>
  <c r="G300" i="2"/>
  <c r="F300" i="2"/>
  <c r="E300" i="2"/>
  <c r="D300" i="2"/>
  <c r="C300" i="2"/>
  <c r="BF299" i="2"/>
  <c r="BE299" i="2"/>
  <c r="BD299" i="2"/>
  <c r="BC299" i="2"/>
  <c r="BB299" i="2"/>
  <c r="BA299" i="2"/>
  <c r="AZ299" i="2"/>
  <c r="AY299" i="2"/>
  <c r="AX299" i="2"/>
  <c r="AW299" i="2"/>
  <c r="AV299" i="2"/>
  <c r="AU299" i="2"/>
  <c r="AT299" i="2"/>
  <c r="AS299" i="2"/>
  <c r="AR299" i="2"/>
  <c r="AQ299" i="2"/>
  <c r="AP299" i="2"/>
  <c r="AO299" i="2"/>
  <c r="AN299" i="2"/>
  <c r="AM299" i="2"/>
  <c r="AL299" i="2"/>
  <c r="AK299" i="2"/>
  <c r="AJ299" i="2"/>
  <c r="AI299" i="2"/>
  <c r="AH299" i="2"/>
  <c r="AG299" i="2"/>
  <c r="AF299" i="2"/>
  <c r="AE299" i="2"/>
  <c r="AD299" i="2"/>
  <c r="AC299" i="2"/>
  <c r="AB299" i="2"/>
  <c r="AA299" i="2"/>
  <c r="Z299" i="2"/>
  <c r="Y299" i="2"/>
  <c r="X299" i="2"/>
  <c r="W299" i="2"/>
  <c r="V299" i="2"/>
  <c r="U299" i="2"/>
  <c r="T299" i="2"/>
  <c r="S299" i="2"/>
  <c r="R299" i="2"/>
  <c r="Q299" i="2"/>
  <c r="P299" i="2"/>
  <c r="O299" i="2"/>
  <c r="N299" i="2"/>
  <c r="M299" i="2"/>
  <c r="L299" i="2"/>
  <c r="K299" i="2"/>
  <c r="J299" i="2"/>
  <c r="I299" i="2"/>
  <c r="H299" i="2"/>
  <c r="G299" i="2"/>
  <c r="F299" i="2"/>
  <c r="E299" i="2"/>
  <c r="D299" i="2"/>
  <c r="C299" i="2"/>
  <c r="BF298" i="2"/>
  <c r="BE298" i="2"/>
  <c r="BD298" i="2"/>
  <c r="BC298" i="2"/>
  <c r="BB298" i="2"/>
  <c r="BA298" i="2"/>
  <c r="AZ298" i="2"/>
  <c r="AY298" i="2"/>
  <c r="AX298" i="2"/>
  <c r="AW298" i="2"/>
  <c r="AV298" i="2"/>
  <c r="AU298" i="2"/>
  <c r="AT298" i="2"/>
  <c r="AS298" i="2"/>
  <c r="AR298" i="2"/>
  <c r="AQ298" i="2"/>
  <c r="AP298" i="2"/>
  <c r="AO298" i="2"/>
  <c r="AN298" i="2"/>
  <c r="AM298" i="2"/>
  <c r="AL298" i="2"/>
  <c r="AK298" i="2"/>
  <c r="AJ298" i="2"/>
  <c r="AI298" i="2"/>
  <c r="AH298" i="2"/>
  <c r="AG298" i="2"/>
  <c r="AF298" i="2"/>
  <c r="AE298" i="2"/>
  <c r="AD298" i="2"/>
  <c r="AC298" i="2"/>
  <c r="AB298" i="2"/>
  <c r="AA298" i="2"/>
  <c r="Z298" i="2"/>
  <c r="Y298" i="2"/>
  <c r="X298" i="2"/>
  <c r="W298" i="2"/>
  <c r="V298" i="2"/>
  <c r="U298" i="2"/>
  <c r="T298" i="2"/>
  <c r="S298" i="2"/>
  <c r="R298" i="2"/>
  <c r="Q298" i="2"/>
  <c r="P298" i="2"/>
  <c r="O298" i="2"/>
  <c r="N298" i="2"/>
  <c r="M298" i="2"/>
  <c r="L298" i="2"/>
  <c r="K298" i="2"/>
  <c r="J298" i="2"/>
  <c r="I298" i="2"/>
  <c r="H298" i="2"/>
  <c r="G298" i="2"/>
  <c r="F298" i="2"/>
  <c r="E298" i="2"/>
  <c r="D298" i="2"/>
  <c r="C298" i="2"/>
  <c r="BF297" i="2"/>
  <c r="BE297" i="2"/>
  <c r="BD297" i="2"/>
  <c r="BC297" i="2"/>
  <c r="BB297" i="2"/>
  <c r="BA297" i="2"/>
  <c r="AZ297" i="2"/>
  <c r="AY297" i="2"/>
  <c r="AX297" i="2"/>
  <c r="AW297" i="2"/>
  <c r="AV297" i="2"/>
  <c r="AU297" i="2"/>
  <c r="AT297" i="2"/>
  <c r="AS297" i="2"/>
  <c r="AR297" i="2"/>
  <c r="AQ297" i="2"/>
  <c r="AP297" i="2"/>
  <c r="AO297" i="2"/>
  <c r="AN297" i="2"/>
  <c r="AM297" i="2"/>
  <c r="AL297" i="2"/>
  <c r="AK297" i="2"/>
  <c r="AJ297" i="2"/>
  <c r="AI297" i="2"/>
  <c r="AH297" i="2"/>
  <c r="AG297" i="2"/>
  <c r="AF297" i="2"/>
  <c r="AE297" i="2"/>
  <c r="AD297" i="2"/>
  <c r="AC297" i="2"/>
  <c r="AB297" i="2"/>
  <c r="AA297" i="2"/>
  <c r="Z297" i="2"/>
  <c r="Y297" i="2"/>
  <c r="X297" i="2"/>
  <c r="W297" i="2"/>
  <c r="V297" i="2"/>
  <c r="U297" i="2"/>
  <c r="T297" i="2"/>
  <c r="S297" i="2"/>
  <c r="R297" i="2"/>
  <c r="Q297" i="2"/>
  <c r="P297" i="2"/>
  <c r="O297" i="2"/>
  <c r="N297" i="2"/>
  <c r="M297" i="2"/>
  <c r="L297" i="2"/>
  <c r="K297" i="2"/>
  <c r="J297" i="2"/>
  <c r="I297" i="2"/>
  <c r="H297" i="2"/>
  <c r="G297" i="2"/>
  <c r="F297" i="2"/>
  <c r="E297" i="2"/>
  <c r="D297" i="2"/>
  <c r="C297" i="2"/>
  <c r="BF277" i="2"/>
  <c r="BE277" i="2"/>
  <c r="BD277" i="2"/>
  <c r="BC277" i="2"/>
  <c r="BB277" i="2"/>
  <c r="BA277" i="2"/>
  <c r="AZ277" i="2"/>
  <c r="AY277" i="2"/>
  <c r="AX277" i="2"/>
  <c r="AW277" i="2"/>
  <c r="AV277" i="2"/>
  <c r="AU277" i="2"/>
  <c r="AT277" i="2"/>
  <c r="AS277" i="2"/>
  <c r="AR277" i="2"/>
  <c r="AQ277" i="2"/>
  <c r="AP277" i="2"/>
  <c r="AO277" i="2"/>
  <c r="AN277" i="2"/>
  <c r="AM277" i="2"/>
  <c r="AL277" i="2"/>
  <c r="AK277" i="2"/>
  <c r="AJ277" i="2"/>
  <c r="AI277" i="2"/>
  <c r="AH277" i="2"/>
  <c r="AG277" i="2"/>
  <c r="AF277" i="2"/>
  <c r="AE277" i="2"/>
  <c r="AD277" i="2"/>
  <c r="AC277" i="2"/>
  <c r="AB277" i="2"/>
  <c r="AA277" i="2"/>
  <c r="Z277" i="2"/>
  <c r="Y277" i="2"/>
  <c r="X277" i="2"/>
  <c r="W277" i="2"/>
  <c r="V277" i="2"/>
  <c r="U277" i="2"/>
  <c r="T277" i="2"/>
  <c r="S277" i="2"/>
  <c r="R277" i="2"/>
  <c r="Q277" i="2"/>
  <c r="P277" i="2"/>
  <c r="O277" i="2"/>
  <c r="N277" i="2"/>
  <c r="M277" i="2"/>
  <c r="L277" i="2"/>
  <c r="K277" i="2"/>
  <c r="J277" i="2"/>
  <c r="I277" i="2"/>
  <c r="H277" i="2"/>
  <c r="G277" i="2"/>
  <c r="F277" i="2"/>
  <c r="E277" i="2"/>
  <c r="D277" i="2"/>
  <c r="C277" i="2"/>
  <c r="BF276" i="2"/>
  <c r="BE276" i="2"/>
  <c r="BD276" i="2"/>
  <c r="BC276" i="2"/>
  <c r="BB276" i="2"/>
  <c r="BA276" i="2"/>
  <c r="AZ276" i="2"/>
  <c r="AY276" i="2"/>
  <c r="AX276" i="2"/>
  <c r="AW276" i="2"/>
  <c r="AV276" i="2"/>
  <c r="AU276" i="2"/>
  <c r="AT276" i="2"/>
  <c r="AS276" i="2"/>
  <c r="AR276" i="2"/>
  <c r="AQ276" i="2"/>
  <c r="AP276" i="2"/>
  <c r="AO276" i="2"/>
  <c r="AN276" i="2"/>
  <c r="AM276" i="2"/>
  <c r="AL276" i="2"/>
  <c r="AK276" i="2"/>
  <c r="AJ276" i="2"/>
  <c r="AI276" i="2"/>
  <c r="AH276" i="2"/>
  <c r="AG276" i="2"/>
  <c r="AF276" i="2"/>
  <c r="AE276" i="2"/>
  <c r="AD276" i="2"/>
  <c r="AC276" i="2"/>
  <c r="AB276" i="2"/>
  <c r="AA276" i="2"/>
  <c r="Z276" i="2"/>
  <c r="Y276" i="2"/>
  <c r="X276" i="2"/>
  <c r="W276" i="2"/>
  <c r="V276" i="2"/>
  <c r="U276" i="2"/>
  <c r="T276" i="2"/>
  <c r="S276" i="2"/>
  <c r="R276" i="2"/>
  <c r="Q276" i="2"/>
  <c r="P276" i="2"/>
  <c r="O276" i="2"/>
  <c r="N276" i="2"/>
  <c r="M276" i="2"/>
  <c r="L276" i="2"/>
  <c r="K276" i="2"/>
  <c r="J276" i="2"/>
  <c r="I276" i="2"/>
  <c r="H276" i="2"/>
  <c r="G276" i="2"/>
  <c r="F276" i="2"/>
  <c r="E276" i="2"/>
  <c r="D276" i="2"/>
  <c r="C276" i="2"/>
  <c r="BF275" i="2"/>
  <c r="BE275" i="2"/>
  <c r="BD275" i="2"/>
  <c r="BC275" i="2"/>
  <c r="BB275" i="2"/>
  <c r="BA275" i="2"/>
  <c r="AZ275" i="2"/>
  <c r="AY275" i="2"/>
  <c r="AX275" i="2"/>
  <c r="AW275" i="2"/>
  <c r="AV275" i="2"/>
  <c r="AU275" i="2"/>
  <c r="AT275" i="2"/>
  <c r="AS275" i="2"/>
  <c r="AR275" i="2"/>
  <c r="AQ275" i="2"/>
  <c r="AP275" i="2"/>
  <c r="AO275" i="2"/>
  <c r="AN275" i="2"/>
  <c r="AM275" i="2"/>
  <c r="AL275" i="2"/>
  <c r="AK275" i="2"/>
  <c r="AJ275" i="2"/>
  <c r="AI275" i="2"/>
  <c r="AH275" i="2"/>
  <c r="AG275" i="2"/>
  <c r="AF275" i="2"/>
  <c r="AE275" i="2"/>
  <c r="AD275" i="2"/>
  <c r="AC275" i="2"/>
  <c r="AB275" i="2"/>
  <c r="AA275" i="2"/>
  <c r="Z275" i="2"/>
  <c r="Y275" i="2"/>
  <c r="X275" i="2"/>
  <c r="W275" i="2"/>
  <c r="V275" i="2"/>
  <c r="U275" i="2"/>
  <c r="T275" i="2"/>
  <c r="S275" i="2"/>
  <c r="R275" i="2"/>
  <c r="Q275" i="2"/>
  <c r="P275" i="2"/>
  <c r="O275" i="2"/>
  <c r="N275" i="2"/>
  <c r="M275" i="2"/>
  <c r="L275" i="2"/>
  <c r="K275" i="2"/>
  <c r="J275" i="2"/>
  <c r="I275" i="2"/>
  <c r="H275" i="2"/>
  <c r="G275" i="2"/>
  <c r="F275" i="2"/>
  <c r="E275" i="2"/>
  <c r="D275" i="2"/>
  <c r="C275" i="2"/>
  <c r="BF274" i="2"/>
  <c r="BE274" i="2"/>
  <c r="BD274" i="2"/>
  <c r="BC274" i="2"/>
  <c r="BB274" i="2"/>
  <c r="BA274" i="2"/>
  <c r="AZ274" i="2"/>
  <c r="AY274" i="2"/>
  <c r="AX274" i="2"/>
  <c r="AW274" i="2"/>
  <c r="AV274" i="2"/>
  <c r="AU274" i="2"/>
  <c r="AT274" i="2"/>
  <c r="AS274" i="2"/>
  <c r="AR274" i="2"/>
  <c r="AQ274" i="2"/>
  <c r="AP274" i="2"/>
  <c r="AO274" i="2"/>
  <c r="AN274" i="2"/>
  <c r="AM274" i="2"/>
  <c r="AL274" i="2"/>
  <c r="AK274" i="2"/>
  <c r="AJ274" i="2"/>
  <c r="AI274" i="2"/>
  <c r="AH274" i="2"/>
  <c r="AG274" i="2"/>
  <c r="AF274" i="2"/>
  <c r="AE274" i="2"/>
  <c r="AD274" i="2"/>
  <c r="AC274" i="2"/>
  <c r="AB274" i="2"/>
  <c r="AA274" i="2"/>
  <c r="Z274" i="2"/>
  <c r="Y274" i="2"/>
  <c r="X274" i="2"/>
  <c r="W274" i="2"/>
  <c r="V274" i="2"/>
  <c r="U274" i="2"/>
  <c r="T274" i="2"/>
  <c r="S274" i="2"/>
  <c r="R274" i="2"/>
  <c r="Q274" i="2"/>
  <c r="P274" i="2"/>
  <c r="O274" i="2"/>
  <c r="N274" i="2"/>
  <c r="M274" i="2"/>
  <c r="L274" i="2"/>
  <c r="K274" i="2"/>
  <c r="J274" i="2"/>
  <c r="I274" i="2"/>
  <c r="H274" i="2"/>
  <c r="G274" i="2"/>
  <c r="F274" i="2"/>
  <c r="E274" i="2"/>
  <c r="D274" i="2"/>
  <c r="C274" i="2"/>
  <c r="BF273" i="2"/>
  <c r="BE273" i="2"/>
  <c r="BD273" i="2"/>
  <c r="BC273" i="2"/>
  <c r="BB273" i="2"/>
  <c r="BA273" i="2"/>
  <c r="AZ273" i="2"/>
  <c r="AY273" i="2"/>
  <c r="AX273" i="2"/>
  <c r="AW273" i="2"/>
  <c r="AV273" i="2"/>
  <c r="AU273" i="2"/>
  <c r="AT273" i="2"/>
  <c r="AS273" i="2"/>
  <c r="AR273" i="2"/>
  <c r="AQ273" i="2"/>
  <c r="AP273" i="2"/>
  <c r="AO273" i="2"/>
  <c r="AN273" i="2"/>
  <c r="AM273" i="2"/>
  <c r="AL273" i="2"/>
  <c r="AK273" i="2"/>
  <c r="AJ273" i="2"/>
  <c r="AI273" i="2"/>
  <c r="AH273" i="2"/>
  <c r="AG273" i="2"/>
  <c r="AF273" i="2"/>
  <c r="AE273" i="2"/>
  <c r="AD273" i="2"/>
  <c r="AC273" i="2"/>
  <c r="AB273" i="2"/>
  <c r="AA273" i="2"/>
  <c r="Z273" i="2"/>
  <c r="Y273" i="2"/>
  <c r="X273" i="2"/>
  <c r="W273" i="2"/>
  <c r="V273" i="2"/>
  <c r="U273" i="2"/>
  <c r="T273" i="2"/>
  <c r="S273" i="2"/>
  <c r="R273" i="2"/>
  <c r="Q273" i="2"/>
  <c r="P273" i="2"/>
  <c r="O273" i="2"/>
  <c r="N273" i="2"/>
  <c r="M273" i="2"/>
  <c r="L273" i="2"/>
  <c r="K273" i="2"/>
  <c r="J273" i="2"/>
  <c r="I273" i="2"/>
  <c r="H273" i="2"/>
  <c r="G273" i="2"/>
  <c r="F273" i="2"/>
  <c r="E273" i="2"/>
  <c r="D273" i="2"/>
  <c r="C273" i="2"/>
  <c r="BF272" i="2"/>
  <c r="BE272" i="2"/>
  <c r="BD272" i="2"/>
  <c r="BC272" i="2"/>
  <c r="BB272" i="2"/>
  <c r="BA272" i="2"/>
  <c r="AZ272" i="2"/>
  <c r="AY272" i="2"/>
  <c r="AX272" i="2"/>
  <c r="AW272" i="2"/>
  <c r="AV272" i="2"/>
  <c r="AU272" i="2"/>
  <c r="AT272" i="2"/>
  <c r="AS272" i="2"/>
  <c r="AR272" i="2"/>
  <c r="AQ272" i="2"/>
  <c r="AP272" i="2"/>
  <c r="AO272" i="2"/>
  <c r="AN272" i="2"/>
  <c r="AM272" i="2"/>
  <c r="AL272" i="2"/>
  <c r="AK272" i="2"/>
  <c r="AJ272" i="2"/>
  <c r="AI272" i="2"/>
  <c r="AH272" i="2"/>
  <c r="AG272" i="2"/>
  <c r="AF272" i="2"/>
  <c r="AE272" i="2"/>
  <c r="AD272" i="2"/>
  <c r="AC272" i="2"/>
  <c r="AB272" i="2"/>
  <c r="AA272" i="2"/>
  <c r="Z272" i="2"/>
  <c r="Y272" i="2"/>
  <c r="X272" i="2"/>
  <c r="W272" i="2"/>
  <c r="V272" i="2"/>
  <c r="U272" i="2"/>
  <c r="T272" i="2"/>
  <c r="S272" i="2"/>
  <c r="R272" i="2"/>
  <c r="Q272" i="2"/>
  <c r="P272" i="2"/>
  <c r="O272" i="2"/>
  <c r="N272" i="2"/>
  <c r="M272" i="2"/>
  <c r="L272" i="2"/>
  <c r="K272" i="2"/>
  <c r="J272" i="2"/>
  <c r="I272" i="2"/>
  <c r="H272" i="2"/>
  <c r="G272" i="2"/>
  <c r="F272" i="2"/>
  <c r="E272" i="2"/>
  <c r="D272" i="2"/>
  <c r="C272" i="2"/>
  <c r="BF271" i="2"/>
  <c r="BE271" i="2"/>
  <c r="BD271" i="2"/>
  <c r="BC271" i="2"/>
  <c r="BB271" i="2"/>
  <c r="BA271" i="2"/>
  <c r="AZ271" i="2"/>
  <c r="AY271" i="2"/>
  <c r="AX271" i="2"/>
  <c r="AW271" i="2"/>
  <c r="AV271" i="2"/>
  <c r="AU271" i="2"/>
  <c r="AT271" i="2"/>
  <c r="AS271" i="2"/>
  <c r="AR271" i="2"/>
  <c r="AQ271" i="2"/>
  <c r="AP271" i="2"/>
  <c r="AO271" i="2"/>
  <c r="AN271" i="2"/>
  <c r="AM271" i="2"/>
  <c r="AL271" i="2"/>
  <c r="AK271" i="2"/>
  <c r="AJ271" i="2"/>
  <c r="AI271" i="2"/>
  <c r="AH271" i="2"/>
  <c r="AG271" i="2"/>
  <c r="AF271" i="2"/>
  <c r="AE271" i="2"/>
  <c r="AD271" i="2"/>
  <c r="AC271" i="2"/>
  <c r="AB271" i="2"/>
  <c r="AA271" i="2"/>
  <c r="Z271" i="2"/>
  <c r="Y271" i="2"/>
  <c r="X271" i="2"/>
  <c r="W271" i="2"/>
  <c r="V271" i="2"/>
  <c r="U271" i="2"/>
  <c r="T271" i="2"/>
  <c r="S271" i="2"/>
  <c r="R271" i="2"/>
  <c r="Q271" i="2"/>
  <c r="P271" i="2"/>
  <c r="O271" i="2"/>
  <c r="N271" i="2"/>
  <c r="M271" i="2"/>
  <c r="L271" i="2"/>
  <c r="K271" i="2"/>
  <c r="J271" i="2"/>
  <c r="I271" i="2"/>
  <c r="H271" i="2"/>
  <c r="G271" i="2"/>
  <c r="F271" i="2"/>
  <c r="E271" i="2"/>
  <c r="D271" i="2"/>
  <c r="C271" i="2"/>
  <c r="BF269" i="2"/>
  <c r="BE269" i="2"/>
  <c r="BD269" i="2"/>
  <c r="BC269" i="2"/>
  <c r="BB269" i="2"/>
  <c r="BA269" i="2"/>
  <c r="AZ269" i="2"/>
  <c r="AY269" i="2"/>
  <c r="AX269" i="2"/>
  <c r="AW269" i="2"/>
  <c r="AV269" i="2"/>
  <c r="AU269" i="2"/>
  <c r="AT269" i="2"/>
  <c r="AS269" i="2"/>
  <c r="AR269" i="2"/>
  <c r="AQ269" i="2"/>
  <c r="AP269" i="2"/>
  <c r="AO269" i="2"/>
  <c r="AN269" i="2"/>
  <c r="AM269" i="2"/>
  <c r="AL269" i="2"/>
  <c r="AK269" i="2"/>
  <c r="AJ269" i="2"/>
  <c r="AI269" i="2"/>
  <c r="AH269" i="2"/>
  <c r="AG269" i="2"/>
  <c r="AF269" i="2"/>
  <c r="AE269" i="2"/>
  <c r="AD269" i="2"/>
  <c r="AC269" i="2"/>
  <c r="AB269" i="2"/>
  <c r="AA269" i="2"/>
  <c r="Z269" i="2"/>
  <c r="Y269" i="2"/>
  <c r="X269" i="2"/>
  <c r="W269" i="2"/>
  <c r="V269" i="2"/>
  <c r="U269" i="2"/>
  <c r="T269" i="2"/>
  <c r="S269" i="2"/>
  <c r="R269" i="2"/>
  <c r="Q269" i="2"/>
  <c r="P269" i="2"/>
  <c r="O269" i="2"/>
  <c r="N269" i="2"/>
  <c r="M269" i="2"/>
  <c r="L269" i="2"/>
  <c r="K269" i="2"/>
  <c r="J269" i="2"/>
  <c r="I269" i="2"/>
  <c r="H269" i="2"/>
  <c r="G269" i="2"/>
  <c r="F269" i="2"/>
  <c r="E269" i="2"/>
  <c r="D269" i="2"/>
  <c r="C269" i="2"/>
  <c r="BF268" i="2"/>
  <c r="BE268" i="2"/>
  <c r="BD268" i="2"/>
  <c r="BC268" i="2"/>
  <c r="BB268" i="2"/>
  <c r="BA268" i="2"/>
  <c r="AZ268" i="2"/>
  <c r="AY268" i="2"/>
  <c r="AX268" i="2"/>
  <c r="AW268" i="2"/>
  <c r="AV268" i="2"/>
  <c r="AU268" i="2"/>
  <c r="AT268" i="2"/>
  <c r="AS268" i="2"/>
  <c r="AR268" i="2"/>
  <c r="AQ268" i="2"/>
  <c r="AP268" i="2"/>
  <c r="AO268" i="2"/>
  <c r="AN268" i="2"/>
  <c r="AM268" i="2"/>
  <c r="AL268" i="2"/>
  <c r="AK268" i="2"/>
  <c r="AJ268" i="2"/>
  <c r="AI268" i="2"/>
  <c r="AH268" i="2"/>
  <c r="AG268" i="2"/>
  <c r="AF268" i="2"/>
  <c r="AE268" i="2"/>
  <c r="AD268" i="2"/>
  <c r="AC268" i="2"/>
  <c r="AB268" i="2"/>
  <c r="AA268" i="2"/>
  <c r="Z268" i="2"/>
  <c r="Y268" i="2"/>
  <c r="X268" i="2"/>
  <c r="W268" i="2"/>
  <c r="V268" i="2"/>
  <c r="U268" i="2"/>
  <c r="T268" i="2"/>
  <c r="S268" i="2"/>
  <c r="R268" i="2"/>
  <c r="Q268" i="2"/>
  <c r="P268" i="2"/>
  <c r="O268" i="2"/>
  <c r="N268" i="2"/>
  <c r="M268" i="2"/>
  <c r="L268" i="2"/>
  <c r="K268" i="2"/>
  <c r="J268" i="2"/>
  <c r="I268" i="2"/>
  <c r="H268" i="2"/>
  <c r="G268" i="2"/>
  <c r="F268" i="2"/>
  <c r="E268" i="2"/>
  <c r="D268" i="2"/>
  <c r="C268" i="2"/>
  <c r="BF267" i="2"/>
  <c r="BE267" i="2"/>
  <c r="BD267" i="2"/>
  <c r="BC267" i="2"/>
  <c r="BB267" i="2"/>
  <c r="BA267" i="2"/>
  <c r="AZ267" i="2"/>
  <c r="AY267" i="2"/>
  <c r="AX267" i="2"/>
  <c r="AW267" i="2"/>
  <c r="AV267" i="2"/>
  <c r="AU267" i="2"/>
  <c r="AT267" i="2"/>
  <c r="AS267" i="2"/>
  <c r="AR267" i="2"/>
  <c r="AQ267" i="2"/>
  <c r="AP267" i="2"/>
  <c r="AO267" i="2"/>
  <c r="AN267" i="2"/>
  <c r="AM267" i="2"/>
  <c r="AL267" i="2"/>
  <c r="AK267" i="2"/>
  <c r="AJ267" i="2"/>
  <c r="AI267" i="2"/>
  <c r="AH267" i="2"/>
  <c r="AG267" i="2"/>
  <c r="AF267" i="2"/>
  <c r="AE267" i="2"/>
  <c r="AD267" i="2"/>
  <c r="AC267" i="2"/>
  <c r="AB267" i="2"/>
  <c r="AA267" i="2"/>
  <c r="Z267" i="2"/>
  <c r="Y267" i="2"/>
  <c r="X267" i="2"/>
  <c r="W267" i="2"/>
  <c r="V267" i="2"/>
  <c r="U267" i="2"/>
  <c r="T267" i="2"/>
  <c r="S267" i="2"/>
  <c r="R267" i="2"/>
  <c r="Q267" i="2"/>
  <c r="P267" i="2"/>
  <c r="O267" i="2"/>
  <c r="N267" i="2"/>
  <c r="M267" i="2"/>
  <c r="L267" i="2"/>
  <c r="K267" i="2"/>
  <c r="J267" i="2"/>
  <c r="I267" i="2"/>
  <c r="H267" i="2"/>
  <c r="G267" i="2"/>
  <c r="F267" i="2"/>
  <c r="E267" i="2"/>
  <c r="D267" i="2"/>
  <c r="C267" i="2"/>
  <c r="BF266" i="2"/>
  <c r="BE266" i="2"/>
  <c r="BD266" i="2"/>
  <c r="BC266" i="2"/>
  <c r="BB266" i="2"/>
  <c r="BA266" i="2"/>
  <c r="AZ266" i="2"/>
  <c r="AY266" i="2"/>
  <c r="AX266" i="2"/>
  <c r="AW266" i="2"/>
  <c r="AV266" i="2"/>
  <c r="AU266" i="2"/>
  <c r="AT266" i="2"/>
  <c r="AS266" i="2"/>
  <c r="AR266" i="2"/>
  <c r="AQ266" i="2"/>
  <c r="AP266" i="2"/>
  <c r="AO266" i="2"/>
  <c r="AN266" i="2"/>
  <c r="AM266" i="2"/>
  <c r="AL266" i="2"/>
  <c r="AK266" i="2"/>
  <c r="AJ266" i="2"/>
  <c r="AI266" i="2"/>
  <c r="AH266" i="2"/>
  <c r="AG266" i="2"/>
  <c r="AF266" i="2"/>
  <c r="AE266" i="2"/>
  <c r="AD266" i="2"/>
  <c r="AC266" i="2"/>
  <c r="AB266" i="2"/>
  <c r="AA266" i="2"/>
  <c r="Z266" i="2"/>
  <c r="Y266" i="2"/>
  <c r="X266" i="2"/>
  <c r="W266" i="2"/>
  <c r="V266" i="2"/>
  <c r="U266" i="2"/>
  <c r="T266" i="2"/>
  <c r="S266" i="2"/>
  <c r="R266" i="2"/>
  <c r="Q266" i="2"/>
  <c r="P266" i="2"/>
  <c r="O266" i="2"/>
  <c r="N266" i="2"/>
  <c r="M266" i="2"/>
  <c r="L266" i="2"/>
  <c r="K266" i="2"/>
  <c r="J266" i="2"/>
  <c r="I266" i="2"/>
  <c r="H266" i="2"/>
  <c r="G266" i="2"/>
  <c r="F266" i="2"/>
  <c r="E266" i="2"/>
  <c r="D266" i="2"/>
  <c r="C266" i="2"/>
  <c r="BF265" i="2"/>
  <c r="BE265" i="2"/>
  <c r="BD265" i="2"/>
  <c r="BC265" i="2"/>
  <c r="BB265" i="2"/>
  <c r="BA265" i="2"/>
  <c r="AZ265" i="2"/>
  <c r="AY265" i="2"/>
  <c r="AX265" i="2"/>
  <c r="AW265" i="2"/>
  <c r="AV265" i="2"/>
  <c r="AU265" i="2"/>
  <c r="AT265" i="2"/>
  <c r="AS265" i="2"/>
  <c r="AR265" i="2"/>
  <c r="AQ265" i="2"/>
  <c r="AP265" i="2"/>
  <c r="AO265" i="2"/>
  <c r="AN265" i="2"/>
  <c r="AM265" i="2"/>
  <c r="AL265" i="2"/>
  <c r="AK265" i="2"/>
  <c r="AJ265" i="2"/>
  <c r="AI265" i="2"/>
  <c r="AH265" i="2"/>
  <c r="AG265" i="2"/>
  <c r="AF265" i="2"/>
  <c r="AE265" i="2"/>
  <c r="AD265" i="2"/>
  <c r="AC265" i="2"/>
  <c r="AB265" i="2"/>
  <c r="AA265" i="2"/>
  <c r="Z265" i="2"/>
  <c r="Y265" i="2"/>
  <c r="X265" i="2"/>
  <c r="W265" i="2"/>
  <c r="V265" i="2"/>
  <c r="U265" i="2"/>
  <c r="T265" i="2"/>
  <c r="S265" i="2"/>
  <c r="R265" i="2"/>
  <c r="Q265" i="2"/>
  <c r="P265" i="2"/>
  <c r="O265" i="2"/>
  <c r="N265" i="2"/>
  <c r="M265" i="2"/>
  <c r="L265" i="2"/>
  <c r="K265" i="2"/>
  <c r="J265" i="2"/>
  <c r="I265" i="2"/>
  <c r="H265" i="2"/>
  <c r="G265" i="2"/>
  <c r="F265" i="2"/>
  <c r="E265" i="2"/>
  <c r="D265" i="2"/>
  <c r="C265" i="2"/>
  <c r="BF264" i="2"/>
  <c r="BE264" i="2"/>
  <c r="BD264" i="2"/>
  <c r="BC264" i="2"/>
  <c r="BB264" i="2"/>
  <c r="BA264" i="2"/>
  <c r="AZ264" i="2"/>
  <c r="AY264" i="2"/>
  <c r="AX264" i="2"/>
  <c r="AW264" i="2"/>
  <c r="AV264" i="2"/>
  <c r="AU264" i="2"/>
  <c r="AT264" i="2"/>
  <c r="AS264" i="2"/>
  <c r="AR264" i="2"/>
  <c r="AQ264" i="2"/>
  <c r="AP264" i="2"/>
  <c r="AO264" i="2"/>
  <c r="AN264" i="2"/>
  <c r="AM264" i="2"/>
  <c r="AL264" i="2"/>
  <c r="AK264" i="2"/>
  <c r="AJ264" i="2"/>
  <c r="AI264" i="2"/>
  <c r="AH264" i="2"/>
  <c r="AG264" i="2"/>
  <c r="AF264" i="2"/>
  <c r="AE264" i="2"/>
  <c r="AD264" i="2"/>
  <c r="AC264" i="2"/>
  <c r="AB264" i="2"/>
  <c r="AA264" i="2"/>
  <c r="Z264" i="2"/>
  <c r="Y264" i="2"/>
  <c r="X264" i="2"/>
  <c r="W264" i="2"/>
  <c r="V264" i="2"/>
  <c r="U264" i="2"/>
  <c r="T264" i="2"/>
  <c r="S264" i="2"/>
  <c r="R264" i="2"/>
  <c r="Q264" i="2"/>
  <c r="P264" i="2"/>
  <c r="O264" i="2"/>
  <c r="N264" i="2"/>
  <c r="M264" i="2"/>
  <c r="L264" i="2"/>
  <c r="K264" i="2"/>
  <c r="J264" i="2"/>
  <c r="I264" i="2"/>
  <c r="H264" i="2"/>
  <c r="G264" i="2"/>
  <c r="F264" i="2"/>
  <c r="E264" i="2"/>
  <c r="D264" i="2"/>
  <c r="C264" i="2"/>
  <c r="BF263" i="2"/>
  <c r="BE263" i="2"/>
  <c r="BD263" i="2"/>
  <c r="BC263" i="2"/>
  <c r="BB263" i="2"/>
  <c r="BA263" i="2"/>
  <c r="AZ263" i="2"/>
  <c r="AY263" i="2"/>
  <c r="AX263" i="2"/>
  <c r="AW263" i="2"/>
  <c r="AV263" i="2"/>
  <c r="AU263" i="2"/>
  <c r="AT263" i="2"/>
  <c r="AS263" i="2"/>
  <c r="AR263" i="2"/>
  <c r="AQ263" i="2"/>
  <c r="AP263" i="2"/>
  <c r="AO263" i="2"/>
  <c r="AN263" i="2"/>
  <c r="AM263" i="2"/>
  <c r="AL263" i="2"/>
  <c r="AK263" i="2"/>
  <c r="AJ263" i="2"/>
  <c r="AI263" i="2"/>
  <c r="AH263" i="2"/>
  <c r="AG263" i="2"/>
  <c r="AF263" i="2"/>
  <c r="AE263" i="2"/>
  <c r="AD263" i="2"/>
  <c r="AC263" i="2"/>
  <c r="AB263" i="2"/>
  <c r="AA263" i="2"/>
  <c r="Z263" i="2"/>
  <c r="Y263" i="2"/>
  <c r="X263" i="2"/>
  <c r="W263" i="2"/>
  <c r="V263" i="2"/>
  <c r="U263" i="2"/>
  <c r="T263" i="2"/>
  <c r="S263" i="2"/>
  <c r="R263" i="2"/>
  <c r="Q263" i="2"/>
  <c r="P263" i="2"/>
  <c r="O263" i="2"/>
  <c r="N263" i="2"/>
  <c r="M263" i="2"/>
  <c r="L263" i="2"/>
  <c r="K263" i="2"/>
  <c r="J263" i="2"/>
  <c r="I263" i="2"/>
  <c r="H263" i="2"/>
  <c r="G263" i="2"/>
  <c r="F263" i="2"/>
  <c r="E263" i="2"/>
  <c r="D263" i="2"/>
  <c r="C263" i="2"/>
  <c r="BF251" i="2"/>
  <c r="BE251" i="2"/>
  <c r="BD251" i="2"/>
  <c r="BC251" i="2"/>
  <c r="BB251" i="2"/>
  <c r="BA251" i="2"/>
  <c r="AZ251" i="2"/>
  <c r="AY251" i="2"/>
  <c r="AX251" i="2"/>
  <c r="AW251" i="2"/>
  <c r="AV251" i="2"/>
  <c r="AU251" i="2"/>
  <c r="AT251" i="2"/>
  <c r="AS251" i="2"/>
  <c r="AR251" i="2"/>
  <c r="AQ251" i="2"/>
  <c r="AP251" i="2"/>
  <c r="AO251" i="2"/>
  <c r="AN251" i="2"/>
  <c r="AM251" i="2"/>
  <c r="AL251" i="2"/>
  <c r="AK251" i="2"/>
  <c r="AJ251" i="2"/>
  <c r="AI251" i="2"/>
  <c r="AH251" i="2"/>
  <c r="AG251" i="2"/>
  <c r="AF251" i="2"/>
  <c r="AE251" i="2"/>
  <c r="AD251" i="2"/>
  <c r="AC251" i="2"/>
  <c r="AB251" i="2"/>
  <c r="AA251" i="2"/>
  <c r="Z251" i="2"/>
  <c r="Y251" i="2"/>
  <c r="X251" i="2"/>
  <c r="W251" i="2"/>
  <c r="V251" i="2"/>
  <c r="U251" i="2"/>
  <c r="T251" i="2"/>
  <c r="S251" i="2"/>
  <c r="R251" i="2"/>
  <c r="Q251" i="2"/>
  <c r="P251" i="2"/>
  <c r="O251" i="2"/>
  <c r="N251" i="2"/>
  <c r="M251" i="2"/>
  <c r="L251" i="2"/>
  <c r="K251" i="2"/>
  <c r="J251" i="2"/>
  <c r="I251" i="2"/>
  <c r="H251" i="2"/>
  <c r="G251" i="2"/>
  <c r="F251" i="2"/>
  <c r="E251" i="2"/>
  <c r="D251" i="2"/>
  <c r="C251" i="2"/>
  <c r="BF250" i="2"/>
  <c r="BE250" i="2"/>
  <c r="BD250" i="2"/>
  <c r="BC250" i="2"/>
  <c r="BB250" i="2"/>
  <c r="BA250" i="2"/>
  <c r="AZ250" i="2"/>
  <c r="AY250" i="2"/>
  <c r="AX250" i="2"/>
  <c r="AW250" i="2"/>
  <c r="AV250" i="2"/>
  <c r="AU250" i="2"/>
  <c r="AT250" i="2"/>
  <c r="AS250" i="2"/>
  <c r="AR250" i="2"/>
  <c r="AQ250" i="2"/>
  <c r="AP250" i="2"/>
  <c r="AO250" i="2"/>
  <c r="AN250" i="2"/>
  <c r="AM250" i="2"/>
  <c r="AL250" i="2"/>
  <c r="AK250" i="2"/>
  <c r="AJ250" i="2"/>
  <c r="AI250" i="2"/>
  <c r="AH250" i="2"/>
  <c r="AG250" i="2"/>
  <c r="AF250" i="2"/>
  <c r="AE250" i="2"/>
  <c r="AD250" i="2"/>
  <c r="AC250" i="2"/>
  <c r="AB250" i="2"/>
  <c r="AA250" i="2"/>
  <c r="Z250" i="2"/>
  <c r="Y250" i="2"/>
  <c r="X250" i="2"/>
  <c r="W250" i="2"/>
  <c r="V250" i="2"/>
  <c r="U250" i="2"/>
  <c r="T250" i="2"/>
  <c r="S250" i="2"/>
  <c r="R250" i="2"/>
  <c r="Q250" i="2"/>
  <c r="P250" i="2"/>
  <c r="O250" i="2"/>
  <c r="N250" i="2"/>
  <c r="M250" i="2"/>
  <c r="L250" i="2"/>
  <c r="K250" i="2"/>
  <c r="J250" i="2"/>
  <c r="I250" i="2"/>
  <c r="H250" i="2"/>
  <c r="G250" i="2"/>
  <c r="F250" i="2"/>
  <c r="E250" i="2"/>
  <c r="D250" i="2"/>
  <c r="C250" i="2"/>
  <c r="BF249" i="2"/>
  <c r="BE249" i="2"/>
  <c r="BD249" i="2"/>
  <c r="BC249" i="2"/>
  <c r="BB249" i="2"/>
  <c r="BA249" i="2"/>
  <c r="AZ249" i="2"/>
  <c r="AY249" i="2"/>
  <c r="AX249" i="2"/>
  <c r="AW249" i="2"/>
  <c r="AV249" i="2"/>
  <c r="AU249" i="2"/>
  <c r="AT249" i="2"/>
  <c r="AS249" i="2"/>
  <c r="AR249" i="2"/>
  <c r="AQ249" i="2"/>
  <c r="AP249" i="2"/>
  <c r="AO249" i="2"/>
  <c r="AN249" i="2"/>
  <c r="AM249" i="2"/>
  <c r="AL249" i="2"/>
  <c r="AK249" i="2"/>
  <c r="AJ249" i="2"/>
  <c r="AI249" i="2"/>
  <c r="AH249" i="2"/>
  <c r="AG249" i="2"/>
  <c r="AF249" i="2"/>
  <c r="AE249" i="2"/>
  <c r="AD249" i="2"/>
  <c r="AC249" i="2"/>
  <c r="AB249" i="2"/>
  <c r="AA249" i="2"/>
  <c r="Z249" i="2"/>
  <c r="Y249" i="2"/>
  <c r="X249" i="2"/>
  <c r="W249" i="2"/>
  <c r="V249" i="2"/>
  <c r="U249" i="2"/>
  <c r="T249" i="2"/>
  <c r="S249" i="2"/>
  <c r="R249" i="2"/>
  <c r="Q249" i="2"/>
  <c r="P249" i="2"/>
  <c r="O249" i="2"/>
  <c r="N249" i="2"/>
  <c r="M249" i="2"/>
  <c r="L249" i="2"/>
  <c r="K249" i="2"/>
  <c r="J249" i="2"/>
  <c r="I249" i="2"/>
  <c r="H249" i="2"/>
  <c r="G249" i="2"/>
  <c r="F249" i="2"/>
  <c r="E249" i="2"/>
  <c r="D249" i="2"/>
  <c r="C249" i="2"/>
  <c r="BF248" i="2"/>
  <c r="BE248" i="2"/>
  <c r="BD248" i="2"/>
  <c r="BC248" i="2"/>
  <c r="BB248" i="2"/>
  <c r="BA248" i="2"/>
  <c r="AZ248" i="2"/>
  <c r="AY248" i="2"/>
  <c r="AX248" i="2"/>
  <c r="AW248" i="2"/>
  <c r="AV248" i="2"/>
  <c r="AU248" i="2"/>
  <c r="AT248" i="2"/>
  <c r="AS248" i="2"/>
  <c r="AR248" i="2"/>
  <c r="AQ248" i="2"/>
  <c r="AP248" i="2"/>
  <c r="AO248" i="2"/>
  <c r="AN248" i="2"/>
  <c r="AM248" i="2"/>
  <c r="AL248" i="2"/>
  <c r="AK248" i="2"/>
  <c r="AJ248" i="2"/>
  <c r="AI248" i="2"/>
  <c r="AH248" i="2"/>
  <c r="AG248" i="2"/>
  <c r="AF248" i="2"/>
  <c r="AE248" i="2"/>
  <c r="AD248" i="2"/>
  <c r="AC248" i="2"/>
  <c r="AB248" i="2"/>
  <c r="AA248" i="2"/>
  <c r="Z248" i="2"/>
  <c r="Y248" i="2"/>
  <c r="X248" i="2"/>
  <c r="W248" i="2"/>
  <c r="V248" i="2"/>
  <c r="U248" i="2"/>
  <c r="T248" i="2"/>
  <c r="S248" i="2"/>
  <c r="R248" i="2"/>
  <c r="Q248" i="2"/>
  <c r="P248" i="2"/>
  <c r="O248" i="2"/>
  <c r="N248" i="2"/>
  <c r="M248" i="2"/>
  <c r="L248" i="2"/>
  <c r="K248" i="2"/>
  <c r="J248" i="2"/>
  <c r="I248" i="2"/>
  <c r="H248" i="2"/>
  <c r="G248" i="2"/>
  <c r="F248" i="2"/>
  <c r="E248" i="2"/>
  <c r="D248" i="2"/>
  <c r="C248" i="2"/>
  <c r="BF247" i="2"/>
  <c r="BE247" i="2"/>
  <c r="BD247" i="2"/>
  <c r="BC247" i="2"/>
  <c r="BB247" i="2"/>
  <c r="BA247" i="2"/>
  <c r="AZ247" i="2"/>
  <c r="AY247" i="2"/>
  <c r="AX247" i="2"/>
  <c r="AW247" i="2"/>
  <c r="AV247" i="2"/>
  <c r="AU247" i="2"/>
  <c r="AT247" i="2"/>
  <c r="AS247" i="2"/>
  <c r="AR247" i="2"/>
  <c r="AQ247" i="2"/>
  <c r="AP247" i="2"/>
  <c r="AO247" i="2"/>
  <c r="AN247" i="2"/>
  <c r="AM247" i="2"/>
  <c r="AL247" i="2"/>
  <c r="AK247" i="2"/>
  <c r="AJ247" i="2"/>
  <c r="AI247" i="2"/>
  <c r="AH247" i="2"/>
  <c r="AG247" i="2"/>
  <c r="AF247" i="2"/>
  <c r="AE247" i="2"/>
  <c r="AD247" i="2"/>
  <c r="AC247" i="2"/>
  <c r="AB247" i="2"/>
  <c r="AA247" i="2"/>
  <c r="Z247" i="2"/>
  <c r="Y247" i="2"/>
  <c r="X247" i="2"/>
  <c r="W247" i="2"/>
  <c r="V247" i="2"/>
  <c r="U247" i="2"/>
  <c r="T247" i="2"/>
  <c r="S247" i="2"/>
  <c r="R247" i="2"/>
  <c r="Q247" i="2"/>
  <c r="P247" i="2"/>
  <c r="O247" i="2"/>
  <c r="N247" i="2"/>
  <c r="M247" i="2"/>
  <c r="L247" i="2"/>
  <c r="K247" i="2"/>
  <c r="J247" i="2"/>
  <c r="I247" i="2"/>
  <c r="H247" i="2"/>
  <c r="G247" i="2"/>
  <c r="F247" i="2"/>
  <c r="E247" i="2"/>
  <c r="D247" i="2"/>
  <c r="C247" i="2"/>
  <c r="BF246" i="2"/>
  <c r="BE246" i="2"/>
  <c r="BD246" i="2"/>
  <c r="BC246" i="2"/>
  <c r="BB246" i="2"/>
  <c r="BA246" i="2"/>
  <c r="AZ246" i="2"/>
  <c r="AY246" i="2"/>
  <c r="AX246" i="2"/>
  <c r="AW246" i="2"/>
  <c r="AV246" i="2"/>
  <c r="AU246" i="2"/>
  <c r="AT246" i="2"/>
  <c r="AS246" i="2"/>
  <c r="AR246" i="2"/>
  <c r="AQ246" i="2"/>
  <c r="AP246" i="2"/>
  <c r="AO246" i="2"/>
  <c r="AN246" i="2"/>
  <c r="AM246" i="2"/>
  <c r="AL246" i="2"/>
  <c r="AK246" i="2"/>
  <c r="AJ246" i="2"/>
  <c r="AI246" i="2"/>
  <c r="AH246" i="2"/>
  <c r="AG246" i="2"/>
  <c r="AF246" i="2"/>
  <c r="AE246" i="2"/>
  <c r="AD246" i="2"/>
  <c r="AC246" i="2"/>
  <c r="AB246" i="2"/>
  <c r="AA246" i="2"/>
  <c r="Z246" i="2"/>
  <c r="Y246" i="2"/>
  <c r="X246" i="2"/>
  <c r="W246" i="2"/>
  <c r="V246" i="2"/>
  <c r="U246" i="2"/>
  <c r="T246" i="2"/>
  <c r="S246" i="2"/>
  <c r="R246" i="2"/>
  <c r="Q246" i="2"/>
  <c r="P246" i="2"/>
  <c r="O246" i="2"/>
  <c r="N246" i="2"/>
  <c r="M246" i="2"/>
  <c r="L246" i="2"/>
  <c r="K246" i="2"/>
  <c r="J246" i="2"/>
  <c r="I246" i="2"/>
  <c r="H246" i="2"/>
  <c r="G246" i="2"/>
  <c r="F246" i="2"/>
  <c r="E246" i="2"/>
  <c r="D246" i="2"/>
  <c r="C246" i="2"/>
  <c r="BF245" i="2"/>
  <c r="BE245" i="2"/>
  <c r="BD245" i="2"/>
  <c r="BC245" i="2"/>
  <c r="BB245" i="2"/>
  <c r="BA245" i="2"/>
  <c r="AZ245" i="2"/>
  <c r="AY245" i="2"/>
  <c r="AX245" i="2"/>
  <c r="AW245" i="2"/>
  <c r="AV245" i="2"/>
  <c r="AU245" i="2"/>
  <c r="AT245" i="2"/>
  <c r="AS245" i="2"/>
  <c r="AR245" i="2"/>
  <c r="AQ245" i="2"/>
  <c r="AP245" i="2"/>
  <c r="AO245" i="2"/>
  <c r="AN245" i="2"/>
  <c r="AM245" i="2"/>
  <c r="AL245" i="2"/>
  <c r="AK245" i="2"/>
  <c r="AJ245" i="2"/>
  <c r="AI245" i="2"/>
  <c r="AH245" i="2"/>
  <c r="AG245" i="2"/>
  <c r="AF245" i="2"/>
  <c r="AE245" i="2"/>
  <c r="AD245" i="2"/>
  <c r="AC245" i="2"/>
  <c r="AB245" i="2"/>
  <c r="AA245" i="2"/>
  <c r="Z245" i="2"/>
  <c r="Y245" i="2"/>
  <c r="X245" i="2"/>
  <c r="W245" i="2"/>
  <c r="V245" i="2"/>
  <c r="U245" i="2"/>
  <c r="T245" i="2"/>
  <c r="S245" i="2"/>
  <c r="R245" i="2"/>
  <c r="Q245" i="2"/>
  <c r="P245" i="2"/>
  <c r="O245" i="2"/>
  <c r="N245" i="2"/>
  <c r="M245" i="2"/>
  <c r="L245" i="2"/>
  <c r="K245" i="2"/>
  <c r="J245" i="2"/>
  <c r="I245" i="2"/>
  <c r="H245" i="2"/>
  <c r="G245" i="2"/>
  <c r="F245" i="2"/>
  <c r="E245" i="2"/>
  <c r="D245" i="2"/>
  <c r="C245" i="2"/>
  <c r="BF242" i="2"/>
  <c r="BE242" i="2"/>
  <c r="BD242" i="2"/>
  <c r="BC242" i="2"/>
  <c r="BB242" i="2"/>
  <c r="BA242" i="2"/>
  <c r="AZ242" i="2"/>
  <c r="AY242" i="2"/>
  <c r="AX242" i="2"/>
  <c r="AW242" i="2"/>
  <c r="AV242" i="2"/>
  <c r="AU242" i="2"/>
  <c r="AT242" i="2"/>
  <c r="AS242" i="2"/>
  <c r="AR242" i="2"/>
  <c r="AQ242" i="2"/>
  <c r="AP242" i="2"/>
  <c r="AO242" i="2"/>
  <c r="AN242" i="2"/>
  <c r="AM242" i="2"/>
  <c r="AL242" i="2"/>
  <c r="AK242" i="2"/>
  <c r="AJ242" i="2"/>
  <c r="AI242" i="2"/>
  <c r="AH242" i="2"/>
  <c r="AG242" i="2"/>
  <c r="AF242" i="2"/>
  <c r="AE242" i="2"/>
  <c r="AD242" i="2"/>
  <c r="AC242" i="2"/>
  <c r="AB242" i="2"/>
  <c r="AA242" i="2"/>
  <c r="Z242" i="2"/>
  <c r="Y242" i="2"/>
  <c r="X242" i="2"/>
  <c r="W242" i="2"/>
  <c r="V242" i="2"/>
  <c r="U242" i="2"/>
  <c r="T242" i="2"/>
  <c r="S242" i="2"/>
  <c r="R242" i="2"/>
  <c r="Q242" i="2"/>
  <c r="P242" i="2"/>
  <c r="O242" i="2"/>
  <c r="N242" i="2"/>
  <c r="M242" i="2"/>
  <c r="L242" i="2"/>
  <c r="K242" i="2"/>
  <c r="J242" i="2"/>
  <c r="I242" i="2"/>
  <c r="H242" i="2"/>
  <c r="G242" i="2"/>
  <c r="F242" i="2"/>
  <c r="E242" i="2"/>
  <c r="D242" i="2"/>
  <c r="C242" i="2"/>
  <c r="BF241" i="2"/>
  <c r="BE241" i="2"/>
  <c r="BD241" i="2"/>
  <c r="BC241" i="2"/>
  <c r="BB241" i="2"/>
  <c r="BA241" i="2"/>
  <c r="AZ241" i="2"/>
  <c r="AY241" i="2"/>
  <c r="AX241" i="2"/>
  <c r="AW241" i="2"/>
  <c r="AV241" i="2"/>
  <c r="AU241" i="2"/>
  <c r="AT241" i="2"/>
  <c r="AS241" i="2"/>
  <c r="AR241" i="2"/>
  <c r="AQ241" i="2"/>
  <c r="AP241" i="2"/>
  <c r="AO241" i="2"/>
  <c r="AN241" i="2"/>
  <c r="AM241" i="2"/>
  <c r="AL241" i="2"/>
  <c r="AK241" i="2"/>
  <c r="AJ241" i="2"/>
  <c r="AI241" i="2"/>
  <c r="AH241" i="2"/>
  <c r="AG241" i="2"/>
  <c r="AF241" i="2"/>
  <c r="AE241" i="2"/>
  <c r="AD241" i="2"/>
  <c r="AC241" i="2"/>
  <c r="AB241" i="2"/>
  <c r="AA241" i="2"/>
  <c r="Z241" i="2"/>
  <c r="Y241" i="2"/>
  <c r="X241" i="2"/>
  <c r="W241" i="2"/>
  <c r="V241" i="2"/>
  <c r="U241" i="2"/>
  <c r="T241" i="2"/>
  <c r="S241" i="2"/>
  <c r="R241" i="2"/>
  <c r="Q241" i="2"/>
  <c r="P241" i="2"/>
  <c r="O241" i="2"/>
  <c r="N241" i="2"/>
  <c r="M241" i="2"/>
  <c r="L241" i="2"/>
  <c r="K241" i="2"/>
  <c r="J241" i="2"/>
  <c r="I241" i="2"/>
  <c r="H241" i="2"/>
  <c r="G241" i="2"/>
  <c r="F241" i="2"/>
  <c r="E241" i="2"/>
  <c r="D241" i="2"/>
  <c r="C241" i="2"/>
  <c r="BF240" i="2"/>
  <c r="BE240" i="2"/>
  <c r="BD240" i="2"/>
  <c r="BC240" i="2"/>
  <c r="BB240" i="2"/>
  <c r="BA240" i="2"/>
  <c r="AZ240" i="2"/>
  <c r="AY240" i="2"/>
  <c r="AX240" i="2"/>
  <c r="AW240" i="2"/>
  <c r="AV240" i="2"/>
  <c r="AU240" i="2"/>
  <c r="AT240" i="2"/>
  <c r="AS240" i="2"/>
  <c r="AR240" i="2"/>
  <c r="AQ240" i="2"/>
  <c r="AP240" i="2"/>
  <c r="AO240" i="2"/>
  <c r="AN240" i="2"/>
  <c r="AM240" i="2"/>
  <c r="AL240" i="2"/>
  <c r="AK240" i="2"/>
  <c r="AJ240" i="2"/>
  <c r="AI240" i="2"/>
  <c r="AH240" i="2"/>
  <c r="AG240" i="2"/>
  <c r="AF240" i="2"/>
  <c r="AE240" i="2"/>
  <c r="AD240" i="2"/>
  <c r="AC240" i="2"/>
  <c r="AB240" i="2"/>
  <c r="AA240" i="2"/>
  <c r="Z240" i="2"/>
  <c r="Y240" i="2"/>
  <c r="X240" i="2"/>
  <c r="W240" i="2"/>
  <c r="V240" i="2"/>
  <c r="U240" i="2"/>
  <c r="T240" i="2"/>
  <c r="S240" i="2"/>
  <c r="R240" i="2"/>
  <c r="Q240" i="2"/>
  <c r="P240" i="2"/>
  <c r="O240" i="2"/>
  <c r="N240" i="2"/>
  <c r="M240" i="2"/>
  <c r="L240" i="2"/>
  <c r="K240" i="2"/>
  <c r="J240" i="2"/>
  <c r="I240" i="2"/>
  <c r="H240" i="2"/>
  <c r="G240" i="2"/>
  <c r="F240" i="2"/>
  <c r="E240" i="2"/>
  <c r="D240" i="2"/>
  <c r="C240" i="2"/>
  <c r="BF239" i="2"/>
  <c r="BE239" i="2"/>
  <c r="BD239" i="2"/>
  <c r="BC239" i="2"/>
  <c r="BB239" i="2"/>
  <c r="BA239" i="2"/>
  <c r="AZ239" i="2"/>
  <c r="AY239" i="2"/>
  <c r="AX239" i="2"/>
  <c r="AW239" i="2"/>
  <c r="AV239" i="2"/>
  <c r="AU239" i="2"/>
  <c r="AT239" i="2"/>
  <c r="AS239" i="2"/>
  <c r="AR239" i="2"/>
  <c r="AQ239" i="2"/>
  <c r="AP239" i="2"/>
  <c r="AO239" i="2"/>
  <c r="AN239" i="2"/>
  <c r="AM239" i="2"/>
  <c r="AL239" i="2"/>
  <c r="AK239" i="2"/>
  <c r="AJ239" i="2"/>
  <c r="AI239" i="2"/>
  <c r="AH239" i="2"/>
  <c r="AG239" i="2"/>
  <c r="AF239" i="2"/>
  <c r="AE239" i="2"/>
  <c r="AD239" i="2"/>
  <c r="AC239" i="2"/>
  <c r="AB239" i="2"/>
  <c r="AA239" i="2"/>
  <c r="Z239" i="2"/>
  <c r="Y239" i="2"/>
  <c r="X239" i="2"/>
  <c r="W239" i="2"/>
  <c r="V239" i="2"/>
  <c r="U239" i="2"/>
  <c r="T239" i="2"/>
  <c r="S239" i="2"/>
  <c r="R239" i="2"/>
  <c r="Q239" i="2"/>
  <c r="P239" i="2"/>
  <c r="O239" i="2"/>
  <c r="N239" i="2"/>
  <c r="M239" i="2"/>
  <c r="L239" i="2"/>
  <c r="K239" i="2"/>
  <c r="J239" i="2"/>
  <c r="I239" i="2"/>
  <c r="H239" i="2"/>
  <c r="G239" i="2"/>
  <c r="F239" i="2"/>
  <c r="E239" i="2"/>
  <c r="D239" i="2"/>
  <c r="C239" i="2"/>
  <c r="BF238" i="2"/>
  <c r="BE238" i="2"/>
  <c r="BD238" i="2"/>
  <c r="BC238" i="2"/>
  <c r="BB238" i="2"/>
  <c r="BA238" i="2"/>
  <c r="AZ238" i="2"/>
  <c r="AY238" i="2"/>
  <c r="AX238" i="2"/>
  <c r="AW238" i="2"/>
  <c r="AV238" i="2"/>
  <c r="AU238" i="2"/>
  <c r="AT238" i="2"/>
  <c r="AS238" i="2"/>
  <c r="AR238" i="2"/>
  <c r="AQ238" i="2"/>
  <c r="AP238" i="2"/>
  <c r="AO238" i="2"/>
  <c r="AN238" i="2"/>
  <c r="AM238" i="2"/>
  <c r="AL238" i="2"/>
  <c r="AK238" i="2"/>
  <c r="AJ238" i="2"/>
  <c r="AI238" i="2"/>
  <c r="AH238" i="2"/>
  <c r="AG238" i="2"/>
  <c r="AF238" i="2"/>
  <c r="AE238" i="2"/>
  <c r="AD238" i="2"/>
  <c r="AC238" i="2"/>
  <c r="AB238" i="2"/>
  <c r="AA238" i="2"/>
  <c r="Z238" i="2"/>
  <c r="Y238" i="2"/>
  <c r="X238" i="2"/>
  <c r="W238" i="2"/>
  <c r="V238" i="2"/>
  <c r="U238" i="2"/>
  <c r="T238" i="2"/>
  <c r="S238" i="2"/>
  <c r="R238" i="2"/>
  <c r="Q238" i="2"/>
  <c r="P238" i="2"/>
  <c r="O238" i="2"/>
  <c r="N238" i="2"/>
  <c r="M238" i="2"/>
  <c r="L238" i="2"/>
  <c r="K238" i="2"/>
  <c r="J238" i="2"/>
  <c r="I238" i="2"/>
  <c r="H238" i="2"/>
  <c r="G238" i="2"/>
  <c r="F238" i="2"/>
  <c r="E238" i="2"/>
  <c r="D238" i="2"/>
  <c r="C238" i="2"/>
  <c r="BF237" i="2"/>
  <c r="BE237" i="2"/>
  <c r="BD237" i="2"/>
  <c r="BC237" i="2"/>
  <c r="BB237" i="2"/>
  <c r="BA237" i="2"/>
  <c r="AZ237" i="2"/>
  <c r="AY237" i="2"/>
  <c r="AX237" i="2"/>
  <c r="AW237" i="2"/>
  <c r="AV237" i="2"/>
  <c r="AU237" i="2"/>
  <c r="AT237" i="2"/>
  <c r="AS237" i="2"/>
  <c r="AR237" i="2"/>
  <c r="AQ237" i="2"/>
  <c r="AP237" i="2"/>
  <c r="AO237" i="2"/>
  <c r="AN237" i="2"/>
  <c r="AM237" i="2"/>
  <c r="AL237" i="2"/>
  <c r="AK237" i="2"/>
  <c r="AJ237" i="2"/>
  <c r="AI237" i="2"/>
  <c r="AH237" i="2"/>
  <c r="AG237" i="2"/>
  <c r="AF237" i="2"/>
  <c r="AE237" i="2"/>
  <c r="AD237" i="2"/>
  <c r="AC237" i="2"/>
  <c r="AB237" i="2"/>
  <c r="AA237" i="2"/>
  <c r="Z237" i="2"/>
  <c r="Y237" i="2"/>
  <c r="X237" i="2"/>
  <c r="W237" i="2"/>
  <c r="V237" i="2"/>
  <c r="U237" i="2"/>
  <c r="T237" i="2"/>
  <c r="S237" i="2"/>
  <c r="R237" i="2"/>
  <c r="Q237" i="2"/>
  <c r="P237" i="2"/>
  <c r="O237" i="2"/>
  <c r="N237" i="2"/>
  <c r="M237" i="2"/>
  <c r="L237" i="2"/>
  <c r="K237" i="2"/>
  <c r="J237" i="2"/>
  <c r="I237" i="2"/>
  <c r="H237" i="2"/>
  <c r="G237" i="2"/>
  <c r="F237" i="2"/>
  <c r="E237" i="2"/>
  <c r="D237" i="2"/>
  <c r="C237" i="2"/>
  <c r="BF236" i="2"/>
  <c r="BE236" i="2"/>
  <c r="BD236" i="2"/>
  <c r="BC236" i="2"/>
  <c r="BB236" i="2"/>
  <c r="BA236" i="2"/>
  <c r="AZ236" i="2"/>
  <c r="AY236" i="2"/>
  <c r="AX236" i="2"/>
  <c r="AW236" i="2"/>
  <c r="AV236" i="2"/>
  <c r="AU236" i="2"/>
  <c r="AT236" i="2"/>
  <c r="AS236" i="2"/>
  <c r="AR236" i="2"/>
  <c r="AQ236" i="2"/>
  <c r="AP236" i="2"/>
  <c r="AO236" i="2"/>
  <c r="AN236" i="2"/>
  <c r="AM236" i="2"/>
  <c r="AL236" i="2"/>
  <c r="AK236" i="2"/>
  <c r="AJ236" i="2"/>
  <c r="AI236" i="2"/>
  <c r="AH236" i="2"/>
  <c r="AG236" i="2"/>
  <c r="AF236" i="2"/>
  <c r="AE236" i="2"/>
  <c r="AD236" i="2"/>
  <c r="AC236" i="2"/>
  <c r="AB236" i="2"/>
  <c r="AA236" i="2"/>
  <c r="Z236" i="2"/>
  <c r="Y236" i="2"/>
  <c r="X236" i="2"/>
  <c r="W236" i="2"/>
  <c r="V236" i="2"/>
  <c r="U236" i="2"/>
  <c r="T236" i="2"/>
  <c r="S236" i="2"/>
  <c r="R236" i="2"/>
  <c r="Q236" i="2"/>
  <c r="P236" i="2"/>
  <c r="O236" i="2"/>
  <c r="N236" i="2"/>
  <c r="M236" i="2"/>
  <c r="L236" i="2"/>
  <c r="K236" i="2"/>
  <c r="J236" i="2"/>
  <c r="I236" i="2"/>
  <c r="H236" i="2"/>
  <c r="G236" i="2"/>
  <c r="F236" i="2"/>
  <c r="E236" i="2"/>
  <c r="D236" i="2"/>
  <c r="C236" i="2"/>
  <c r="BF214" i="2"/>
  <c r="BE214" i="2"/>
  <c r="BD214" i="2"/>
  <c r="BC214" i="2"/>
  <c r="BB214" i="2"/>
  <c r="BA214" i="2"/>
  <c r="AZ214" i="2"/>
  <c r="AY214" i="2"/>
  <c r="AX214" i="2"/>
  <c r="AW214" i="2"/>
  <c r="AV214" i="2"/>
  <c r="AU214" i="2"/>
  <c r="AT214" i="2"/>
  <c r="AS214" i="2"/>
  <c r="AR214" i="2"/>
  <c r="AQ214" i="2"/>
  <c r="AP214" i="2"/>
  <c r="AO214" i="2"/>
  <c r="AN214" i="2"/>
  <c r="AM214" i="2"/>
  <c r="AL214" i="2"/>
  <c r="AK214" i="2"/>
  <c r="AJ214" i="2"/>
  <c r="AI214" i="2"/>
  <c r="AH214" i="2"/>
  <c r="AG214" i="2"/>
  <c r="AF214" i="2"/>
  <c r="AE214" i="2"/>
  <c r="AD214" i="2"/>
  <c r="AC214" i="2"/>
  <c r="AB214" i="2"/>
  <c r="AA214" i="2"/>
  <c r="Z214" i="2"/>
  <c r="Y214" i="2"/>
  <c r="X214" i="2"/>
  <c r="W214" i="2"/>
  <c r="V214" i="2"/>
  <c r="U214" i="2"/>
  <c r="T214" i="2"/>
  <c r="S214" i="2"/>
  <c r="R214" i="2"/>
  <c r="Q214" i="2"/>
  <c r="P214" i="2"/>
  <c r="O214" i="2"/>
  <c r="N214" i="2"/>
  <c r="M214" i="2"/>
  <c r="L214" i="2"/>
  <c r="K214" i="2"/>
  <c r="J214" i="2"/>
  <c r="I214" i="2"/>
  <c r="H214" i="2"/>
  <c r="G214" i="2"/>
  <c r="F214" i="2"/>
  <c r="E214" i="2"/>
  <c r="D214" i="2"/>
  <c r="C214" i="2"/>
  <c r="BF213" i="2"/>
  <c r="BE213" i="2"/>
  <c r="BD213" i="2"/>
  <c r="BC213" i="2"/>
  <c r="BB213" i="2"/>
  <c r="BA213" i="2"/>
  <c r="AZ213" i="2"/>
  <c r="AY213" i="2"/>
  <c r="AX213" i="2"/>
  <c r="AW213" i="2"/>
  <c r="AV213" i="2"/>
  <c r="AU213" i="2"/>
  <c r="AT213" i="2"/>
  <c r="AS213" i="2"/>
  <c r="AR213" i="2"/>
  <c r="AQ213" i="2"/>
  <c r="AP213" i="2"/>
  <c r="AO213" i="2"/>
  <c r="AN213" i="2"/>
  <c r="AM213" i="2"/>
  <c r="AL213" i="2"/>
  <c r="AK213" i="2"/>
  <c r="AJ213" i="2"/>
  <c r="AI213" i="2"/>
  <c r="AH213" i="2"/>
  <c r="AG213" i="2"/>
  <c r="AF213" i="2"/>
  <c r="AE213" i="2"/>
  <c r="AD213" i="2"/>
  <c r="AC213" i="2"/>
  <c r="AB213" i="2"/>
  <c r="AA213" i="2"/>
  <c r="Z213" i="2"/>
  <c r="Y213" i="2"/>
  <c r="X213" i="2"/>
  <c r="W213" i="2"/>
  <c r="V213" i="2"/>
  <c r="U213" i="2"/>
  <c r="T213" i="2"/>
  <c r="S213" i="2"/>
  <c r="R213" i="2"/>
  <c r="Q213" i="2"/>
  <c r="P213" i="2"/>
  <c r="O213" i="2"/>
  <c r="N213" i="2"/>
  <c r="M213" i="2"/>
  <c r="L213" i="2"/>
  <c r="K213" i="2"/>
  <c r="J213" i="2"/>
  <c r="I213" i="2"/>
  <c r="H213" i="2"/>
  <c r="G213" i="2"/>
  <c r="F213" i="2"/>
  <c r="E213" i="2"/>
  <c r="D213" i="2"/>
  <c r="C213" i="2"/>
  <c r="BF212" i="2"/>
  <c r="BE212" i="2"/>
  <c r="BD212" i="2"/>
  <c r="BC212" i="2"/>
  <c r="BB212" i="2"/>
  <c r="BA212" i="2"/>
  <c r="AZ212" i="2"/>
  <c r="AY212" i="2"/>
  <c r="AX212" i="2"/>
  <c r="AW212" i="2"/>
  <c r="AV212" i="2"/>
  <c r="AU212" i="2"/>
  <c r="AT212" i="2"/>
  <c r="AS212" i="2"/>
  <c r="AR212" i="2"/>
  <c r="AQ212" i="2"/>
  <c r="AP212" i="2"/>
  <c r="AO212" i="2"/>
  <c r="AN212" i="2"/>
  <c r="AM212" i="2"/>
  <c r="AL212" i="2"/>
  <c r="AK212" i="2"/>
  <c r="AJ212" i="2"/>
  <c r="AI212" i="2"/>
  <c r="AH212" i="2"/>
  <c r="AG212" i="2"/>
  <c r="AF212" i="2"/>
  <c r="AE212" i="2"/>
  <c r="AD212" i="2"/>
  <c r="AC212" i="2"/>
  <c r="AB212" i="2"/>
  <c r="AA212" i="2"/>
  <c r="Z212" i="2"/>
  <c r="Y212" i="2"/>
  <c r="X212" i="2"/>
  <c r="W212" i="2"/>
  <c r="V212" i="2"/>
  <c r="U212" i="2"/>
  <c r="T212" i="2"/>
  <c r="S212" i="2"/>
  <c r="R212" i="2"/>
  <c r="Q212" i="2"/>
  <c r="P212" i="2"/>
  <c r="O212" i="2"/>
  <c r="N212" i="2"/>
  <c r="M212" i="2"/>
  <c r="L212" i="2"/>
  <c r="K212" i="2"/>
  <c r="J212" i="2"/>
  <c r="I212" i="2"/>
  <c r="H212" i="2"/>
  <c r="G212" i="2"/>
  <c r="F212" i="2"/>
  <c r="E212" i="2"/>
  <c r="D212" i="2"/>
  <c r="C212" i="2"/>
  <c r="BF211" i="2"/>
  <c r="BE211" i="2"/>
  <c r="BD211" i="2"/>
  <c r="BC211" i="2"/>
  <c r="BB211" i="2"/>
  <c r="BA211" i="2"/>
  <c r="AZ211" i="2"/>
  <c r="AY211" i="2"/>
  <c r="AX211" i="2"/>
  <c r="AW211" i="2"/>
  <c r="AV211" i="2"/>
  <c r="AU211" i="2"/>
  <c r="AT211" i="2"/>
  <c r="AS211" i="2"/>
  <c r="AR211" i="2"/>
  <c r="AQ211" i="2"/>
  <c r="AP211" i="2"/>
  <c r="AO211" i="2"/>
  <c r="AN211" i="2"/>
  <c r="AM211" i="2"/>
  <c r="AL211" i="2"/>
  <c r="AK211" i="2"/>
  <c r="AJ211" i="2"/>
  <c r="AI211" i="2"/>
  <c r="AH211" i="2"/>
  <c r="AG211" i="2"/>
  <c r="AF211" i="2"/>
  <c r="AE211" i="2"/>
  <c r="AD211" i="2"/>
  <c r="AC211" i="2"/>
  <c r="AB211" i="2"/>
  <c r="AA211" i="2"/>
  <c r="Z211" i="2"/>
  <c r="Y211" i="2"/>
  <c r="X211" i="2"/>
  <c r="W211" i="2"/>
  <c r="V211" i="2"/>
  <c r="U211" i="2"/>
  <c r="T211" i="2"/>
  <c r="S211" i="2"/>
  <c r="R211" i="2"/>
  <c r="Q211" i="2"/>
  <c r="P211" i="2"/>
  <c r="O211" i="2"/>
  <c r="N211" i="2"/>
  <c r="M211" i="2"/>
  <c r="L211" i="2"/>
  <c r="K211" i="2"/>
  <c r="J211" i="2"/>
  <c r="I211" i="2"/>
  <c r="H211" i="2"/>
  <c r="G211" i="2"/>
  <c r="F211" i="2"/>
  <c r="E211" i="2"/>
  <c r="D211" i="2"/>
  <c r="C211" i="2"/>
  <c r="BF208" i="2"/>
  <c r="BE208" i="2"/>
  <c r="BD208" i="2"/>
  <c r="BC208" i="2"/>
  <c r="BB208" i="2"/>
  <c r="BA208" i="2"/>
  <c r="AZ208" i="2"/>
  <c r="AY208" i="2"/>
  <c r="AX208" i="2"/>
  <c r="AW208" i="2"/>
  <c r="AV208" i="2"/>
  <c r="AU208" i="2"/>
  <c r="AT208" i="2"/>
  <c r="AS208" i="2"/>
  <c r="AR208" i="2"/>
  <c r="AQ208" i="2"/>
  <c r="AP208" i="2"/>
  <c r="AO208" i="2"/>
  <c r="AN208" i="2"/>
  <c r="AM208" i="2"/>
  <c r="AL208" i="2"/>
  <c r="AK208" i="2"/>
  <c r="AJ208" i="2"/>
  <c r="AI208" i="2"/>
  <c r="AH208" i="2"/>
  <c r="AG208" i="2"/>
  <c r="AF208" i="2"/>
  <c r="AE208" i="2"/>
  <c r="AD208" i="2"/>
  <c r="AC208" i="2"/>
  <c r="AB208" i="2"/>
  <c r="AA208" i="2"/>
  <c r="Z208" i="2"/>
  <c r="Y208" i="2"/>
  <c r="X208" i="2"/>
  <c r="W208" i="2"/>
  <c r="V208" i="2"/>
  <c r="U208" i="2"/>
  <c r="T208" i="2"/>
  <c r="S208" i="2"/>
  <c r="R208" i="2"/>
  <c r="Q208" i="2"/>
  <c r="P208" i="2"/>
  <c r="O208" i="2"/>
  <c r="N208" i="2"/>
  <c r="M208" i="2"/>
  <c r="L208" i="2"/>
  <c r="K208" i="2"/>
  <c r="J208" i="2"/>
  <c r="I208" i="2"/>
  <c r="H208" i="2"/>
  <c r="G208" i="2"/>
  <c r="F208" i="2"/>
  <c r="E208" i="2"/>
  <c r="D208" i="2"/>
  <c r="C208" i="2"/>
  <c r="BF207" i="2"/>
  <c r="BE207" i="2"/>
  <c r="BD207" i="2"/>
  <c r="BC207" i="2"/>
  <c r="BB207" i="2"/>
  <c r="BA207" i="2"/>
  <c r="AZ207" i="2"/>
  <c r="AY207" i="2"/>
  <c r="AX207" i="2"/>
  <c r="AW207" i="2"/>
  <c r="AV207" i="2"/>
  <c r="AU207" i="2"/>
  <c r="AT207" i="2"/>
  <c r="AS207" i="2"/>
  <c r="AR207" i="2"/>
  <c r="AQ207" i="2"/>
  <c r="AP207" i="2"/>
  <c r="AO207" i="2"/>
  <c r="AN207" i="2"/>
  <c r="AM207" i="2"/>
  <c r="AL207" i="2"/>
  <c r="AK207" i="2"/>
  <c r="AJ207" i="2"/>
  <c r="AI207" i="2"/>
  <c r="AH207" i="2"/>
  <c r="AG207" i="2"/>
  <c r="AF207" i="2"/>
  <c r="AE207" i="2"/>
  <c r="AD207" i="2"/>
  <c r="AC207" i="2"/>
  <c r="AB207" i="2"/>
  <c r="AA207" i="2"/>
  <c r="Z207" i="2"/>
  <c r="Y207" i="2"/>
  <c r="X207" i="2"/>
  <c r="W207" i="2"/>
  <c r="V207" i="2"/>
  <c r="U207" i="2"/>
  <c r="T207" i="2"/>
  <c r="S207" i="2"/>
  <c r="R207" i="2"/>
  <c r="Q207" i="2"/>
  <c r="P207" i="2"/>
  <c r="O207" i="2"/>
  <c r="N207" i="2"/>
  <c r="M207" i="2"/>
  <c r="L207" i="2"/>
  <c r="K207" i="2"/>
  <c r="J207" i="2"/>
  <c r="I207" i="2"/>
  <c r="H207" i="2"/>
  <c r="G207" i="2"/>
  <c r="F207" i="2"/>
  <c r="E207" i="2"/>
  <c r="D207" i="2"/>
  <c r="C207" i="2"/>
  <c r="BF206" i="2"/>
  <c r="BE206" i="2"/>
  <c r="BD206" i="2"/>
  <c r="BC206" i="2"/>
  <c r="BB206" i="2"/>
  <c r="BA206" i="2"/>
  <c r="AZ206" i="2"/>
  <c r="AY206" i="2"/>
  <c r="AX206" i="2"/>
  <c r="AW206" i="2"/>
  <c r="AV206" i="2"/>
  <c r="AU206" i="2"/>
  <c r="AT206" i="2"/>
  <c r="AS206" i="2"/>
  <c r="AR206" i="2"/>
  <c r="AQ206" i="2"/>
  <c r="AP206" i="2"/>
  <c r="AO206" i="2"/>
  <c r="AN206" i="2"/>
  <c r="AM206" i="2"/>
  <c r="AL206" i="2"/>
  <c r="AK206" i="2"/>
  <c r="AJ206" i="2"/>
  <c r="AI206" i="2"/>
  <c r="AH206" i="2"/>
  <c r="AG206" i="2"/>
  <c r="AF206" i="2"/>
  <c r="AE206" i="2"/>
  <c r="AD206" i="2"/>
  <c r="AC206" i="2"/>
  <c r="AB206" i="2"/>
  <c r="AA206" i="2"/>
  <c r="Z206" i="2"/>
  <c r="Y206" i="2"/>
  <c r="X206" i="2"/>
  <c r="W206" i="2"/>
  <c r="V206" i="2"/>
  <c r="U206" i="2"/>
  <c r="T206" i="2"/>
  <c r="S206" i="2"/>
  <c r="R206" i="2"/>
  <c r="Q206" i="2"/>
  <c r="P206" i="2"/>
  <c r="O206" i="2"/>
  <c r="N206" i="2"/>
  <c r="M206" i="2"/>
  <c r="L206" i="2"/>
  <c r="K206" i="2"/>
  <c r="J206" i="2"/>
  <c r="I206" i="2"/>
  <c r="H206" i="2"/>
  <c r="G206" i="2"/>
  <c r="F206" i="2"/>
  <c r="E206" i="2"/>
  <c r="D206" i="2"/>
  <c r="C206" i="2"/>
  <c r="BF205" i="2"/>
  <c r="BE205" i="2"/>
  <c r="BD205" i="2"/>
  <c r="BC205" i="2"/>
  <c r="BB205" i="2"/>
  <c r="BA205" i="2"/>
  <c r="AZ205" i="2"/>
  <c r="AY205" i="2"/>
  <c r="AX205" i="2"/>
  <c r="AW205" i="2"/>
  <c r="AV205" i="2"/>
  <c r="AU205" i="2"/>
  <c r="AT205" i="2"/>
  <c r="AS205" i="2"/>
  <c r="AR205" i="2"/>
  <c r="AQ205" i="2"/>
  <c r="AP205" i="2"/>
  <c r="AO205" i="2"/>
  <c r="AN205" i="2"/>
  <c r="AM205" i="2"/>
  <c r="AL205" i="2"/>
  <c r="AK205" i="2"/>
  <c r="AJ205" i="2"/>
  <c r="AI205" i="2"/>
  <c r="AH205" i="2"/>
  <c r="AG205" i="2"/>
  <c r="AF205" i="2"/>
  <c r="AE205" i="2"/>
  <c r="AD205" i="2"/>
  <c r="AC205" i="2"/>
  <c r="AB205" i="2"/>
  <c r="AA205" i="2"/>
  <c r="Z205" i="2"/>
  <c r="Y205" i="2"/>
  <c r="X205" i="2"/>
  <c r="W205" i="2"/>
  <c r="V205" i="2"/>
  <c r="U205" i="2"/>
  <c r="T205" i="2"/>
  <c r="S205" i="2"/>
  <c r="R205" i="2"/>
  <c r="Q205" i="2"/>
  <c r="P205" i="2"/>
  <c r="O205" i="2"/>
  <c r="N205" i="2"/>
  <c r="M205" i="2"/>
  <c r="L205" i="2"/>
  <c r="K205" i="2"/>
  <c r="J205" i="2"/>
  <c r="I205" i="2"/>
  <c r="H205" i="2"/>
  <c r="G205" i="2"/>
  <c r="F205" i="2"/>
  <c r="E205" i="2"/>
  <c r="D205" i="2"/>
  <c r="C205" i="2"/>
  <c r="BF204" i="2"/>
  <c r="BE204" i="2"/>
  <c r="BD204" i="2"/>
  <c r="BC204" i="2"/>
  <c r="BB204" i="2"/>
  <c r="BA204" i="2"/>
  <c r="AZ204" i="2"/>
  <c r="AY204" i="2"/>
  <c r="AX204" i="2"/>
  <c r="AW204" i="2"/>
  <c r="AV204" i="2"/>
  <c r="AU204" i="2"/>
  <c r="AT204" i="2"/>
  <c r="AS204" i="2"/>
  <c r="AR204" i="2"/>
  <c r="AQ204" i="2"/>
  <c r="AP204" i="2"/>
  <c r="AO204" i="2"/>
  <c r="AN204" i="2"/>
  <c r="AM204" i="2"/>
  <c r="AL204" i="2"/>
  <c r="AK204" i="2"/>
  <c r="AJ204" i="2"/>
  <c r="AI204" i="2"/>
  <c r="AH204" i="2"/>
  <c r="AG204" i="2"/>
  <c r="AF204" i="2"/>
  <c r="AE204" i="2"/>
  <c r="AD204" i="2"/>
  <c r="AC204" i="2"/>
  <c r="AB204" i="2"/>
  <c r="AA204" i="2"/>
  <c r="Z204" i="2"/>
  <c r="Y204" i="2"/>
  <c r="X204" i="2"/>
  <c r="W204" i="2"/>
  <c r="V204" i="2"/>
  <c r="U204" i="2"/>
  <c r="T204" i="2"/>
  <c r="S204" i="2"/>
  <c r="R204" i="2"/>
  <c r="Q204" i="2"/>
  <c r="P204" i="2"/>
  <c r="O204" i="2"/>
  <c r="N204" i="2"/>
  <c r="M204" i="2"/>
  <c r="L204" i="2"/>
  <c r="K204" i="2"/>
  <c r="J204" i="2"/>
  <c r="I204" i="2"/>
  <c r="H204" i="2"/>
  <c r="G204" i="2"/>
  <c r="F204" i="2"/>
  <c r="E204" i="2"/>
  <c r="D204" i="2"/>
  <c r="C204" i="2"/>
  <c r="BF202" i="2"/>
  <c r="BE202" i="2"/>
  <c r="BD202" i="2"/>
  <c r="BC202" i="2"/>
  <c r="BB202" i="2"/>
  <c r="BA202" i="2"/>
  <c r="AZ202" i="2"/>
  <c r="AY202" i="2"/>
  <c r="AX202" i="2"/>
  <c r="AW202" i="2"/>
  <c r="AV202" i="2"/>
  <c r="AU202" i="2"/>
  <c r="AT202" i="2"/>
  <c r="AS202" i="2"/>
  <c r="AR202" i="2"/>
  <c r="AQ202" i="2"/>
  <c r="AP202" i="2"/>
  <c r="AO202" i="2"/>
  <c r="AN202" i="2"/>
  <c r="AM202" i="2"/>
  <c r="AL202" i="2"/>
  <c r="AK202" i="2"/>
  <c r="AJ202" i="2"/>
  <c r="AI202" i="2"/>
  <c r="AH202" i="2"/>
  <c r="AG202" i="2"/>
  <c r="AF202" i="2"/>
  <c r="AE202" i="2"/>
  <c r="AD202" i="2"/>
  <c r="AC202" i="2"/>
  <c r="AB202" i="2"/>
  <c r="AA202" i="2"/>
  <c r="Z202" i="2"/>
  <c r="Y202" i="2"/>
  <c r="X202" i="2"/>
  <c r="W202" i="2"/>
  <c r="V202" i="2"/>
  <c r="U202" i="2"/>
  <c r="T202" i="2"/>
  <c r="S202" i="2"/>
  <c r="R202" i="2"/>
  <c r="Q202" i="2"/>
  <c r="P202" i="2"/>
  <c r="O202" i="2"/>
  <c r="N202" i="2"/>
  <c r="M202" i="2"/>
  <c r="L202" i="2"/>
  <c r="K202" i="2"/>
  <c r="J202" i="2"/>
  <c r="I202" i="2"/>
  <c r="H202" i="2"/>
  <c r="G202" i="2"/>
  <c r="F202" i="2"/>
  <c r="E202" i="2"/>
  <c r="D202" i="2"/>
  <c r="C202" i="2"/>
  <c r="BF201" i="2"/>
  <c r="BE201" i="2"/>
  <c r="BD201" i="2"/>
  <c r="BC201" i="2"/>
  <c r="BB201" i="2"/>
  <c r="BA201" i="2"/>
  <c r="AZ201" i="2"/>
  <c r="AY201" i="2"/>
  <c r="AX201" i="2"/>
  <c r="AW201" i="2"/>
  <c r="AV201" i="2"/>
  <c r="AU201" i="2"/>
  <c r="AT201" i="2"/>
  <c r="AS201" i="2"/>
  <c r="AR201" i="2"/>
  <c r="AQ201" i="2"/>
  <c r="AP201" i="2"/>
  <c r="AO201" i="2"/>
  <c r="AN201" i="2"/>
  <c r="AM201" i="2"/>
  <c r="AL201" i="2"/>
  <c r="AK201" i="2"/>
  <c r="AJ201" i="2"/>
  <c r="AI201" i="2"/>
  <c r="AH201" i="2"/>
  <c r="AG201" i="2"/>
  <c r="AF201" i="2"/>
  <c r="AE201" i="2"/>
  <c r="AD201" i="2"/>
  <c r="AC201" i="2"/>
  <c r="AB201" i="2"/>
  <c r="AA201" i="2"/>
  <c r="Z201" i="2"/>
  <c r="Y201" i="2"/>
  <c r="X201" i="2"/>
  <c r="W201" i="2"/>
  <c r="V201" i="2"/>
  <c r="U201" i="2"/>
  <c r="T201" i="2"/>
  <c r="S201" i="2"/>
  <c r="R201" i="2"/>
  <c r="Q201" i="2"/>
  <c r="P201" i="2"/>
  <c r="O201" i="2"/>
  <c r="N201" i="2"/>
  <c r="M201" i="2"/>
  <c r="L201" i="2"/>
  <c r="K201" i="2"/>
  <c r="J201" i="2"/>
  <c r="I201" i="2"/>
  <c r="H201" i="2"/>
  <c r="G201" i="2"/>
  <c r="F201" i="2"/>
  <c r="E201" i="2"/>
  <c r="D201" i="2"/>
  <c r="C201" i="2"/>
  <c r="BF200" i="2"/>
  <c r="BE200" i="2"/>
  <c r="BD200" i="2"/>
  <c r="BC200" i="2"/>
  <c r="BB200" i="2"/>
  <c r="BA200" i="2"/>
  <c r="AZ200" i="2"/>
  <c r="AY200" i="2"/>
  <c r="AX200" i="2"/>
  <c r="AW200" i="2"/>
  <c r="AV200" i="2"/>
  <c r="AU200" i="2"/>
  <c r="AT200" i="2"/>
  <c r="AS200" i="2"/>
  <c r="AR200" i="2"/>
  <c r="AQ200" i="2"/>
  <c r="AP200" i="2"/>
  <c r="AO200" i="2"/>
  <c r="AN200" i="2"/>
  <c r="AM200" i="2"/>
  <c r="AL200" i="2"/>
  <c r="AK200" i="2"/>
  <c r="AJ200" i="2"/>
  <c r="AI200" i="2"/>
  <c r="AH200" i="2"/>
  <c r="AG200" i="2"/>
  <c r="AF200" i="2"/>
  <c r="AE200" i="2"/>
  <c r="AD200" i="2"/>
  <c r="AC200" i="2"/>
  <c r="AB200" i="2"/>
  <c r="AA200" i="2"/>
  <c r="Z200" i="2"/>
  <c r="Y200" i="2"/>
  <c r="X200" i="2"/>
  <c r="W200" i="2"/>
  <c r="V200" i="2"/>
  <c r="U200" i="2"/>
  <c r="T200" i="2"/>
  <c r="S200" i="2"/>
  <c r="R200" i="2"/>
  <c r="Q200" i="2"/>
  <c r="P200" i="2"/>
  <c r="O200" i="2"/>
  <c r="N200" i="2"/>
  <c r="M200" i="2"/>
  <c r="L200" i="2"/>
  <c r="K200" i="2"/>
  <c r="J200" i="2"/>
  <c r="I200" i="2"/>
  <c r="H200" i="2"/>
  <c r="G200" i="2"/>
  <c r="F200" i="2"/>
  <c r="E200" i="2"/>
  <c r="D200" i="2"/>
  <c r="C200" i="2"/>
  <c r="BF199" i="2"/>
  <c r="BE199" i="2"/>
  <c r="BD199" i="2"/>
  <c r="BC199" i="2"/>
  <c r="BB199" i="2"/>
  <c r="BA199" i="2"/>
  <c r="AZ199" i="2"/>
  <c r="AY199" i="2"/>
  <c r="AX199" i="2"/>
  <c r="AW199" i="2"/>
  <c r="AV199" i="2"/>
  <c r="AU199" i="2"/>
  <c r="AT199" i="2"/>
  <c r="AS199" i="2"/>
  <c r="AR199" i="2"/>
  <c r="AQ199" i="2"/>
  <c r="AP199" i="2"/>
  <c r="AO199" i="2"/>
  <c r="AN199" i="2"/>
  <c r="AM199" i="2"/>
  <c r="AL199" i="2"/>
  <c r="AK199" i="2"/>
  <c r="AJ199" i="2"/>
  <c r="AI199" i="2"/>
  <c r="AH199" i="2"/>
  <c r="AG199" i="2"/>
  <c r="AF199" i="2"/>
  <c r="AE199" i="2"/>
  <c r="AD199" i="2"/>
  <c r="AC199" i="2"/>
  <c r="AB199" i="2"/>
  <c r="AA199" i="2"/>
  <c r="Z199" i="2"/>
  <c r="Y199" i="2"/>
  <c r="X199" i="2"/>
  <c r="W199" i="2"/>
  <c r="V199" i="2"/>
  <c r="U199" i="2"/>
  <c r="T199" i="2"/>
  <c r="S199" i="2"/>
  <c r="R199" i="2"/>
  <c r="Q199" i="2"/>
  <c r="P199" i="2"/>
  <c r="O199" i="2"/>
  <c r="N199" i="2"/>
  <c r="M199" i="2"/>
  <c r="L199" i="2"/>
  <c r="K199" i="2"/>
  <c r="J199" i="2"/>
  <c r="I199" i="2"/>
  <c r="H199" i="2"/>
  <c r="G199" i="2"/>
  <c r="F199" i="2"/>
  <c r="E199" i="2"/>
  <c r="D199" i="2"/>
  <c r="C199" i="2"/>
  <c r="BF196" i="2"/>
  <c r="BE196" i="2"/>
  <c r="BD196" i="2"/>
  <c r="BC196" i="2"/>
  <c r="BB196" i="2"/>
  <c r="BA196" i="2"/>
  <c r="AZ196" i="2"/>
  <c r="AY196" i="2"/>
  <c r="AX196" i="2"/>
  <c r="AW196" i="2"/>
  <c r="AV196" i="2"/>
  <c r="AU196" i="2"/>
  <c r="AT196" i="2"/>
  <c r="AS196" i="2"/>
  <c r="AR196" i="2"/>
  <c r="AQ196" i="2"/>
  <c r="AP196" i="2"/>
  <c r="AO196" i="2"/>
  <c r="AN196" i="2"/>
  <c r="AM196" i="2"/>
  <c r="AL196" i="2"/>
  <c r="AK196" i="2"/>
  <c r="AJ196" i="2"/>
  <c r="AI196" i="2"/>
  <c r="AH196" i="2"/>
  <c r="AG196" i="2"/>
  <c r="AF196" i="2"/>
  <c r="AE196" i="2"/>
  <c r="AD196" i="2"/>
  <c r="AC196" i="2"/>
  <c r="AB196" i="2"/>
  <c r="AA196" i="2"/>
  <c r="Z196" i="2"/>
  <c r="Y196" i="2"/>
  <c r="X196" i="2"/>
  <c r="W196" i="2"/>
  <c r="V196" i="2"/>
  <c r="U196" i="2"/>
  <c r="T196" i="2"/>
  <c r="S196" i="2"/>
  <c r="R196" i="2"/>
  <c r="Q196" i="2"/>
  <c r="P196" i="2"/>
  <c r="O196" i="2"/>
  <c r="N196" i="2"/>
  <c r="M196" i="2"/>
  <c r="L196" i="2"/>
  <c r="K196" i="2"/>
  <c r="J196" i="2"/>
  <c r="I196" i="2"/>
  <c r="H196" i="2"/>
  <c r="G196" i="2"/>
  <c r="F196" i="2"/>
  <c r="E196" i="2"/>
  <c r="D196" i="2"/>
  <c r="C196" i="2"/>
  <c r="BF195" i="2"/>
  <c r="BE195" i="2"/>
  <c r="BD195" i="2"/>
  <c r="BC195" i="2"/>
  <c r="BB195" i="2"/>
  <c r="BA195" i="2"/>
  <c r="AZ195" i="2"/>
  <c r="AY195" i="2"/>
  <c r="AX195" i="2"/>
  <c r="AW195" i="2"/>
  <c r="AV195" i="2"/>
  <c r="AU195" i="2"/>
  <c r="AT195" i="2"/>
  <c r="AS195" i="2"/>
  <c r="AR195" i="2"/>
  <c r="AQ195" i="2"/>
  <c r="AP195" i="2"/>
  <c r="AO195" i="2"/>
  <c r="AN195" i="2"/>
  <c r="AM195" i="2"/>
  <c r="AL195" i="2"/>
  <c r="AK195" i="2"/>
  <c r="AJ195" i="2"/>
  <c r="AI195" i="2"/>
  <c r="AH195" i="2"/>
  <c r="AG195" i="2"/>
  <c r="AF195" i="2"/>
  <c r="AE195" i="2"/>
  <c r="AD195" i="2"/>
  <c r="AC195" i="2"/>
  <c r="AB195" i="2"/>
  <c r="AA195" i="2"/>
  <c r="Z195" i="2"/>
  <c r="Y195" i="2"/>
  <c r="X195" i="2"/>
  <c r="W195" i="2"/>
  <c r="V195" i="2"/>
  <c r="U195" i="2"/>
  <c r="T195" i="2"/>
  <c r="S195" i="2"/>
  <c r="R195" i="2"/>
  <c r="Q195" i="2"/>
  <c r="P195" i="2"/>
  <c r="O195" i="2"/>
  <c r="N195" i="2"/>
  <c r="M195" i="2"/>
  <c r="L195" i="2"/>
  <c r="K195" i="2"/>
  <c r="J195" i="2"/>
  <c r="I195" i="2"/>
  <c r="H195" i="2"/>
  <c r="G195" i="2"/>
  <c r="F195" i="2"/>
  <c r="E195" i="2"/>
  <c r="D195" i="2"/>
  <c r="C195" i="2"/>
  <c r="BF194" i="2"/>
  <c r="BE194" i="2"/>
  <c r="BD194" i="2"/>
  <c r="BC194" i="2"/>
  <c r="BB194" i="2"/>
  <c r="BA194" i="2"/>
  <c r="AZ194" i="2"/>
  <c r="AY194" i="2"/>
  <c r="AX194" i="2"/>
  <c r="AW194" i="2"/>
  <c r="AV194" i="2"/>
  <c r="AU194" i="2"/>
  <c r="AT194" i="2"/>
  <c r="AS194" i="2"/>
  <c r="AR194" i="2"/>
  <c r="AQ194" i="2"/>
  <c r="AP194" i="2"/>
  <c r="AO194" i="2"/>
  <c r="AN194" i="2"/>
  <c r="AM194" i="2"/>
  <c r="AL194" i="2"/>
  <c r="AK194" i="2"/>
  <c r="AJ194" i="2"/>
  <c r="AI194" i="2"/>
  <c r="AH194" i="2"/>
  <c r="AG194" i="2"/>
  <c r="AF194" i="2"/>
  <c r="AE194" i="2"/>
  <c r="AD194" i="2"/>
  <c r="AC194" i="2"/>
  <c r="AB194" i="2"/>
  <c r="AA194" i="2"/>
  <c r="Z194" i="2"/>
  <c r="Y194" i="2"/>
  <c r="X194" i="2"/>
  <c r="W194" i="2"/>
  <c r="V194" i="2"/>
  <c r="U194" i="2"/>
  <c r="T194" i="2"/>
  <c r="S194" i="2"/>
  <c r="R194" i="2"/>
  <c r="Q194" i="2"/>
  <c r="P194" i="2"/>
  <c r="O194" i="2"/>
  <c r="N194" i="2"/>
  <c r="M194" i="2"/>
  <c r="L194" i="2"/>
  <c r="K194" i="2"/>
  <c r="J194" i="2"/>
  <c r="I194" i="2"/>
  <c r="H194" i="2"/>
  <c r="G194" i="2"/>
  <c r="F194" i="2"/>
  <c r="E194" i="2"/>
  <c r="D194" i="2"/>
  <c r="C194" i="2"/>
  <c r="BF193" i="2"/>
  <c r="BE193" i="2"/>
  <c r="BD193" i="2"/>
  <c r="BC193" i="2"/>
  <c r="BB193" i="2"/>
  <c r="BA193" i="2"/>
  <c r="AZ193" i="2"/>
  <c r="AY193" i="2"/>
  <c r="AX193" i="2"/>
  <c r="AW193" i="2"/>
  <c r="AV193" i="2"/>
  <c r="AU193" i="2"/>
  <c r="AT193" i="2"/>
  <c r="AS193" i="2"/>
  <c r="AR193" i="2"/>
  <c r="AQ193" i="2"/>
  <c r="AP193" i="2"/>
  <c r="AO193" i="2"/>
  <c r="AN193" i="2"/>
  <c r="AM193" i="2"/>
  <c r="AL193" i="2"/>
  <c r="AK193" i="2"/>
  <c r="AJ193" i="2"/>
  <c r="AI193" i="2"/>
  <c r="AH193" i="2"/>
  <c r="AG193" i="2"/>
  <c r="AF193" i="2"/>
  <c r="AE193" i="2"/>
  <c r="AD193" i="2"/>
  <c r="AC193" i="2"/>
  <c r="AB193" i="2"/>
  <c r="AA193" i="2"/>
  <c r="Z193" i="2"/>
  <c r="Y193" i="2"/>
  <c r="X193" i="2"/>
  <c r="W193" i="2"/>
  <c r="V193" i="2"/>
  <c r="U193" i="2"/>
  <c r="T193" i="2"/>
  <c r="S193" i="2"/>
  <c r="R193" i="2"/>
  <c r="Q193" i="2"/>
  <c r="P193" i="2"/>
  <c r="O193" i="2"/>
  <c r="N193" i="2"/>
  <c r="M193" i="2"/>
  <c r="L193" i="2"/>
  <c r="K193" i="2"/>
  <c r="J193" i="2"/>
  <c r="I193" i="2"/>
  <c r="H193" i="2"/>
  <c r="G193" i="2"/>
  <c r="F193" i="2"/>
  <c r="E193" i="2"/>
  <c r="D193" i="2"/>
  <c r="C193" i="2"/>
  <c r="BF192" i="2"/>
  <c r="BE192" i="2"/>
  <c r="BD192" i="2"/>
  <c r="BC192" i="2"/>
  <c r="BB192" i="2"/>
  <c r="BA192" i="2"/>
  <c r="AZ192" i="2"/>
  <c r="AY192" i="2"/>
  <c r="AX192" i="2"/>
  <c r="AW192" i="2"/>
  <c r="AV192" i="2"/>
  <c r="AU192" i="2"/>
  <c r="AT192" i="2"/>
  <c r="AS192" i="2"/>
  <c r="AR192" i="2"/>
  <c r="AQ192" i="2"/>
  <c r="AP192" i="2"/>
  <c r="AO192" i="2"/>
  <c r="AN192" i="2"/>
  <c r="AM192" i="2"/>
  <c r="AL192" i="2"/>
  <c r="AK192" i="2"/>
  <c r="AJ192" i="2"/>
  <c r="AI192" i="2"/>
  <c r="AH192" i="2"/>
  <c r="AG192" i="2"/>
  <c r="AF192" i="2"/>
  <c r="AE192" i="2"/>
  <c r="AD192" i="2"/>
  <c r="AC192" i="2"/>
  <c r="AB192" i="2"/>
  <c r="AA192" i="2"/>
  <c r="Z192" i="2"/>
  <c r="Y192" i="2"/>
  <c r="X192" i="2"/>
  <c r="W192" i="2"/>
  <c r="V192" i="2"/>
  <c r="U192" i="2"/>
  <c r="T192" i="2"/>
  <c r="S192" i="2"/>
  <c r="R192" i="2"/>
  <c r="Q192" i="2"/>
  <c r="P192" i="2"/>
  <c r="O192" i="2"/>
  <c r="N192" i="2"/>
  <c r="M192" i="2"/>
  <c r="L192" i="2"/>
  <c r="K192" i="2"/>
  <c r="J192" i="2"/>
  <c r="I192" i="2"/>
  <c r="H192" i="2"/>
  <c r="G192" i="2"/>
  <c r="F192" i="2"/>
  <c r="E192" i="2"/>
  <c r="D192" i="2"/>
  <c r="C192" i="2"/>
  <c r="BF103" i="2"/>
  <c r="BE103" i="2"/>
  <c r="BD103" i="2"/>
  <c r="BC103" i="2"/>
  <c r="BB103" i="2"/>
  <c r="BA103" i="2"/>
  <c r="AZ103" i="2"/>
  <c r="AY103" i="2"/>
  <c r="AX103" i="2"/>
  <c r="AW103" i="2"/>
  <c r="AV103" i="2"/>
  <c r="AU103" i="2"/>
  <c r="AT103" i="2"/>
  <c r="AS103" i="2"/>
  <c r="AR103" i="2"/>
  <c r="AQ103" i="2"/>
  <c r="AP103" i="2"/>
  <c r="AO103" i="2"/>
  <c r="AN103" i="2"/>
  <c r="AM103" i="2"/>
  <c r="AL103" i="2"/>
  <c r="AK103" i="2"/>
  <c r="AJ103" i="2"/>
  <c r="AI103" i="2"/>
  <c r="AH103" i="2"/>
  <c r="AG103" i="2"/>
  <c r="AF103" i="2"/>
  <c r="AE103" i="2"/>
  <c r="AD103" i="2"/>
  <c r="AC103" i="2"/>
  <c r="AB103" i="2"/>
  <c r="AA103" i="2"/>
  <c r="Z103" i="2"/>
  <c r="Y103" i="2"/>
  <c r="X103" i="2"/>
  <c r="W103" i="2"/>
  <c r="V103" i="2"/>
  <c r="U103" i="2"/>
  <c r="T103" i="2"/>
  <c r="S103" i="2"/>
  <c r="R103" i="2"/>
  <c r="Q103" i="2"/>
  <c r="P103" i="2"/>
  <c r="O103" i="2"/>
  <c r="N103" i="2"/>
  <c r="M103" i="2"/>
  <c r="L103" i="2"/>
  <c r="K103" i="2"/>
  <c r="J103" i="2"/>
  <c r="I103" i="2"/>
  <c r="H103" i="2"/>
  <c r="G103" i="2"/>
  <c r="F103" i="2"/>
  <c r="E103" i="2"/>
  <c r="D103" i="2"/>
  <c r="C103" i="2"/>
  <c r="BF102" i="2"/>
  <c r="BE102" i="2"/>
  <c r="BD102" i="2"/>
  <c r="BC102" i="2"/>
  <c r="BB102" i="2"/>
  <c r="BA102" i="2"/>
  <c r="AZ102" i="2"/>
  <c r="AY102" i="2"/>
  <c r="AX102" i="2"/>
  <c r="AW102" i="2"/>
  <c r="AV102" i="2"/>
  <c r="AU102" i="2"/>
  <c r="AT102" i="2"/>
  <c r="AS102" i="2"/>
  <c r="AR102" i="2"/>
  <c r="AQ102" i="2"/>
  <c r="AP102" i="2"/>
  <c r="AO102" i="2"/>
  <c r="AN102" i="2"/>
  <c r="AM102" i="2"/>
  <c r="AL102" i="2"/>
  <c r="AK102" i="2"/>
  <c r="AJ102" i="2"/>
  <c r="AI102" i="2"/>
  <c r="AH102" i="2"/>
  <c r="AG102" i="2"/>
  <c r="AF102" i="2"/>
  <c r="AE102" i="2"/>
  <c r="AD102" i="2"/>
  <c r="AC102" i="2"/>
  <c r="AB102" i="2"/>
  <c r="AA102" i="2"/>
  <c r="Z102" i="2"/>
  <c r="Y102" i="2"/>
  <c r="X102" i="2"/>
  <c r="W102" i="2"/>
  <c r="V102" i="2"/>
  <c r="U102" i="2"/>
  <c r="T102" i="2"/>
  <c r="S102" i="2"/>
  <c r="R102" i="2"/>
  <c r="Q102" i="2"/>
  <c r="P102" i="2"/>
  <c r="O102" i="2"/>
  <c r="N102" i="2"/>
  <c r="M102" i="2"/>
  <c r="L102" i="2"/>
  <c r="K102" i="2"/>
  <c r="J102" i="2"/>
  <c r="I102" i="2"/>
  <c r="H102" i="2"/>
  <c r="G102" i="2"/>
  <c r="F102" i="2"/>
  <c r="E102" i="2"/>
  <c r="D102" i="2"/>
  <c r="C102" i="2"/>
  <c r="BF101" i="2"/>
  <c r="BE101" i="2"/>
  <c r="BD101" i="2"/>
  <c r="BC101" i="2"/>
  <c r="BB101" i="2"/>
  <c r="BA101" i="2"/>
  <c r="AZ101" i="2"/>
  <c r="AY101" i="2"/>
  <c r="AX101" i="2"/>
  <c r="AW101" i="2"/>
  <c r="AV101" i="2"/>
  <c r="AU101" i="2"/>
  <c r="AT101" i="2"/>
  <c r="AS101" i="2"/>
  <c r="AR101" i="2"/>
  <c r="AQ101" i="2"/>
  <c r="AP101" i="2"/>
  <c r="AO101" i="2"/>
  <c r="AN101" i="2"/>
  <c r="AM101" i="2"/>
  <c r="AL101" i="2"/>
  <c r="AK101" i="2"/>
  <c r="AJ101" i="2"/>
  <c r="AI101" i="2"/>
  <c r="AH101" i="2"/>
  <c r="AG101" i="2"/>
  <c r="AF101" i="2"/>
  <c r="AE101" i="2"/>
  <c r="AD101" i="2"/>
  <c r="AC101" i="2"/>
  <c r="AB101" i="2"/>
  <c r="AA101" i="2"/>
  <c r="Z101" i="2"/>
  <c r="Y101" i="2"/>
  <c r="X101" i="2"/>
  <c r="W101" i="2"/>
  <c r="V101" i="2"/>
  <c r="U101" i="2"/>
  <c r="T101" i="2"/>
  <c r="S101" i="2"/>
  <c r="R101" i="2"/>
  <c r="Q101" i="2"/>
  <c r="P101" i="2"/>
  <c r="O101" i="2"/>
  <c r="N101" i="2"/>
  <c r="M101" i="2"/>
  <c r="L101" i="2"/>
  <c r="K101" i="2"/>
  <c r="J101" i="2"/>
  <c r="I101" i="2"/>
  <c r="H101" i="2"/>
  <c r="G101" i="2"/>
  <c r="F101" i="2"/>
  <c r="E101" i="2"/>
  <c r="D101" i="2"/>
  <c r="C101" i="2"/>
  <c r="BF100" i="2"/>
  <c r="BE100" i="2"/>
  <c r="BD100" i="2"/>
  <c r="BC100" i="2"/>
  <c r="BB100" i="2"/>
  <c r="BA100" i="2"/>
  <c r="AZ100" i="2"/>
  <c r="AY100" i="2"/>
  <c r="AX100" i="2"/>
  <c r="AW100" i="2"/>
  <c r="AV100" i="2"/>
  <c r="AU100" i="2"/>
  <c r="AT100" i="2"/>
  <c r="AS100" i="2"/>
  <c r="AR100" i="2"/>
  <c r="AQ100" i="2"/>
  <c r="AP100" i="2"/>
  <c r="AO100" i="2"/>
  <c r="AN100" i="2"/>
  <c r="AM100" i="2"/>
  <c r="AL100" i="2"/>
  <c r="AK100" i="2"/>
  <c r="AJ100" i="2"/>
  <c r="AI100" i="2"/>
  <c r="AH100" i="2"/>
  <c r="AG100" i="2"/>
  <c r="AF100" i="2"/>
  <c r="AE100" i="2"/>
  <c r="AD100" i="2"/>
  <c r="AC100" i="2"/>
  <c r="AB100" i="2"/>
  <c r="AA100" i="2"/>
  <c r="Z100" i="2"/>
  <c r="Y100" i="2"/>
  <c r="X100" i="2"/>
  <c r="W100" i="2"/>
  <c r="V100" i="2"/>
  <c r="U100" i="2"/>
  <c r="T100" i="2"/>
  <c r="S100" i="2"/>
  <c r="R100" i="2"/>
  <c r="Q100" i="2"/>
  <c r="P100" i="2"/>
  <c r="O100" i="2"/>
  <c r="N100" i="2"/>
  <c r="M100" i="2"/>
  <c r="L100" i="2"/>
  <c r="K100" i="2"/>
  <c r="J100" i="2"/>
  <c r="I100" i="2"/>
  <c r="H100" i="2"/>
  <c r="G100" i="2"/>
  <c r="F100" i="2"/>
  <c r="E100" i="2"/>
  <c r="D100" i="2"/>
  <c r="C100" i="2"/>
  <c r="BF97" i="2"/>
  <c r="BE97" i="2"/>
  <c r="BD97" i="2"/>
  <c r="BC97" i="2"/>
  <c r="BB97" i="2"/>
  <c r="BA97" i="2"/>
  <c r="AZ97" i="2"/>
  <c r="AY97" i="2"/>
  <c r="AX97" i="2"/>
  <c r="AW97" i="2"/>
  <c r="AV97" i="2"/>
  <c r="AU97" i="2"/>
  <c r="AT97" i="2"/>
  <c r="AS97" i="2"/>
  <c r="AR97" i="2"/>
  <c r="AQ97" i="2"/>
  <c r="AP97" i="2"/>
  <c r="AO97" i="2"/>
  <c r="AN97" i="2"/>
  <c r="AM97" i="2"/>
  <c r="AL97" i="2"/>
  <c r="AK97" i="2"/>
  <c r="AJ97" i="2"/>
  <c r="AI97" i="2"/>
  <c r="AH97" i="2"/>
  <c r="AG97" i="2"/>
  <c r="AF97" i="2"/>
  <c r="AE97" i="2"/>
  <c r="AD97" i="2"/>
  <c r="AC97" i="2"/>
  <c r="AB97" i="2"/>
  <c r="AA97" i="2"/>
  <c r="Z97" i="2"/>
  <c r="Y97" i="2"/>
  <c r="X97" i="2"/>
  <c r="W97" i="2"/>
  <c r="V97" i="2"/>
  <c r="U97" i="2"/>
  <c r="T97" i="2"/>
  <c r="S97" i="2"/>
  <c r="R97" i="2"/>
  <c r="Q97" i="2"/>
  <c r="P97" i="2"/>
  <c r="O97" i="2"/>
  <c r="N97" i="2"/>
  <c r="M97" i="2"/>
  <c r="L97" i="2"/>
  <c r="K97" i="2"/>
  <c r="J97" i="2"/>
  <c r="I97" i="2"/>
  <c r="H97" i="2"/>
  <c r="G97" i="2"/>
  <c r="F97" i="2"/>
  <c r="E97" i="2"/>
  <c r="D97" i="2"/>
  <c r="C97" i="2"/>
  <c r="BF96" i="2"/>
  <c r="BE96" i="2"/>
  <c r="BD96" i="2"/>
  <c r="BC96" i="2"/>
  <c r="BB96" i="2"/>
  <c r="BA96" i="2"/>
  <c r="AZ96" i="2"/>
  <c r="AY96" i="2"/>
  <c r="AX96" i="2"/>
  <c r="AW96" i="2"/>
  <c r="AV96" i="2"/>
  <c r="AU96" i="2"/>
  <c r="AT96" i="2"/>
  <c r="AS96" i="2"/>
  <c r="AR96" i="2"/>
  <c r="AQ96" i="2"/>
  <c r="AP96" i="2"/>
  <c r="AO96" i="2"/>
  <c r="AN96" i="2"/>
  <c r="AM96" i="2"/>
  <c r="AL96" i="2"/>
  <c r="AK96" i="2"/>
  <c r="AJ96" i="2"/>
  <c r="AI96" i="2"/>
  <c r="AH96" i="2"/>
  <c r="AG96" i="2"/>
  <c r="AF96" i="2"/>
  <c r="AE96" i="2"/>
  <c r="AD96" i="2"/>
  <c r="AC96" i="2"/>
  <c r="AB96" i="2"/>
  <c r="AA96" i="2"/>
  <c r="Z96" i="2"/>
  <c r="Y96" i="2"/>
  <c r="X96" i="2"/>
  <c r="W96" i="2"/>
  <c r="V96" i="2"/>
  <c r="U96" i="2"/>
  <c r="T96" i="2"/>
  <c r="S96" i="2"/>
  <c r="R96" i="2"/>
  <c r="Q96" i="2"/>
  <c r="P96" i="2"/>
  <c r="O96" i="2"/>
  <c r="N96" i="2"/>
  <c r="M96" i="2"/>
  <c r="L96" i="2"/>
  <c r="K96" i="2"/>
  <c r="J96" i="2"/>
  <c r="I96" i="2"/>
  <c r="H96" i="2"/>
  <c r="G96" i="2"/>
  <c r="F96" i="2"/>
  <c r="E96" i="2"/>
  <c r="D96" i="2"/>
  <c r="C96" i="2"/>
  <c r="BF95" i="2"/>
  <c r="BE95" i="2"/>
  <c r="BD95" i="2"/>
  <c r="BC95" i="2"/>
  <c r="BB95" i="2"/>
  <c r="BA95" i="2"/>
  <c r="AZ95" i="2"/>
  <c r="AY95" i="2"/>
  <c r="AX95" i="2"/>
  <c r="AW95" i="2"/>
  <c r="AV95" i="2"/>
  <c r="AU95" i="2"/>
  <c r="AT95" i="2"/>
  <c r="AS95" i="2"/>
  <c r="AR95" i="2"/>
  <c r="AQ95" i="2"/>
  <c r="AP95" i="2"/>
  <c r="AO95" i="2"/>
  <c r="AN95" i="2"/>
  <c r="AM95" i="2"/>
  <c r="AL95" i="2"/>
  <c r="AK95" i="2"/>
  <c r="AJ95" i="2"/>
  <c r="AI95" i="2"/>
  <c r="AH95" i="2"/>
  <c r="AG95" i="2"/>
  <c r="AF95" i="2"/>
  <c r="AE95" i="2"/>
  <c r="AD95" i="2"/>
  <c r="AC95" i="2"/>
  <c r="AB95" i="2"/>
  <c r="AA95" i="2"/>
  <c r="Z95" i="2"/>
  <c r="Y95" i="2"/>
  <c r="X95" i="2"/>
  <c r="W95" i="2"/>
  <c r="V95" i="2"/>
  <c r="U95" i="2"/>
  <c r="T95" i="2"/>
  <c r="S95" i="2"/>
  <c r="R95" i="2"/>
  <c r="Q95" i="2"/>
  <c r="P95" i="2"/>
  <c r="O95" i="2"/>
  <c r="N95" i="2"/>
  <c r="M95" i="2"/>
  <c r="L95" i="2"/>
  <c r="K95" i="2"/>
  <c r="J95" i="2"/>
  <c r="I95" i="2"/>
  <c r="H95" i="2"/>
  <c r="G95" i="2"/>
  <c r="F95" i="2"/>
  <c r="E95" i="2"/>
  <c r="D95" i="2"/>
  <c r="C95" i="2"/>
  <c r="BF94" i="2"/>
  <c r="BE94" i="2"/>
  <c r="BD94" i="2"/>
  <c r="BC94" i="2"/>
  <c r="BB94" i="2"/>
  <c r="BA94" i="2"/>
  <c r="AZ94" i="2"/>
  <c r="AY94" i="2"/>
  <c r="AX94" i="2"/>
  <c r="AW94" i="2"/>
  <c r="AV94" i="2"/>
  <c r="AU94" i="2"/>
  <c r="AT94" i="2"/>
  <c r="AS94" i="2"/>
  <c r="AR94" i="2"/>
  <c r="AQ94" i="2"/>
  <c r="AP94" i="2"/>
  <c r="AO94" i="2"/>
  <c r="AN94" i="2"/>
  <c r="AM94" i="2"/>
  <c r="AL94" i="2"/>
  <c r="AK94" i="2"/>
  <c r="AJ94" i="2"/>
  <c r="AI94" i="2"/>
  <c r="AH94" i="2"/>
  <c r="AG94" i="2"/>
  <c r="AF94" i="2"/>
  <c r="AE94" i="2"/>
  <c r="AD94" i="2"/>
  <c r="AC94" i="2"/>
  <c r="AB94" i="2"/>
  <c r="AA94" i="2"/>
  <c r="Z94" i="2"/>
  <c r="Y94" i="2"/>
  <c r="X94" i="2"/>
  <c r="W94" i="2"/>
  <c r="V94" i="2"/>
  <c r="U94" i="2"/>
  <c r="T94" i="2"/>
  <c r="S94" i="2"/>
  <c r="R94" i="2"/>
  <c r="Q94" i="2"/>
  <c r="P94" i="2"/>
  <c r="O94" i="2"/>
  <c r="N94" i="2"/>
  <c r="M94" i="2"/>
  <c r="L94" i="2"/>
  <c r="K94" i="2"/>
  <c r="J94" i="2"/>
  <c r="I94" i="2"/>
  <c r="H94" i="2"/>
  <c r="G94" i="2"/>
  <c r="F94" i="2"/>
  <c r="E94" i="2"/>
  <c r="D94" i="2"/>
  <c r="C94" i="2"/>
  <c r="BF93" i="2"/>
  <c r="BE93" i="2"/>
  <c r="BD93" i="2"/>
  <c r="BC93" i="2"/>
  <c r="BB93" i="2"/>
  <c r="BA93" i="2"/>
  <c r="AZ93" i="2"/>
  <c r="AY93" i="2"/>
  <c r="AX93" i="2"/>
  <c r="AW93" i="2"/>
  <c r="AV93" i="2"/>
  <c r="AU93" i="2"/>
  <c r="AT93" i="2"/>
  <c r="AS93" i="2"/>
  <c r="AR93" i="2"/>
  <c r="AQ93" i="2"/>
  <c r="AP93" i="2"/>
  <c r="AO93" i="2"/>
  <c r="AN93" i="2"/>
  <c r="AM93" i="2"/>
  <c r="AL93" i="2"/>
  <c r="AK93" i="2"/>
  <c r="AJ93" i="2"/>
  <c r="AI93" i="2"/>
  <c r="AH93" i="2"/>
  <c r="AG93" i="2"/>
  <c r="AF93" i="2"/>
  <c r="AE93" i="2"/>
  <c r="AD93" i="2"/>
  <c r="AC93" i="2"/>
  <c r="AB93" i="2"/>
  <c r="AA93" i="2"/>
  <c r="Z93" i="2"/>
  <c r="Y93" i="2"/>
  <c r="X93" i="2"/>
  <c r="W93" i="2"/>
  <c r="V93" i="2"/>
  <c r="U93" i="2"/>
  <c r="T93" i="2"/>
  <c r="S93" i="2"/>
  <c r="R93" i="2"/>
  <c r="Q93" i="2"/>
  <c r="P93" i="2"/>
  <c r="O93" i="2"/>
  <c r="N93" i="2"/>
  <c r="M93" i="2"/>
  <c r="L93" i="2"/>
  <c r="K93" i="2"/>
  <c r="J93" i="2"/>
  <c r="I93" i="2"/>
  <c r="H93" i="2"/>
  <c r="G93" i="2"/>
  <c r="F93" i="2"/>
  <c r="E93" i="2"/>
  <c r="D93" i="2"/>
  <c r="C93" i="2"/>
  <c r="BF91" i="2"/>
  <c r="BE91" i="2"/>
  <c r="BD91" i="2"/>
  <c r="BC91" i="2"/>
  <c r="BB91" i="2"/>
  <c r="BA91" i="2"/>
  <c r="AZ91" i="2"/>
  <c r="AY91" i="2"/>
  <c r="AX91" i="2"/>
  <c r="AW91" i="2"/>
  <c r="AV91" i="2"/>
  <c r="AU91" i="2"/>
  <c r="AT91" i="2"/>
  <c r="AS91" i="2"/>
  <c r="AR91" i="2"/>
  <c r="AQ91" i="2"/>
  <c r="AP91" i="2"/>
  <c r="AO91" i="2"/>
  <c r="AN91" i="2"/>
  <c r="AM91" i="2"/>
  <c r="AL91" i="2"/>
  <c r="AK91" i="2"/>
  <c r="AJ91" i="2"/>
  <c r="AI91" i="2"/>
  <c r="AH91" i="2"/>
  <c r="AG91" i="2"/>
  <c r="AF91" i="2"/>
  <c r="AE91" i="2"/>
  <c r="AD91" i="2"/>
  <c r="AC91" i="2"/>
  <c r="AB91" i="2"/>
  <c r="AA91" i="2"/>
  <c r="Z91" i="2"/>
  <c r="Y91" i="2"/>
  <c r="X91" i="2"/>
  <c r="W91" i="2"/>
  <c r="V91" i="2"/>
  <c r="U91" i="2"/>
  <c r="T91" i="2"/>
  <c r="S91" i="2"/>
  <c r="R91" i="2"/>
  <c r="Q91" i="2"/>
  <c r="P91" i="2"/>
  <c r="O91" i="2"/>
  <c r="N91" i="2"/>
  <c r="M91" i="2"/>
  <c r="L91" i="2"/>
  <c r="K91" i="2"/>
  <c r="J91" i="2"/>
  <c r="I91" i="2"/>
  <c r="H91" i="2"/>
  <c r="G91" i="2"/>
  <c r="F91" i="2"/>
  <c r="E91" i="2"/>
  <c r="D91" i="2"/>
  <c r="C91" i="2"/>
  <c r="BF90" i="2"/>
  <c r="BE90" i="2"/>
  <c r="BD90" i="2"/>
  <c r="BC90" i="2"/>
  <c r="BB90" i="2"/>
  <c r="BA90" i="2"/>
  <c r="AZ90" i="2"/>
  <c r="AY90" i="2"/>
  <c r="AX90" i="2"/>
  <c r="AW90" i="2"/>
  <c r="AV90" i="2"/>
  <c r="AU90" i="2"/>
  <c r="AT90" i="2"/>
  <c r="AS90" i="2"/>
  <c r="AR90" i="2"/>
  <c r="AQ90" i="2"/>
  <c r="AP90" i="2"/>
  <c r="AO90" i="2"/>
  <c r="AN90" i="2"/>
  <c r="AM90" i="2"/>
  <c r="AL90" i="2"/>
  <c r="AK90" i="2"/>
  <c r="AJ90" i="2"/>
  <c r="AI90" i="2"/>
  <c r="AH90" i="2"/>
  <c r="AG90" i="2"/>
  <c r="AF90" i="2"/>
  <c r="AE90" i="2"/>
  <c r="AD90" i="2"/>
  <c r="AC90" i="2"/>
  <c r="AB90" i="2"/>
  <c r="AA90" i="2"/>
  <c r="Z90" i="2"/>
  <c r="Y90" i="2"/>
  <c r="X90" i="2"/>
  <c r="W90" i="2"/>
  <c r="V90" i="2"/>
  <c r="U90" i="2"/>
  <c r="T90" i="2"/>
  <c r="S90" i="2"/>
  <c r="R90" i="2"/>
  <c r="Q90" i="2"/>
  <c r="P90" i="2"/>
  <c r="O90" i="2"/>
  <c r="N90" i="2"/>
  <c r="M90" i="2"/>
  <c r="L90" i="2"/>
  <c r="K90" i="2"/>
  <c r="J90" i="2"/>
  <c r="I90" i="2"/>
  <c r="H90" i="2"/>
  <c r="G90" i="2"/>
  <c r="F90" i="2"/>
  <c r="E90" i="2"/>
  <c r="D90" i="2"/>
  <c r="C90" i="2"/>
  <c r="BF89" i="2"/>
  <c r="BE89" i="2"/>
  <c r="BD89" i="2"/>
  <c r="BC89" i="2"/>
  <c r="BB89" i="2"/>
  <c r="BA89" i="2"/>
  <c r="AZ89" i="2"/>
  <c r="AY89" i="2"/>
  <c r="AX89" i="2"/>
  <c r="AW89" i="2"/>
  <c r="AV89" i="2"/>
  <c r="AU89" i="2"/>
  <c r="AT89" i="2"/>
  <c r="AS89" i="2"/>
  <c r="AR89" i="2"/>
  <c r="AQ89" i="2"/>
  <c r="AP89" i="2"/>
  <c r="AO89" i="2"/>
  <c r="AN89" i="2"/>
  <c r="AM89" i="2"/>
  <c r="AL89" i="2"/>
  <c r="AK89" i="2"/>
  <c r="AJ89" i="2"/>
  <c r="AI89" i="2"/>
  <c r="AH89" i="2"/>
  <c r="AG89" i="2"/>
  <c r="AF89" i="2"/>
  <c r="AE89" i="2"/>
  <c r="AD89" i="2"/>
  <c r="AC89" i="2"/>
  <c r="AB89" i="2"/>
  <c r="AA89" i="2"/>
  <c r="Z89" i="2"/>
  <c r="Y89" i="2"/>
  <c r="X89" i="2"/>
  <c r="W89" i="2"/>
  <c r="V89" i="2"/>
  <c r="U89" i="2"/>
  <c r="T89" i="2"/>
  <c r="S89" i="2"/>
  <c r="R89" i="2"/>
  <c r="Q89" i="2"/>
  <c r="P89" i="2"/>
  <c r="O89" i="2"/>
  <c r="N89" i="2"/>
  <c r="M89" i="2"/>
  <c r="L89" i="2"/>
  <c r="K89" i="2"/>
  <c r="J89" i="2"/>
  <c r="I89" i="2"/>
  <c r="H89" i="2"/>
  <c r="G89" i="2"/>
  <c r="F89" i="2"/>
  <c r="E89" i="2"/>
  <c r="D89" i="2"/>
  <c r="C89" i="2"/>
  <c r="BF88" i="2"/>
  <c r="BE88" i="2"/>
  <c r="BD88" i="2"/>
  <c r="BC88" i="2"/>
  <c r="BB88" i="2"/>
  <c r="BA88" i="2"/>
  <c r="AZ88" i="2"/>
  <c r="AY88" i="2"/>
  <c r="AX88" i="2"/>
  <c r="AW88" i="2"/>
  <c r="AV88" i="2"/>
  <c r="AU88" i="2"/>
  <c r="AT88" i="2"/>
  <c r="AS88" i="2"/>
  <c r="AR88" i="2"/>
  <c r="AQ88" i="2"/>
  <c r="AP88" i="2"/>
  <c r="AO88" i="2"/>
  <c r="AN88" i="2"/>
  <c r="AM88" i="2"/>
  <c r="AL88" i="2"/>
  <c r="AK88" i="2"/>
  <c r="AJ88" i="2"/>
  <c r="AI88" i="2"/>
  <c r="AH88" i="2"/>
  <c r="AG88" i="2"/>
  <c r="AF88" i="2"/>
  <c r="AE88" i="2"/>
  <c r="AD88" i="2"/>
  <c r="AC88" i="2"/>
  <c r="AB88" i="2"/>
  <c r="AA88" i="2"/>
  <c r="Z88" i="2"/>
  <c r="Y88" i="2"/>
  <c r="X88" i="2"/>
  <c r="W88" i="2"/>
  <c r="V88" i="2"/>
  <c r="U88" i="2"/>
  <c r="T88" i="2"/>
  <c r="S88" i="2"/>
  <c r="R88" i="2"/>
  <c r="Q88" i="2"/>
  <c r="P88" i="2"/>
  <c r="O88" i="2"/>
  <c r="N88" i="2"/>
  <c r="M88" i="2"/>
  <c r="L88" i="2"/>
  <c r="K88" i="2"/>
  <c r="J88" i="2"/>
  <c r="I88" i="2"/>
  <c r="H88" i="2"/>
  <c r="G88" i="2"/>
  <c r="F88" i="2"/>
  <c r="E88" i="2"/>
  <c r="D88" i="2"/>
  <c r="C88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V85" i="2"/>
  <c r="U85" i="2"/>
  <c r="T85" i="2"/>
  <c r="S85" i="2"/>
  <c r="R85" i="2"/>
  <c r="Q85" i="2"/>
  <c r="P85" i="2"/>
  <c r="O85" i="2"/>
  <c r="N85" i="2"/>
  <c r="M85" i="2"/>
  <c r="L85" i="2"/>
  <c r="K85" i="2"/>
  <c r="J85" i="2"/>
  <c r="I85" i="2"/>
  <c r="H85" i="2"/>
  <c r="G85" i="2"/>
  <c r="F85" i="2"/>
  <c r="E85" i="2"/>
  <c r="D85" i="2"/>
  <c r="C85" i="2"/>
  <c r="BF84" i="2"/>
  <c r="BE84" i="2"/>
  <c r="BD84" i="2"/>
  <c r="BC84" i="2"/>
  <c r="BB84" i="2"/>
  <c r="BA84" i="2"/>
  <c r="AZ84" i="2"/>
  <c r="AY84" i="2"/>
  <c r="AX84" i="2"/>
  <c r="AW84" i="2"/>
  <c r="AV84" i="2"/>
  <c r="AU84" i="2"/>
  <c r="AT84" i="2"/>
  <c r="AS84" i="2"/>
  <c r="AR84" i="2"/>
  <c r="AQ84" i="2"/>
  <c r="AP84" i="2"/>
  <c r="AO84" i="2"/>
  <c r="AN84" i="2"/>
  <c r="AM84" i="2"/>
  <c r="AL84" i="2"/>
  <c r="AK84" i="2"/>
  <c r="AJ84" i="2"/>
  <c r="AI84" i="2"/>
  <c r="AH84" i="2"/>
  <c r="AG84" i="2"/>
  <c r="AF84" i="2"/>
  <c r="AE84" i="2"/>
  <c r="AD84" i="2"/>
  <c r="AC84" i="2"/>
  <c r="AB84" i="2"/>
  <c r="AA84" i="2"/>
  <c r="Z84" i="2"/>
  <c r="Y84" i="2"/>
  <c r="X84" i="2"/>
  <c r="W84" i="2"/>
  <c r="V84" i="2"/>
  <c r="U84" i="2"/>
  <c r="T84" i="2"/>
  <c r="S84" i="2"/>
  <c r="R84" i="2"/>
  <c r="Q84" i="2"/>
  <c r="P84" i="2"/>
  <c r="O84" i="2"/>
  <c r="N84" i="2"/>
  <c r="M84" i="2"/>
  <c r="L84" i="2"/>
  <c r="K84" i="2"/>
  <c r="J84" i="2"/>
  <c r="I84" i="2"/>
  <c r="H84" i="2"/>
  <c r="G84" i="2"/>
  <c r="F84" i="2"/>
  <c r="E84" i="2"/>
  <c r="D84" i="2"/>
  <c r="C84" i="2"/>
  <c r="BF83" i="2"/>
  <c r="BE83" i="2"/>
  <c r="BD83" i="2"/>
  <c r="BC83" i="2"/>
  <c r="BB83" i="2"/>
  <c r="BA83" i="2"/>
  <c r="AZ83" i="2"/>
  <c r="AY83" i="2"/>
  <c r="AX83" i="2"/>
  <c r="AW83" i="2"/>
  <c r="AV83" i="2"/>
  <c r="AU83" i="2"/>
  <c r="AT83" i="2"/>
  <c r="AS83" i="2"/>
  <c r="AR83" i="2"/>
  <c r="AQ83" i="2"/>
  <c r="AP83" i="2"/>
  <c r="AO83" i="2"/>
  <c r="AN83" i="2"/>
  <c r="AM83" i="2"/>
  <c r="AL83" i="2"/>
  <c r="AK83" i="2"/>
  <c r="AJ83" i="2"/>
  <c r="AI83" i="2"/>
  <c r="AH83" i="2"/>
  <c r="AG83" i="2"/>
  <c r="AF83" i="2"/>
  <c r="AE83" i="2"/>
  <c r="AD83" i="2"/>
  <c r="AC83" i="2"/>
  <c r="AB83" i="2"/>
  <c r="AA83" i="2"/>
  <c r="Z83" i="2"/>
  <c r="Y83" i="2"/>
  <c r="X83" i="2"/>
  <c r="W83" i="2"/>
  <c r="V83" i="2"/>
  <c r="U83" i="2"/>
  <c r="T83" i="2"/>
  <c r="S83" i="2"/>
  <c r="R83" i="2"/>
  <c r="Q83" i="2"/>
  <c r="P83" i="2"/>
  <c r="O83" i="2"/>
  <c r="N83" i="2"/>
  <c r="M83" i="2"/>
  <c r="L83" i="2"/>
  <c r="K83" i="2"/>
  <c r="J83" i="2"/>
  <c r="I83" i="2"/>
  <c r="H83" i="2"/>
  <c r="G83" i="2"/>
  <c r="F83" i="2"/>
  <c r="E83" i="2"/>
  <c r="D83" i="2"/>
  <c r="C83" i="2"/>
  <c r="BF82" i="2"/>
  <c r="BE82" i="2"/>
  <c r="BD82" i="2"/>
  <c r="BC82" i="2"/>
  <c r="BB82" i="2"/>
  <c r="BA82" i="2"/>
  <c r="AZ82" i="2"/>
  <c r="AY82" i="2"/>
  <c r="AX82" i="2"/>
  <c r="AW82" i="2"/>
  <c r="AV82" i="2"/>
  <c r="AU82" i="2"/>
  <c r="AT82" i="2"/>
  <c r="AS82" i="2"/>
  <c r="AR82" i="2"/>
  <c r="AQ82" i="2"/>
  <c r="AP82" i="2"/>
  <c r="AO82" i="2"/>
  <c r="AN82" i="2"/>
  <c r="AM82" i="2"/>
  <c r="AL82" i="2"/>
  <c r="AK82" i="2"/>
  <c r="AJ82" i="2"/>
  <c r="AI82" i="2"/>
  <c r="AH82" i="2"/>
  <c r="AG82" i="2"/>
  <c r="AF82" i="2"/>
  <c r="AE82" i="2"/>
  <c r="AD82" i="2"/>
  <c r="AC82" i="2"/>
  <c r="AB82" i="2"/>
  <c r="AA82" i="2"/>
  <c r="Z82" i="2"/>
  <c r="Y82" i="2"/>
  <c r="X82" i="2"/>
  <c r="W82" i="2"/>
  <c r="V82" i="2"/>
  <c r="U82" i="2"/>
  <c r="T82" i="2"/>
  <c r="S82" i="2"/>
  <c r="R82" i="2"/>
  <c r="Q82" i="2"/>
  <c r="P82" i="2"/>
  <c r="O82" i="2"/>
  <c r="N82" i="2"/>
  <c r="M82" i="2"/>
  <c r="L82" i="2"/>
  <c r="K82" i="2"/>
  <c r="J82" i="2"/>
  <c r="I82" i="2"/>
  <c r="H82" i="2"/>
  <c r="G82" i="2"/>
  <c r="F82" i="2"/>
  <c r="E82" i="2"/>
  <c r="D82" i="2"/>
  <c r="C82" i="2"/>
  <c r="BF81" i="2"/>
  <c r="BE81" i="2"/>
  <c r="BD81" i="2"/>
  <c r="BC81" i="2"/>
  <c r="BB81" i="2"/>
  <c r="BA81" i="2"/>
  <c r="AZ81" i="2"/>
  <c r="AY81" i="2"/>
  <c r="AX81" i="2"/>
  <c r="AW81" i="2"/>
  <c r="AV81" i="2"/>
  <c r="AU81" i="2"/>
  <c r="AT81" i="2"/>
  <c r="AS81" i="2"/>
  <c r="AR81" i="2"/>
  <c r="AQ81" i="2"/>
  <c r="AP81" i="2"/>
  <c r="AO81" i="2"/>
  <c r="AN81" i="2"/>
  <c r="AM81" i="2"/>
  <c r="AL81" i="2"/>
  <c r="AK81" i="2"/>
  <c r="AJ81" i="2"/>
  <c r="AI81" i="2"/>
  <c r="AH81" i="2"/>
  <c r="AG81" i="2"/>
  <c r="AF81" i="2"/>
  <c r="AE81" i="2"/>
  <c r="AD81" i="2"/>
  <c r="AC81" i="2"/>
  <c r="AB81" i="2"/>
  <c r="AA81" i="2"/>
  <c r="Z81" i="2"/>
  <c r="Y81" i="2"/>
  <c r="X81" i="2"/>
  <c r="W81" i="2"/>
  <c r="V81" i="2"/>
  <c r="U81" i="2"/>
  <c r="T81" i="2"/>
  <c r="S81" i="2"/>
  <c r="R81" i="2"/>
  <c r="Q81" i="2"/>
  <c r="P81" i="2"/>
  <c r="O81" i="2"/>
  <c r="N81" i="2"/>
  <c r="M81" i="2"/>
  <c r="L81" i="2"/>
  <c r="K81" i="2"/>
  <c r="J81" i="2"/>
  <c r="I81" i="2"/>
  <c r="H81" i="2"/>
  <c r="G81" i="2"/>
  <c r="F81" i="2"/>
  <c r="E81" i="2"/>
  <c r="D81" i="2"/>
  <c r="C81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Z79" i="2"/>
  <c r="Y79" i="2"/>
  <c r="X79" i="2"/>
  <c r="W79" i="2"/>
  <c r="V79" i="2"/>
  <c r="U79" i="2"/>
  <c r="T79" i="2"/>
  <c r="S79" i="2"/>
  <c r="R79" i="2"/>
  <c r="Q79" i="2"/>
  <c r="P79" i="2"/>
  <c r="O79" i="2"/>
  <c r="N79" i="2"/>
  <c r="M79" i="2"/>
  <c r="L79" i="2"/>
  <c r="K79" i="2"/>
  <c r="J79" i="2"/>
  <c r="I79" i="2"/>
  <c r="H79" i="2"/>
  <c r="G79" i="2"/>
  <c r="F79" i="2"/>
  <c r="E79" i="2"/>
  <c r="D79" i="2"/>
  <c r="C79" i="2"/>
  <c r="BF62" i="2"/>
  <c r="BE62" i="2"/>
  <c r="BD62" i="2"/>
  <c r="BC62" i="2"/>
  <c r="BB62" i="2"/>
  <c r="BA62" i="2"/>
  <c r="AZ62" i="2"/>
  <c r="AY62" i="2"/>
  <c r="AX62" i="2"/>
  <c r="AW62" i="2"/>
  <c r="AV62" i="2"/>
  <c r="AU62" i="2"/>
  <c r="AT62" i="2"/>
  <c r="AS62" i="2"/>
  <c r="AR62" i="2"/>
  <c r="AQ62" i="2"/>
  <c r="AP62" i="2"/>
  <c r="AO62" i="2"/>
  <c r="AN62" i="2"/>
  <c r="AM62" i="2"/>
  <c r="AL62" i="2"/>
  <c r="AK62" i="2"/>
  <c r="AJ62" i="2"/>
  <c r="AI62" i="2"/>
  <c r="AH62" i="2"/>
  <c r="AG62" i="2"/>
  <c r="AF62" i="2"/>
  <c r="AE62" i="2"/>
  <c r="AD62" i="2"/>
  <c r="AC62" i="2"/>
  <c r="AB62" i="2"/>
  <c r="AA62" i="2"/>
  <c r="Z62" i="2"/>
  <c r="Y62" i="2"/>
  <c r="X62" i="2"/>
  <c r="W62" i="2"/>
  <c r="V62" i="2"/>
  <c r="U62" i="2"/>
  <c r="T62" i="2"/>
  <c r="S62" i="2"/>
  <c r="R62" i="2"/>
  <c r="Q62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C62" i="2"/>
  <c r="BF61" i="2"/>
  <c r="BE61" i="2"/>
  <c r="BD61" i="2"/>
  <c r="BC61" i="2"/>
  <c r="BB61" i="2"/>
  <c r="BA61" i="2"/>
  <c r="AZ61" i="2"/>
  <c r="AY61" i="2"/>
  <c r="AX61" i="2"/>
  <c r="AW61" i="2"/>
  <c r="AV61" i="2"/>
  <c r="AU61" i="2"/>
  <c r="AT61" i="2"/>
  <c r="AS61" i="2"/>
  <c r="AR61" i="2"/>
  <c r="AQ61" i="2"/>
  <c r="AP61" i="2"/>
  <c r="AO61" i="2"/>
  <c r="AN61" i="2"/>
  <c r="AM61" i="2"/>
  <c r="AL61" i="2"/>
  <c r="AK61" i="2"/>
  <c r="AJ61" i="2"/>
  <c r="AI61" i="2"/>
  <c r="AH61" i="2"/>
  <c r="AG61" i="2"/>
  <c r="AF61" i="2"/>
  <c r="AE61" i="2"/>
  <c r="AD61" i="2"/>
  <c r="AC61" i="2"/>
  <c r="AB61" i="2"/>
  <c r="AA61" i="2"/>
  <c r="Z61" i="2"/>
  <c r="Y61" i="2"/>
  <c r="X61" i="2"/>
  <c r="W61" i="2"/>
  <c r="V61" i="2"/>
  <c r="U61" i="2"/>
  <c r="T61" i="2"/>
  <c r="S61" i="2"/>
  <c r="R61" i="2"/>
  <c r="Q61" i="2"/>
  <c r="P61" i="2"/>
  <c r="O61" i="2"/>
  <c r="N61" i="2"/>
  <c r="M61" i="2"/>
  <c r="L61" i="2"/>
  <c r="K61" i="2"/>
  <c r="J61" i="2"/>
  <c r="I61" i="2"/>
  <c r="H61" i="2"/>
  <c r="G61" i="2"/>
  <c r="F61" i="2"/>
  <c r="E61" i="2"/>
  <c r="D61" i="2"/>
  <c r="C61" i="2"/>
  <c r="BF59" i="2"/>
  <c r="BE59" i="2"/>
  <c r="BD59" i="2"/>
  <c r="BC59" i="2"/>
  <c r="BB59" i="2"/>
  <c r="BA59" i="2"/>
  <c r="AZ59" i="2"/>
  <c r="AY59" i="2"/>
  <c r="AX59" i="2"/>
  <c r="AW59" i="2"/>
  <c r="AV59" i="2"/>
  <c r="AU59" i="2"/>
  <c r="AT59" i="2"/>
  <c r="AS59" i="2"/>
  <c r="AR59" i="2"/>
  <c r="AQ59" i="2"/>
  <c r="AP59" i="2"/>
  <c r="AO59" i="2"/>
  <c r="AN59" i="2"/>
  <c r="AM59" i="2"/>
  <c r="AL59" i="2"/>
  <c r="AK59" i="2"/>
  <c r="AJ59" i="2"/>
  <c r="AI59" i="2"/>
  <c r="AH59" i="2"/>
  <c r="AG59" i="2"/>
  <c r="AF59" i="2"/>
  <c r="AE59" i="2"/>
  <c r="AD59" i="2"/>
  <c r="AC59" i="2"/>
  <c r="AB59" i="2"/>
  <c r="AA59" i="2"/>
  <c r="Z59" i="2"/>
  <c r="Y59" i="2"/>
  <c r="X59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C59" i="2"/>
  <c r="BF58" i="2"/>
  <c r="BE58" i="2"/>
  <c r="BD58" i="2"/>
  <c r="BC58" i="2"/>
  <c r="BB58" i="2"/>
  <c r="BA58" i="2"/>
  <c r="AZ58" i="2"/>
  <c r="AY58" i="2"/>
  <c r="AX58" i="2"/>
  <c r="AW58" i="2"/>
  <c r="AV58" i="2"/>
  <c r="AU58" i="2"/>
  <c r="AT58" i="2"/>
  <c r="AS58" i="2"/>
  <c r="AR58" i="2"/>
  <c r="AQ58" i="2"/>
  <c r="AP58" i="2"/>
  <c r="AO58" i="2"/>
  <c r="AN58" i="2"/>
  <c r="AM58" i="2"/>
  <c r="AL58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C58" i="2"/>
  <c r="BF55" i="2"/>
  <c r="BE55" i="2"/>
  <c r="BD55" i="2"/>
  <c r="BC55" i="2"/>
  <c r="BB55" i="2"/>
  <c r="BA55" i="2"/>
  <c r="AZ55" i="2"/>
  <c r="AY55" i="2"/>
  <c r="AX55" i="2"/>
  <c r="AW55" i="2"/>
  <c r="AV55" i="2"/>
  <c r="AU55" i="2"/>
  <c r="AT55" i="2"/>
  <c r="AS55" i="2"/>
  <c r="AR55" i="2"/>
  <c r="AQ55" i="2"/>
  <c r="AP55" i="2"/>
  <c r="AO55" i="2"/>
  <c r="AN55" i="2"/>
  <c r="AM55" i="2"/>
  <c r="AL55" i="2"/>
  <c r="AK55" i="2"/>
  <c r="AJ55" i="2"/>
  <c r="AI55" i="2"/>
  <c r="AH55" i="2"/>
  <c r="AG55" i="2"/>
  <c r="AF55" i="2"/>
  <c r="AE55" i="2"/>
  <c r="AD55" i="2"/>
  <c r="AC55" i="2"/>
  <c r="AB55" i="2"/>
  <c r="AA55" i="2"/>
  <c r="Z55" i="2"/>
  <c r="Y55" i="2"/>
  <c r="X55" i="2"/>
  <c r="W55" i="2"/>
  <c r="V55" i="2"/>
  <c r="U55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F55" i="2"/>
  <c r="E55" i="2"/>
  <c r="D55" i="2"/>
  <c r="C55" i="2"/>
  <c r="B55" i="2"/>
  <c r="A55" i="2"/>
  <c r="BF54" i="2"/>
  <c r="BE54" i="2"/>
  <c r="BD54" i="2"/>
  <c r="BC54" i="2"/>
  <c r="BB54" i="2"/>
  <c r="BA54" i="2"/>
  <c r="AZ54" i="2"/>
  <c r="AY54" i="2"/>
  <c r="AX54" i="2"/>
  <c r="AW54" i="2"/>
  <c r="AV54" i="2"/>
  <c r="AU54" i="2"/>
  <c r="AT54" i="2"/>
  <c r="AS54" i="2"/>
  <c r="AR54" i="2"/>
  <c r="AQ54" i="2"/>
  <c r="AP54" i="2"/>
  <c r="AO54" i="2"/>
  <c r="AN54" i="2"/>
  <c r="AM54" i="2"/>
  <c r="AL54" i="2"/>
  <c r="AK54" i="2"/>
  <c r="AJ54" i="2"/>
  <c r="AI54" i="2"/>
  <c r="AH54" i="2"/>
  <c r="AG54" i="2"/>
  <c r="AF54" i="2"/>
  <c r="AE54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C54" i="2"/>
  <c r="B54" i="2"/>
  <c r="A54" i="2"/>
  <c r="BF53" i="2"/>
  <c r="BE53" i="2"/>
  <c r="BD53" i="2"/>
  <c r="BC53" i="2"/>
  <c r="BB53" i="2"/>
  <c r="BA53" i="2"/>
  <c r="AZ53" i="2"/>
  <c r="AY53" i="2"/>
  <c r="AX53" i="2"/>
  <c r="AW53" i="2"/>
  <c r="AV53" i="2"/>
  <c r="AU53" i="2"/>
  <c r="AT53" i="2"/>
  <c r="AS53" i="2"/>
  <c r="AR53" i="2"/>
  <c r="AQ53" i="2"/>
  <c r="AP53" i="2"/>
  <c r="AO53" i="2"/>
  <c r="AN53" i="2"/>
  <c r="AM53" i="2"/>
  <c r="AL53" i="2"/>
  <c r="AK53" i="2"/>
  <c r="AJ53" i="2"/>
  <c r="AI53" i="2"/>
  <c r="AH53" i="2"/>
  <c r="AG53" i="2"/>
  <c r="AF53" i="2"/>
  <c r="AE53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C53" i="2"/>
  <c r="B53" i="2"/>
  <c r="A53" i="2"/>
  <c r="BF52" i="2"/>
  <c r="BE52" i="2"/>
  <c r="BD52" i="2"/>
  <c r="BC52" i="2"/>
  <c r="BB52" i="2"/>
  <c r="BA52" i="2"/>
  <c r="AZ52" i="2"/>
  <c r="AY52" i="2"/>
  <c r="AX52" i="2"/>
  <c r="AW52" i="2"/>
  <c r="AV52" i="2"/>
  <c r="AU52" i="2"/>
  <c r="AT52" i="2"/>
  <c r="AS52" i="2"/>
  <c r="AR52" i="2"/>
  <c r="AQ52" i="2"/>
  <c r="AP52" i="2"/>
  <c r="AO52" i="2"/>
  <c r="AN52" i="2"/>
  <c r="AM52" i="2"/>
  <c r="AL52" i="2"/>
  <c r="AK52" i="2"/>
  <c r="AJ52" i="2"/>
  <c r="AI52" i="2"/>
  <c r="AH52" i="2"/>
  <c r="AG52" i="2"/>
  <c r="AF52" i="2"/>
  <c r="AE52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C52" i="2"/>
  <c r="B52" i="2"/>
  <c r="A52" i="2"/>
  <c r="BF51" i="2"/>
  <c r="BE51" i="2"/>
  <c r="BD51" i="2"/>
  <c r="BC51" i="2"/>
  <c r="BB51" i="2"/>
  <c r="BA51" i="2"/>
  <c r="AZ51" i="2"/>
  <c r="AY51" i="2"/>
  <c r="AX51" i="2"/>
  <c r="AW51" i="2"/>
  <c r="AV51" i="2"/>
  <c r="AU51" i="2"/>
  <c r="AT51" i="2"/>
  <c r="AS51" i="2"/>
  <c r="AR51" i="2"/>
  <c r="AQ51" i="2"/>
  <c r="AP51" i="2"/>
  <c r="AO51" i="2"/>
  <c r="AN51" i="2"/>
  <c r="AM51" i="2"/>
  <c r="AL51" i="2"/>
  <c r="AK51" i="2"/>
  <c r="AJ51" i="2"/>
  <c r="AI51" i="2"/>
  <c r="AH51" i="2"/>
  <c r="AG51" i="2"/>
  <c r="AF51" i="2"/>
  <c r="AE51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C51" i="2"/>
  <c r="B51" i="2"/>
  <c r="A51" i="2"/>
  <c r="BF50" i="2"/>
  <c r="BE50" i="2"/>
  <c r="BD50" i="2"/>
  <c r="BC50" i="2"/>
  <c r="BB50" i="2"/>
  <c r="BA50" i="2"/>
  <c r="AZ50" i="2"/>
  <c r="AY50" i="2"/>
  <c r="AX50" i="2"/>
  <c r="AW50" i="2"/>
  <c r="AV50" i="2"/>
  <c r="AU50" i="2"/>
  <c r="AT50" i="2"/>
  <c r="AS50" i="2"/>
  <c r="AR50" i="2"/>
  <c r="AQ50" i="2"/>
  <c r="AP50" i="2"/>
  <c r="AO50" i="2"/>
  <c r="AN50" i="2"/>
  <c r="AM50" i="2"/>
  <c r="AL50" i="2"/>
  <c r="AK50" i="2"/>
  <c r="AJ50" i="2"/>
  <c r="AI50" i="2"/>
  <c r="AH50" i="2"/>
  <c r="AG50" i="2"/>
  <c r="AF50" i="2"/>
  <c r="AE50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C50" i="2"/>
  <c r="B50" i="2"/>
  <c r="A50" i="2"/>
  <c r="BF49" i="2"/>
  <c r="BE49" i="2"/>
  <c r="BD49" i="2"/>
  <c r="BC49" i="2"/>
  <c r="BB49" i="2"/>
  <c r="BA49" i="2"/>
  <c r="AZ49" i="2"/>
  <c r="AY49" i="2"/>
  <c r="AX49" i="2"/>
  <c r="AW49" i="2"/>
  <c r="AV49" i="2"/>
  <c r="AU49" i="2"/>
  <c r="AT49" i="2"/>
  <c r="AS49" i="2"/>
  <c r="AR49" i="2"/>
  <c r="AQ49" i="2"/>
  <c r="AP49" i="2"/>
  <c r="AO49" i="2"/>
  <c r="AN49" i="2"/>
  <c r="AM49" i="2"/>
  <c r="AL49" i="2"/>
  <c r="AK49" i="2"/>
  <c r="AJ49" i="2"/>
  <c r="AI49" i="2"/>
  <c r="AH49" i="2"/>
  <c r="AG49" i="2"/>
  <c r="AF49" i="2"/>
  <c r="AE49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C49" i="2"/>
  <c r="B49" i="2"/>
  <c r="A49" i="2"/>
  <c r="BF48" i="2"/>
  <c r="BE48" i="2"/>
  <c r="BD48" i="2"/>
  <c r="BC48" i="2"/>
  <c r="BB48" i="2"/>
  <c r="BA48" i="2"/>
  <c r="AZ48" i="2"/>
  <c r="AY48" i="2"/>
  <c r="AX48" i="2"/>
  <c r="AW48" i="2"/>
  <c r="AV48" i="2"/>
  <c r="AU48" i="2"/>
  <c r="AT48" i="2"/>
  <c r="AS48" i="2"/>
  <c r="AR48" i="2"/>
  <c r="AQ48" i="2"/>
  <c r="AP48" i="2"/>
  <c r="AO48" i="2"/>
  <c r="AN48" i="2"/>
  <c r="AM48" i="2"/>
  <c r="AL48" i="2"/>
  <c r="AK48" i="2"/>
  <c r="AJ48" i="2"/>
  <c r="AI48" i="2"/>
  <c r="AH48" i="2"/>
  <c r="AG48" i="2"/>
  <c r="AF48" i="2"/>
  <c r="AE48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C48" i="2"/>
  <c r="B48" i="2"/>
  <c r="A48" i="2"/>
  <c r="BF47" i="2"/>
  <c r="BE47" i="2"/>
  <c r="BD47" i="2"/>
  <c r="BC47" i="2"/>
  <c r="BB47" i="2"/>
  <c r="BA47" i="2"/>
  <c r="AZ47" i="2"/>
  <c r="AY47" i="2"/>
  <c r="AX47" i="2"/>
  <c r="AW47" i="2"/>
  <c r="AV47" i="2"/>
  <c r="AU47" i="2"/>
  <c r="AT47" i="2"/>
  <c r="AS47" i="2"/>
  <c r="AR47" i="2"/>
  <c r="AQ47" i="2"/>
  <c r="AP47" i="2"/>
  <c r="AO47" i="2"/>
  <c r="AN47" i="2"/>
  <c r="AM47" i="2"/>
  <c r="AL47" i="2"/>
  <c r="AK47" i="2"/>
  <c r="AJ47" i="2"/>
  <c r="AI47" i="2"/>
  <c r="AH47" i="2"/>
  <c r="AG47" i="2"/>
  <c r="AF47" i="2"/>
  <c r="AE47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C47" i="2"/>
  <c r="B47" i="2"/>
  <c r="A47" i="2"/>
  <c r="BF46" i="2"/>
  <c r="BE46" i="2"/>
  <c r="BD46" i="2"/>
  <c r="BC46" i="2"/>
  <c r="BB46" i="2"/>
  <c r="BA46" i="2"/>
  <c r="AZ46" i="2"/>
  <c r="AY46" i="2"/>
  <c r="AX46" i="2"/>
  <c r="AW46" i="2"/>
  <c r="AV46" i="2"/>
  <c r="AU46" i="2"/>
  <c r="AT46" i="2"/>
  <c r="AS46" i="2"/>
  <c r="AR46" i="2"/>
  <c r="AQ46" i="2"/>
  <c r="AP46" i="2"/>
  <c r="AO46" i="2"/>
  <c r="AN46" i="2"/>
  <c r="AM46" i="2"/>
  <c r="AL46" i="2"/>
  <c r="AK46" i="2"/>
  <c r="AJ46" i="2"/>
  <c r="AI46" i="2"/>
  <c r="AH46" i="2"/>
  <c r="AG46" i="2"/>
  <c r="AF46" i="2"/>
  <c r="AE46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C46" i="2"/>
  <c r="B46" i="2"/>
  <c r="A46" i="2"/>
  <c r="BF45" i="2"/>
  <c r="BE45" i="2"/>
  <c r="BD45" i="2"/>
  <c r="BC45" i="2"/>
  <c r="BB45" i="2"/>
  <c r="BA45" i="2"/>
  <c r="AZ45" i="2"/>
  <c r="AY45" i="2"/>
  <c r="AX45" i="2"/>
  <c r="AW45" i="2"/>
  <c r="AV45" i="2"/>
  <c r="AU45" i="2"/>
  <c r="AT45" i="2"/>
  <c r="AS45" i="2"/>
  <c r="AR45" i="2"/>
  <c r="AQ45" i="2"/>
  <c r="AP45" i="2"/>
  <c r="AO45" i="2"/>
  <c r="AN45" i="2"/>
  <c r="AM45" i="2"/>
  <c r="AL45" i="2"/>
  <c r="AK45" i="2"/>
  <c r="AJ45" i="2"/>
  <c r="AI45" i="2"/>
  <c r="AH45" i="2"/>
  <c r="AG45" i="2"/>
  <c r="AF45" i="2"/>
  <c r="AE45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C45" i="2"/>
  <c r="B45" i="2"/>
  <c r="A45" i="2"/>
  <c r="BF44" i="2"/>
  <c r="BE44" i="2"/>
  <c r="BD44" i="2"/>
  <c r="BC44" i="2"/>
  <c r="BB44" i="2"/>
  <c r="BA44" i="2"/>
  <c r="AZ44" i="2"/>
  <c r="AY44" i="2"/>
  <c r="AX44" i="2"/>
  <c r="AW44" i="2"/>
  <c r="AV44" i="2"/>
  <c r="AU44" i="2"/>
  <c r="AT44" i="2"/>
  <c r="AS44" i="2"/>
  <c r="AR44" i="2"/>
  <c r="AQ44" i="2"/>
  <c r="AP44" i="2"/>
  <c r="AO44" i="2"/>
  <c r="AN44" i="2"/>
  <c r="AM44" i="2"/>
  <c r="AL44" i="2"/>
  <c r="AK44" i="2"/>
  <c r="AJ44" i="2"/>
  <c r="AI44" i="2"/>
  <c r="AH44" i="2"/>
  <c r="AG44" i="2"/>
  <c r="AF44" i="2"/>
  <c r="AE44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C44" i="2"/>
  <c r="B44" i="2"/>
  <c r="A44" i="2"/>
  <c r="BF43" i="2"/>
  <c r="BE43" i="2"/>
  <c r="BD43" i="2"/>
  <c r="BC43" i="2"/>
  <c r="BB43" i="2"/>
  <c r="BA43" i="2"/>
  <c r="AZ43" i="2"/>
  <c r="AY43" i="2"/>
  <c r="AX43" i="2"/>
  <c r="AW43" i="2"/>
  <c r="AV43" i="2"/>
  <c r="AU43" i="2"/>
  <c r="AT43" i="2"/>
  <c r="AS43" i="2"/>
  <c r="AR43" i="2"/>
  <c r="AQ43" i="2"/>
  <c r="AP43" i="2"/>
  <c r="AO43" i="2"/>
  <c r="AN43" i="2"/>
  <c r="AM43" i="2"/>
  <c r="AL43" i="2"/>
  <c r="AK43" i="2"/>
  <c r="AJ43" i="2"/>
  <c r="AI43" i="2"/>
  <c r="AH43" i="2"/>
  <c r="AG43" i="2"/>
  <c r="AF43" i="2"/>
  <c r="AE43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C43" i="2"/>
  <c r="B43" i="2"/>
  <c r="A43" i="2"/>
  <c r="BF42" i="2"/>
  <c r="BE42" i="2"/>
  <c r="BD42" i="2"/>
  <c r="BC42" i="2"/>
  <c r="BB42" i="2"/>
  <c r="BA42" i="2"/>
  <c r="AZ42" i="2"/>
  <c r="AY42" i="2"/>
  <c r="AX42" i="2"/>
  <c r="AW42" i="2"/>
  <c r="AV42" i="2"/>
  <c r="AU42" i="2"/>
  <c r="AT42" i="2"/>
  <c r="AS42" i="2"/>
  <c r="AR42" i="2"/>
  <c r="AQ42" i="2"/>
  <c r="AP42" i="2"/>
  <c r="AO42" i="2"/>
  <c r="AN42" i="2"/>
  <c r="AM42" i="2"/>
  <c r="AL42" i="2"/>
  <c r="AK42" i="2"/>
  <c r="AJ42" i="2"/>
  <c r="AI42" i="2"/>
  <c r="AH42" i="2"/>
  <c r="AG42" i="2"/>
  <c r="AF42" i="2"/>
  <c r="AE42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C42" i="2"/>
  <c r="B42" i="2"/>
  <c r="A42" i="2"/>
  <c r="BF41" i="2"/>
  <c r="BE41" i="2"/>
  <c r="BD41" i="2"/>
  <c r="BC41" i="2"/>
  <c r="BB41" i="2"/>
  <c r="BA41" i="2"/>
  <c r="AZ41" i="2"/>
  <c r="AY41" i="2"/>
  <c r="AX41" i="2"/>
  <c r="AW41" i="2"/>
  <c r="AV41" i="2"/>
  <c r="AU41" i="2"/>
  <c r="AT41" i="2"/>
  <c r="AS41" i="2"/>
  <c r="AR41" i="2"/>
  <c r="AQ41" i="2"/>
  <c r="AP41" i="2"/>
  <c r="AO41" i="2"/>
  <c r="AN41" i="2"/>
  <c r="AM41" i="2"/>
  <c r="AL41" i="2"/>
  <c r="AK41" i="2"/>
  <c r="AJ41" i="2"/>
  <c r="AI41" i="2"/>
  <c r="AH41" i="2"/>
  <c r="AG41" i="2"/>
  <c r="AF41" i="2"/>
  <c r="AE41" i="2"/>
  <c r="AD41" i="2"/>
  <c r="AC41" i="2"/>
  <c r="AB41" i="2"/>
  <c r="AA41" i="2"/>
  <c r="Z41" i="2"/>
  <c r="Y41" i="2"/>
  <c r="X41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C41" i="2"/>
  <c r="B41" i="2"/>
  <c r="A41" i="2"/>
  <c r="BF40" i="2"/>
  <c r="BE40" i="2"/>
  <c r="BD40" i="2"/>
  <c r="BC40" i="2"/>
  <c r="BB40" i="2"/>
  <c r="BA40" i="2"/>
  <c r="AZ40" i="2"/>
  <c r="AY40" i="2"/>
  <c r="AX40" i="2"/>
  <c r="AW40" i="2"/>
  <c r="AV40" i="2"/>
  <c r="AU40" i="2"/>
  <c r="AT40" i="2"/>
  <c r="AS40" i="2"/>
  <c r="AR40" i="2"/>
  <c r="AQ40" i="2"/>
  <c r="AP40" i="2"/>
  <c r="AO40" i="2"/>
  <c r="AN40" i="2"/>
  <c r="AM40" i="2"/>
  <c r="AL40" i="2"/>
  <c r="AK40" i="2"/>
  <c r="AJ40" i="2"/>
  <c r="AI40" i="2"/>
  <c r="AH40" i="2"/>
  <c r="AG40" i="2"/>
  <c r="AF40" i="2"/>
  <c r="AE40" i="2"/>
  <c r="AD40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C40" i="2"/>
  <c r="B40" i="2"/>
  <c r="A40" i="2"/>
  <c r="BF39" i="2"/>
  <c r="BE39" i="2"/>
  <c r="BD39" i="2"/>
  <c r="BC39" i="2"/>
  <c r="BB39" i="2"/>
  <c r="BA39" i="2"/>
  <c r="AZ39" i="2"/>
  <c r="AY39" i="2"/>
  <c r="AX39" i="2"/>
  <c r="AW39" i="2"/>
  <c r="AV39" i="2"/>
  <c r="AU39" i="2"/>
  <c r="AT39" i="2"/>
  <c r="AS39" i="2"/>
  <c r="AR39" i="2"/>
  <c r="AQ39" i="2"/>
  <c r="AP39" i="2"/>
  <c r="AO39" i="2"/>
  <c r="AN39" i="2"/>
  <c r="AM39" i="2"/>
  <c r="AL39" i="2"/>
  <c r="AK39" i="2"/>
  <c r="AJ39" i="2"/>
  <c r="AI39" i="2"/>
  <c r="AH39" i="2"/>
  <c r="AG39" i="2"/>
  <c r="AF39" i="2"/>
  <c r="AE39" i="2"/>
  <c r="AD39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C39" i="2"/>
  <c r="B39" i="2"/>
  <c r="A39" i="2"/>
  <c r="BF38" i="2"/>
  <c r="BE38" i="2"/>
  <c r="BD38" i="2"/>
  <c r="BC38" i="2"/>
  <c r="BB38" i="2"/>
  <c r="BA38" i="2"/>
  <c r="AZ38" i="2"/>
  <c r="AY38" i="2"/>
  <c r="AX38" i="2"/>
  <c r="AW38" i="2"/>
  <c r="AV38" i="2"/>
  <c r="AU38" i="2"/>
  <c r="AT38" i="2"/>
  <c r="AS38" i="2"/>
  <c r="AR38" i="2"/>
  <c r="AQ38" i="2"/>
  <c r="AP38" i="2"/>
  <c r="AO38" i="2"/>
  <c r="AN38" i="2"/>
  <c r="AM38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B38" i="2"/>
  <c r="A38" i="2"/>
  <c r="BF37" i="2"/>
  <c r="BE37" i="2"/>
  <c r="BD37" i="2"/>
  <c r="BC37" i="2"/>
  <c r="BB37" i="2"/>
  <c r="BA37" i="2"/>
  <c r="AZ37" i="2"/>
  <c r="AY37" i="2"/>
  <c r="AX37" i="2"/>
  <c r="AW37" i="2"/>
  <c r="AV37" i="2"/>
  <c r="AU37" i="2"/>
  <c r="AT37" i="2"/>
  <c r="AS37" i="2"/>
  <c r="AR37" i="2"/>
  <c r="AQ37" i="2"/>
  <c r="AP37" i="2"/>
  <c r="AO37" i="2"/>
  <c r="AN37" i="2"/>
  <c r="AM37" i="2"/>
  <c r="AL37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C37" i="2"/>
  <c r="B37" i="2"/>
  <c r="A37" i="2"/>
  <c r="BF36" i="2"/>
  <c r="BE36" i="2"/>
  <c r="BD36" i="2"/>
  <c r="BC36" i="2"/>
  <c r="BB36" i="2"/>
  <c r="BA36" i="2"/>
  <c r="AZ36" i="2"/>
  <c r="AY36" i="2"/>
  <c r="AX36" i="2"/>
  <c r="AW36" i="2"/>
  <c r="AV36" i="2"/>
  <c r="AU36" i="2"/>
  <c r="AT36" i="2"/>
  <c r="AS36" i="2"/>
  <c r="AR36" i="2"/>
  <c r="AQ36" i="2"/>
  <c r="AP36" i="2"/>
  <c r="AO36" i="2"/>
  <c r="AN36" i="2"/>
  <c r="AM36" i="2"/>
  <c r="AL36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C36" i="2"/>
  <c r="B36" i="2"/>
  <c r="A36" i="2"/>
  <c r="BF35" i="2"/>
  <c r="BE35" i="2"/>
  <c r="BD35" i="2"/>
  <c r="BC35" i="2"/>
  <c r="BB35" i="2"/>
  <c r="BA35" i="2"/>
  <c r="AZ35" i="2"/>
  <c r="AY35" i="2"/>
  <c r="AX35" i="2"/>
  <c r="AW35" i="2"/>
  <c r="AV35" i="2"/>
  <c r="AU35" i="2"/>
  <c r="AT35" i="2"/>
  <c r="AS35" i="2"/>
  <c r="AR35" i="2"/>
  <c r="AQ35" i="2"/>
  <c r="AP35" i="2"/>
  <c r="AO35" i="2"/>
  <c r="AN35" i="2"/>
  <c r="AM35" i="2"/>
  <c r="AL35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35" i="2"/>
  <c r="B35" i="2"/>
  <c r="A35" i="2"/>
  <c r="BF34" i="2"/>
  <c r="BE34" i="2"/>
  <c r="BD34" i="2"/>
  <c r="BC34" i="2"/>
  <c r="BB34" i="2"/>
  <c r="BA34" i="2"/>
  <c r="AZ34" i="2"/>
  <c r="AY34" i="2"/>
  <c r="AX34" i="2"/>
  <c r="AW34" i="2"/>
  <c r="AV34" i="2"/>
  <c r="AU34" i="2"/>
  <c r="AT34" i="2"/>
  <c r="AS34" i="2"/>
  <c r="AR34" i="2"/>
  <c r="AQ34" i="2"/>
  <c r="AP34" i="2"/>
  <c r="AO34" i="2"/>
  <c r="AN34" i="2"/>
  <c r="AM34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C34" i="2"/>
  <c r="B34" i="2"/>
  <c r="A34" i="2"/>
  <c r="BF33" i="2"/>
  <c r="BE33" i="2"/>
  <c r="BD33" i="2"/>
  <c r="BC33" i="2"/>
  <c r="BB33" i="2"/>
  <c r="BA33" i="2"/>
  <c r="AZ33" i="2"/>
  <c r="AY33" i="2"/>
  <c r="AX33" i="2"/>
  <c r="AW33" i="2"/>
  <c r="AV33" i="2"/>
  <c r="AU33" i="2"/>
  <c r="AT33" i="2"/>
  <c r="AS33" i="2"/>
  <c r="AR33" i="2"/>
  <c r="AQ33" i="2"/>
  <c r="AP33" i="2"/>
  <c r="AO33" i="2"/>
  <c r="AN33" i="2"/>
  <c r="AM33" i="2"/>
  <c r="AL33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B33" i="2"/>
  <c r="A33" i="2"/>
  <c r="BF32" i="2"/>
  <c r="BE32" i="2"/>
  <c r="BD32" i="2"/>
  <c r="BC32" i="2"/>
  <c r="BB32" i="2"/>
  <c r="BA32" i="2"/>
  <c r="AZ32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C32" i="2"/>
  <c r="B32" i="2"/>
  <c r="A32" i="2"/>
  <c r="BF31" i="2"/>
  <c r="BE31" i="2"/>
  <c r="BD31" i="2"/>
  <c r="BC31" i="2"/>
  <c r="BB31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C31" i="2"/>
  <c r="B31" i="2"/>
  <c r="A31" i="2"/>
  <c r="BF30" i="2"/>
  <c r="BE30" i="2"/>
  <c r="BD30" i="2"/>
  <c r="BC30" i="2"/>
  <c r="BB30" i="2"/>
  <c r="BA30" i="2"/>
  <c r="AZ30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C30" i="2"/>
  <c r="B30" i="2"/>
  <c r="A30" i="2"/>
  <c r="BF29" i="2"/>
  <c r="BE29" i="2"/>
  <c r="BD29" i="2"/>
  <c r="BC29" i="2"/>
  <c r="BB29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C29" i="2"/>
  <c r="B29" i="2"/>
  <c r="A29" i="2"/>
  <c r="BF28" i="2"/>
  <c r="BE28" i="2"/>
  <c r="BD28" i="2"/>
  <c r="BC28" i="2"/>
  <c r="BB28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C28" i="2"/>
  <c r="B28" i="2"/>
  <c r="A28" i="2"/>
  <c r="BF27" i="2"/>
  <c r="BE27" i="2"/>
  <c r="BD27" i="2"/>
  <c r="BC27" i="2"/>
  <c r="BB27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C27" i="2"/>
  <c r="B27" i="2"/>
  <c r="A27" i="2"/>
  <c r="BF26" i="2"/>
  <c r="BE26" i="2"/>
  <c r="BD26" i="2"/>
  <c r="BC26" i="2"/>
  <c r="BB26" i="2"/>
  <c r="BA26" i="2"/>
  <c r="AZ26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C26" i="2"/>
  <c r="B26" i="2"/>
  <c r="A26" i="2"/>
  <c r="BF25" i="2"/>
  <c r="BE25" i="2"/>
  <c r="BD25" i="2"/>
  <c r="BC25" i="2"/>
  <c r="BB25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25" i="2"/>
  <c r="B25" i="2"/>
  <c r="A25" i="2"/>
  <c r="BF24" i="2"/>
  <c r="BE24" i="2"/>
  <c r="BD24" i="2"/>
  <c r="BC24" i="2"/>
  <c r="BB24" i="2"/>
  <c r="BA24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C24" i="2"/>
  <c r="A24" i="2"/>
  <c r="BF23" i="2"/>
  <c r="BE23" i="2"/>
  <c r="BD23" i="2"/>
  <c r="BC23" i="2"/>
  <c r="BB23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A23" i="2"/>
  <c r="BF22" i="2"/>
  <c r="BE22" i="2"/>
  <c r="BD22" i="2"/>
  <c r="BC22" i="2"/>
  <c r="BB22" i="2"/>
  <c r="BA22" i="2"/>
  <c r="AZ22" i="2"/>
  <c r="AY22" i="2"/>
  <c r="AX22" i="2"/>
  <c r="AW22" i="2"/>
  <c r="AV22" i="2"/>
  <c r="AU22" i="2"/>
  <c r="AT22" i="2"/>
  <c r="AS22" i="2"/>
  <c r="AR22" i="2"/>
  <c r="AQ22" i="2"/>
  <c r="AP22" i="2"/>
  <c r="AO22" i="2"/>
  <c r="AN22" i="2"/>
  <c r="AM22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C22" i="2"/>
  <c r="B22" i="2"/>
  <c r="A22" i="2"/>
  <c r="BF21" i="2"/>
  <c r="BE21" i="2"/>
  <c r="BD21" i="2"/>
  <c r="BC21" i="2"/>
  <c r="BB21" i="2"/>
  <c r="BA21" i="2"/>
  <c r="AZ21" i="2"/>
  <c r="AY21" i="2"/>
  <c r="AX21" i="2"/>
  <c r="AW21" i="2"/>
  <c r="AV21" i="2"/>
  <c r="AU21" i="2"/>
  <c r="AT21" i="2"/>
  <c r="AS21" i="2"/>
  <c r="AR21" i="2"/>
  <c r="AQ21" i="2"/>
  <c r="AP21" i="2"/>
  <c r="AO21" i="2"/>
  <c r="AN21" i="2"/>
  <c r="AM21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B21" i="2"/>
  <c r="A21" i="2"/>
  <c r="BF20" i="2"/>
  <c r="BE20" i="2"/>
  <c r="BD20" i="2"/>
  <c r="BC20" i="2"/>
  <c r="BB20" i="2"/>
  <c r="BA20" i="2"/>
  <c r="AZ20" i="2"/>
  <c r="AY20" i="2"/>
  <c r="AX20" i="2"/>
  <c r="AW20" i="2"/>
  <c r="AV20" i="2"/>
  <c r="AU20" i="2"/>
  <c r="AT20" i="2"/>
  <c r="AS20" i="2"/>
  <c r="AR20" i="2"/>
  <c r="AQ20" i="2"/>
  <c r="AP20" i="2"/>
  <c r="AO20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20" i="2"/>
  <c r="B20" i="2"/>
  <c r="A20" i="2"/>
  <c r="BF19" i="2"/>
  <c r="BE19" i="2"/>
  <c r="BD19" i="2"/>
  <c r="BC19" i="2"/>
  <c r="BB19" i="2"/>
  <c r="BA19" i="2"/>
  <c r="AZ19" i="2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C19" i="2"/>
  <c r="B19" i="2"/>
  <c r="A19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A18" i="2"/>
  <c r="BF17" i="2"/>
  <c r="BE17" i="2"/>
  <c r="BD17" i="2"/>
  <c r="BC17" i="2"/>
  <c r="BB17" i="2"/>
  <c r="BA17" i="2"/>
  <c r="AZ17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A17" i="2"/>
  <c r="BF16" i="2"/>
  <c r="BE16" i="2"/>
  <c r="BD16" i="2"/>
  <c r="BC16" i="2"/>
  <c r="BB16" i="2"/>
  <c r="BA16" i="2"/>
  <c r="AZ16" i="2"/>
  <c r="AY16" i="2"/>
  <c r="AX16" i="2"/>
  <c r="AW16" i="2"/>
  <c r="AV16" i="2"/>
  <c r="AU16" i="2"/>
  <c r="AT16" i="2"/>
  <c r="AS16" i="2"/>
  <c r="AR16" i="2"/>
  <c r="AQ16" i="2"/>
  <c r="AP16" i="2"/>
  <c r="AO16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16" i="2"/>
  <c r="B16" i="2"/>
  <c r="A16" i="2"/>
  <c r="BF15" i="2"/>
  <c r="BE15" i="2"/>
  <c r="BD15" i="2"/>
  <c r="BC15" i="2"/>
  <c r="BB15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B15" i="2"/>
  <c r="A15" i="2"/>
  <c r="BF14" i="2"/>
  <c r="BE14" i="2"/>
  <c r="BD14" i="2"/>
  <c r="BC14" i="2"/>
  <c r="BB14" i="2"/>
  <c r="BA14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A14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B13" i="2"/>
  <c r="A13" i="2"/>
  <c r="BF12" i="2"/>
  <c r="BE12" i="2"/>
  <c r="BD12" i="2"/>
  <c r="BC12" i="2"/>
  <c r="BB12" i="2"/>
  <c r="BA12" i="2"/>
  <c r="AZ12" i="2"/>
  <c r="AY12" i="2"/>
  <c r="AX12" i="2"/>
  <c r="AW12" i="2"/>
  <c r="AV12" i="2"/>
  <c r="AU12" i="2"/>
  <c r="AT12" i="2"/>
  <c r="AS12" i="2"/>
  <c r="AR12" i="2"/>
  <c r="AQ12" i="2"/>
  <c r="AP12" i="2"/>
  <c r="AO12" i="2"/>
  <c r="AN12" i="2"/>
  <c r="AM12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C12" i="2"/>
  <c r="A12" i="2"/>
  <c r="BF11" i="2"/>
  <c r="BE11" i="2"/>
  <c r="BD11" i="2"/>
  <c r="BC11" i="2"/>
  <c r="BB11" i="2"/>
  <c r="BA11" i="2"/>
  <c r="AZ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11" i="2"/>
  <c r="B11" i="2"/>
  <c r="A11" i="2"/>
  <c r="BF10" i="2"/>
  <c r="BE10" i="2"/>
  <c r="BD10" i="2"/>
  <c r="BC10" i="2"/>
  <c r="BB10" i="2"/>
  <c r="BA10" i="2"/>
  <c r="AZ10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C10" i="2"/>
  <c r="A10" i="2"/>
  <c r="BF9" i="2"/>
  <c r="BE9" i="2"/>
  <c r="BD9" i="2"/>
  <c r="BC9" i="2"/>
  <c r="BB9" i="2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C9" i="2"/>
  <c r="B9" i="2"/>
  <c r="A9" i="2"/>
  <c r="BF8" i="2"/>
  <c r="BE8" i="2"/>
  <c r="BD8" i="2"/>
  <c r="BC8" i="2"/>
  <c r="BB8" i="2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C8" i="2"/>
  <c r="B8" i="2"/>
  <c r="A8" i="2"/>
  <c r="BF7" i="2"/>
  <c r="BE7" i="2"/>
  <c r="BD7" i="2"/>
  <c r="BC7" i="2"/>
  <c r="BB7" i="2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C7" i="2"/>
  <c r="A7" i="2"/>
  <c r="BF6" i="2"/>
  <c r="BE6" i="2"/>
  <c r="BD6" i="2"/>
  <c r="BC6" i="2"/>
  <c r="BB6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C6" i="2"/>
  <c r="B6" i="2"/>
  <c r="A6" i="2"/>
  <c r="BF5" i="2"/>
  <c r="BE5" i="2"/>
  <c r="BD5" i="2"/>
  <c r="BC5" i="2"/>
  <c r="BB5" i="2"/>
  <c r="BA5" i="2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C5" i="2"/>
  <c r="A5" i="2"/>
  <c r="BF216" i="2" l="1"/>
  <c r="BE217" i="2"/>
  <c r="BF218" i="2"/>
  <c r="BF219" i="2"/>
  <c r="BE210" i="2"/>
  <c r="BE209" i="2" s="1"/>
  <c r="BF281" i="2"/>
  <c r="BF284" i="2"/>
  <c r="AM223" i="2"/>
  <c r="AU87" i="2"/>
  <c r="BD87" i="2"/>
  <c r="AP279" i="2"/>
  <c r="AT64" i="2"/>
  <c r="BF60" i="2"/>
  <c r="BF65" i="2"/>
  <c r="BE69" i="2"/>
  <c r="BD75" i="2"/>
  <c r="BF75" i="2"/>
  <c r="BF99" i="2"/>
  <c r="BF258" i="2"/>
  <c r="BF186" i="2"/>
  <c r="BE188" i="2"/>
  <c r="BF188" i="2"/>
  <c r="BD189" i="2"/>
  <c r="BE189" i="2"/>
  <c r="BE190" i="2"/>
  <c r="BF190" i="2"/>
  <c r="BD184" i="2"/>
  <c r="BE184" i="2"/>
  <c r="BF184" i="2"/>
  <c r="BD185" i="2"/>
  <c r="BE185" i="2"/>
  <c r="BF185" i="2"/>
  <c r="BD186" i="2"/>
  <c r="BE186" i="2"/>
  <c r="BD187" i="2"/>
  <c r="BE187" i="2"/>
  <c r="BF187" i="2"/>
  <c r="BD188" i="2"/>
  <c r="BF189" i="2"/>
  <c r="BD190" i="2"/>
  <c r="BE223" i="2"/>
  <c r="BE198" i="2"/>
  <c r="BE216" i="2"/>
  <c r="BE258" i="2"/>
  <c r="BF279" i="2"/>
  <c r="BE282" i="2"/>
  <c r="BF331" i="2"/>
  <c r="BD332" i="2"/>
  <c r="BE332" i="2"/>
  <c r="BE334" i="2"/>
  <c r="BF334" i="2"/>
  <c r="BD337" i="2"/>
  <c r="BE337" i="2"/>
  <c r="BF337" i="2"/>
  <c r="BF332" i="2"/>
  <c r="BD333" i="2"/>
  <c r="BE335" i="2"/>
  <c r="BF335" i="2"/>
  <c r="BD331" i="2"/>
  <c r="BE331" i="2"/>
  <c r="BF333" i="2"/>
  <c r="BD334" i="2"/>
  <c r="BD336" i="2"/>
  <c r="BE336" i="2"/>
  <c r="BF336" i="2"/>
  <c r="BE333" i="2"/>
  <c r="BD335" i="2"/>
  <c r="BD363" i="2"/>
  <c r="BE368" i="2"/>
  <c r="BE364" i="2"/>
  <c r="BF364" i="2"/>
  <c r="BE367" i="2"/>
  <c r="BF365" i="2"/>
  <c r="BD367" i="2"/>
  <c r="BD418" i="2"/>
  <c r="BF419" i="2"/>
  <c r="BD421" i="2"/>
  <c r="BD422" i="2"/>
  <c r="BE422" i="2"/>
  <c r="BD424" i="2"/>
  <c r="BE424" i="2"/>
  <c r="BF424" i="2"/>
  <c r="BD426" i="2"/>
  <c r="BF425" i="2"/>
  <c r="BE427" i="2"/>
  <c r="BE428" i="2"/>
  <c r="BF428" i="2"/>
  <c r="BD428" i="2"/>
  <c r="BF418" i="2"/>
  <c r="BE418" i="2"/>
  <c r="BD419" i="2"/>
  <c r="BE419" i="2"/>
  <c r="BD420" i="2"/>
  <c r="BE420" i="2"/>
  <c r="BF420" i="2"/>
  <c r="BE421" i="2"/>
  <c r="BF421" i="2"/>
  <c r="BF422" i="2"/>
  <c r="BF423" i="2"/>
  <c r="BD425" i="2"/>
  <c r="BE425" i="2"/>
  <c r="BE426" i="2"/>
  <c r="BF426" i="2"/>
  <c r="BF427" i="2"/>
  <c r="BF466" i="2"/>
  <c r="BF507" i="2"/>
  <c r="BE481" i="2"/>
  <c r="BF509" i="2"/>
  <c r="BE506" i="2"/>
  <c r="BF506" i="2"/>
  <c r="BD526" i="2"/>
  <c r="BE529" i="2"/>
  <c r="BD529" i="2"/>
  <c r="BD528" i="2"/>
  <c r="AO60" i="2"/>
  <c r="BA65" i="2"/>
  <c r="AO69" i="2"/>
  <c r="AP69" i="2"/>
  <c r="AW69" i="2"/>
  <c r="AX69" i="2"/>
  <c r="AM75" i="2"/>
  <c r="AN75" i="2"/>
  <c r="AO75" i="2"/>
  <c r="AR75" i="2"/>
  <c r="AT75" i="2"/>
  <c r="AU75" i="2"/>
  <c r="AV75" i="2"/>
  <c r="AW75" i="2"/>
  <c r="BB75" i="2"/>
  <c r="BC75" i="2"/>
  <c r="AS75" i="2"/>
  <c r="BA75" i="2"/>
  <c r="AZ75" i="2"/>
  <c r="AO87" i="2"/>
  <c r="AQ87" i="2"/>
  <c r="AR87" i="2"/>
  <c r="AR189" i="2"/>
  <c r="AZ189" i="2"/>
  <c r="BB189" i="2"/>
  <c r="BC189" i="2"/>
  <c r="AQ189" i="2"/>
  <c r="AY189" i="2"/>
  <c r="AP190" i="2"/>
  <c r="AQ190" i="2"/>
  <c r="AR190" i="2"/>
  <c r="AS190" i="2"/>
  <c r="AX190" i="2"/>
  <c r="AY190" i="2"/>
  <c r="AZ190" i="2"/>
  <c r="BA190" i="2"/>
  <c r="AM184" i="2"/>
  <c r="AN184" i="2"/>
  <c r="AO184" i="2"/>
  <c r="AP184" i="2"/>
  <c r="AQ184" i="2"/>
  <c r="AR184" i="2"/>
  <c r="AS184" i="2"/>
  <c r="AT184" i="2"/>
  <c r="AU184" i="2"/>
  <c r="AV184" i="2"/>
  <c r="AW184" i="2"/>
  <c r="AX184" i="2"/>
  <c r="AY184" i="2"/>
  <c r="AZ184" i="2"/>
  <c r="BA184" i="2"/>
  <c r="BB184" i="2"/>
  <c r="BC184" i="2"/>
  <c r="AM185" i="2"/>
  <c r="AN185" i="2"/>
  <c r="AO185" i="2"/>
  <c r="AP185" i="2"/>
  <c r="AQ185" i="2"/>
  <c r="AR185" i="2"/>
  <c r="AS185" i="2"/>
  <c r="AT185" i="2"/>
  <c r="AU185" i="2"/>
  <c r="AV185" i="2"/>
  <c r="AW185" i="2"/>
  <c r="AX185" i="2"/>
  <c r="AY185" i="2"/>
  <c r="AZ185" i="2"/>
  <c r="BA185" i="2"/>
  <c r="BB185" i="2"/>
  <c r="BC185" i="2"/>
  <c r="AM186" i="2"/>
  <c r="AN186" i="2"/>
  <c r="AO186" i="2"/>
  <c r="AP186" i="2"/>
  <c r="AQ186" i="2"/>
  <c r="AR186" i="2"/>
  <c r="AS186" i="2"/>
  <c r="AT186" i="2"/>
  <c r="AU186" i="2"/>
  <c r="AV186" i="2"/>
  <c r="AW186" i="2"/>
  <c r="AX186" i="2"/>
  <c r="AY186" i="2"/>
  <c r="AZ186" i="2"/>
  <c r="BA186" i="2"/>
  <c r="BB186" i="2"/>
  <c r="BC186" i="2"/>
  <c r="AM187" i="2"/>
  <c r="AN187" i="2"/>
  <c r="AO187" i="2"/>
  <c r="AP187" i="2"/>
  <c r="AQ187" i="2"/>
  <c r="AR187" i="2"/>
  <c r="AS187" i="2"/>
  <c r="AT187" i="2"/>
  <c r="AU187" i="2"/>
  <c r="AV187" i="2"/>
  <c r="AW187" i="2"/>
  <c r="AX187" i="2"/>
  <c r="AY187" i="2"/>
  <c r="AZ187" i="2"/>
  <c r="BA187" i="2"/>
  <c r="BB187" i="2"/>
  <c r="BC187" i="2"/>
  <c r="AM188" i="2"/>
  <c r="AN188" i="2"/>
  <c r="AO188" i="2"/>
  <c r="AP188" i="2"/>
  <c r="AQ188" i="2"/>
  <c r="AR188" i="2"/>
  <c r="AS188" i="2"/>
  <c r="AT188" i="2"/>
  <c r="AU188" i="2"/>
  <c r="AV188" i="2"/>
  <c r="AW188" i="2"/>
  <c r="AX188" i="2"/>
  <c r="AY188" i="2"/>
  <c r="AZ188" i="2"/>
  <c r="BA188" i="2"/>
  <c r="BB188" i="2"/>
  <c r="BC188" i="2"/>
  <c r="AM189" i="2"/>
  <c r="AN189" i="2"/>
  <c r="AO189" i="2"/>
  <c r="AP189" i="2"/>
  <c r="AT189" i="2"/>
  <c r="AU189" i="2"/>
  <c r="AV189" i="2"/>
  <c r="AW189" i="2"/>
  <c r="AX189" i="2"/>
  <c r="AM190" i="2"/>
  <c r="AN190" i="2"/>
  <c r="AO190" i="2"/>
  <c r="AT190" i="2"/>
  <c r="AU190" i="2"/>
  <c r="AV190" i="2"/>
  <c r="AW190" i="2"/>
  <c r="BB190" i="2"/>
  <c r="BC190" i="2"/>
  <c r="AR216" i="2"/>
  <c r="AN217" i="2"/>
  <c r="AV217" i="2"/>
  <c r="BC217" i="2"/>
  <c r="AX218" i="2"/>
  <c r="AV220" i="2"/>
  <c r="AW216" i="2"/>
  <c r="AT218" i="2"/>
  <c r="AZ218" i="2"/>
  <c r="AO219" i="2"/>
  <c r="BB219" i="2"/>
  <c r="AO216" i="2"/>
  <c r="AZ255" i="2"/>
  <c r="AT256" i="2"/>
  <c r="AR256" i="2"/>
  <c r="AZ257" i="2"/>
  <c r="AR258" i="2"/>
  <c r="BC258" i="2"/>
  <c r="AV259" i="2"/>
  <c r="AQ256" i="2"/>
  <c r="AT283" i="2"/>
  <c r="AZ331" i="2"/>
  <c r="AQ332" i="2"/>
  <c r="AR332" i="2"/>
  <c r="AY332" i="2"/>
  <c r="AP333" i="2"/>
  <c r="AX333" i="2"/>
  <c r="AY333" i="2"/>
  <c r="AO334" i="2"/>
  <c r="AW334" i="2"/>
  <c r="AN335" i="2"/>
  <c r="AO335" i="2"/>
  <c r="AV335" i="2"/>
  <c r="AM336" i="2"/>
  <c r="AN336" i="2"/>
  <c r="AU336" i="2"/>
  <c r="BC336" i="2"/>
  <c r="AT337" i="2"/>
  <c r="BB337" i="2"/>
  <c r="AR335" i="2"/>
  <c r="AZ335" i="2"/>
  <c r="AQ336" i="2"/>
  <c r="AY336" i="2"/>
  <c r="AP337" i="2"/>
  <c r="AU337" i="2"/>
  <c r="AX337" i="2"/>
  <c r="AZ337" i="2"/>
  <c r="AS331" i="2"/>
  <c r="AT331" i="2"/>
  <c r="BB331" i="2"/>
  <c r="AS332" i="2"/>
  <c r="BA332" i="2"/>
  <c r="AR333" i="2"/>
  <c r="AZ333" i="2"/>
  <c r="AQ334" i="2"/>
  <c r="AP335" i="2"/>
  <c r="AX335" i="2"/>
  <c r="AO336" i="2"/>
  <c r="AW336" i="2"/>
  <c r="AN337" i="2"/>
  <c r="AR331" i="2"/>
  <c r="AY334" i="2"/>
  <c r="AV337" i="2"/>
  <c r="AP362" i="2"/>
  <c r="AX362" i="2"/>
  <c r="AW363" i="2"/>
  <c r="AN364" i="2"/>
  <c r="AM365" i="2"/>
  <c r="AU365" i="2"/>
  <c r="BC365" i="2"/>
  <c r="AT366" i="2"/>
  <c r="AM362" i="2"/>
  <c r="AO362" i="2"/>
  <c r="AU362" i="2"/>
  <c r="BC362" i="2"/>
  <c r="AN363" i="2"/>
  <c r="AU363" i="2"/>
  <c r="AV363" i="2"/>
  <c r="BB363" i="2"/>
  <c r="AM364" i="2"/>
  <c r="AS364" i="2"/>
  <c r="AT364" i="2"/>
  <c r="BA364" i="2"/>
  <c r="BC364" i="2"/>
  <c r="AR365" i="2"/>
  <c r="AT365" i="2"/>
  <c r="AZ365" i="2"/>
  <c r="BB365" i="2"/>
  <c r="AQ366" i="2"/>
  <c r="AS366" i="2"/>
  <c r="AX366" i="2"/>
  <c r="AY366" i="2"/>
  <c r="BA366" i="2"/>
  <c r="AR367" i="2"/>
  <c r="AX367" i="2"/>
  <c r="AZ367" i="2"/>
  <c r="AO368" i="2"/>
  <c r="AQ368" i="2"/>
  <c r="AW368" i="2"/>
  <c r="AY368" i="2"/>
  <c r="AN362" i="2"/>
  <c r="AV362" i="2"/>
  <c r="AW362" i="2"/>
  <c r="AZ362" i="2"/>
  <c r="AM363" i="2"/>
  <c r="AO363" i="2"/>
  <c r="AT363" i="2"/>
  <c r="BC363" i="2"/>
  <c r="AU364" i="2"/>
  <c r="AV364" i="2"/>
  <c r="AX364" i="2"/>
  <c r="BB364" i="2"/>
  <c r="AS365" i="2"/>
  <c r="AW365" i="2"/>
  <c r="BA365" i="2"/>
  <c r="AR366" i="2"/>
  <c r="BB366" i="2"/>
  <c r="AP367" i="2"/>
  <c r="AU367" i="2"/>
  <c r="AY367" i="2"/>
  <c r="AR419" i="2"/>
  <c r="AS419" i="2"/>
  <c r="AT419" i="2"/>
  <c r="BA419" i="2"/>
  <c r="BB419" i="2"/>
  <c r="AN423" i="2"/>
  <c r="AM421" i="2"/>
  <c r="AP421" i="2"/>
  <c r="AT421" i="2"/>
  <c r="AU421" i="2"/>
  <c r="AV421" i="2"/>
  <c r="AW421" i="2"/>
  <c r="BB421" i="2"/>
  <c r="BC421" i="2"/>
  <c r="AM422" i="2"/>
  <c r="AN422" i="2"/>
  <c r="AP422" i="2"/>
  <c r="AR422" i="2"/>
  <c r="AT422" i="2"/>
  <c r="AV422" i="2"/>
  <c r="AX422" i="2"/>
  <c r="AZ422" i="2"/>
  <c r="BA422" i="2"/>
  <c r="BB422" i="2"/>
  <c r="BC422" i="2"/>
  <c r="AQ426" i="2"/>
  <c r="AN424" i="2"/>
  <c r="AO424" i="2"/>
  <c r="AP424" i="2"/>
  <c r="AQ424" i="2"/>
  <c r="AV424" i="2"/>
  <c r="AW424" i="2"/>
  <c r="AX424" i="2"/>
  <c r="AY424" i="2"/>
  <c r="BC424" i="2"/>
  <c r="AN426" i="2"/>
  <c r="AT426" i="2"/>
  <c r="AU426" i="2"/>
  <c r="AV426" i="2"/>
  <c r="AW426" i="2"/>
  <c r="BB426" i="2"/>
  <c r="AM425" i="2"/>
  <c r="AO425" i="2"/>
  <c r="AQ425" i="2"/>
  <c r="AS425" i="2"/>
  <c r="AT425" i="2"/>
  <c r="AU425" i="2"/>
  <c r="AV425" i="2"/>
  <c r="AW425" i="2"/>
  <c r="AY425" i="2"/>
  <c r="BA425" i="2"/>
  <c r="BC425" i="2"/>
  <c r="AT427" i="2"/>
  <c r="BB427" i="2"/>
  <c r="AM428" i="2"/>
  <c r="AU428" i="2"/>
  <c r="AY428" i="2"/>
  <c r="BC428" i="2"/>
  <c r="AN428" i="2"/>
  <c r="AP428" i="2"/>
  <c r="AV428" i="2"/>
  <c r="AX428" i="2"/>
  <c r="AX429" i="2"/>
  <c r="AZ429" i="2"/>
  <c r="AY418" i="2"/>
  <c r="AX427" i="2"/>
  <c r="AO418" i="2"/>
  <c r="AQ418" i="2"/>
  <c r="AS418" i="2"/>
  <c r="AU418" i="2"/>
  <c r="AW418" i="2"/>
  <c r="AM419" i="2"/>
  <c r="AN419" i="2"/>
  <c r="AO419" i="2"/>
  <c r="AP419" i="2"/>
  <c r="AQ419" i="2"/>
  <c r="AU419" i="2"/>
  <c r="AV419" i="2"/>
  <c r="AW419" i="2"/>
  <c r="AX419" i="2"/>
  <c r="AY419" i="2"/>
  <c r="AZ419" i="2"/>
  <c r="BC419" i="2"/>
  <c r="AM420" i="2"/>
  <c r="AS420" i="2"/>
  <c r="AU420" i="2"/>
  <c r="AW420" i="2"/>
  <c r="BA420" i="2"/>
  <c r="BC420" i="2"/>
  <c r="AN421" i="2"/>
  <c r="AO421" i="2"/>
  <c r="AQ421" i="2"/>
  <c r="AR421" i="2"/>
  <c r="AS421" i="2"/>
  <c r="AX421" i="2"/>
  <c r="AY421" i="2"/>
  <c r="AZ421" i="2"/>
  <c r="BA421" i="2"/>
  <c r="AO422" i="2"/>
  <c r="AQ422" i="2"/>
  <c r="AS422" i="2"/>
  <c r="AU422" i="2"/>
  <c r="AW422" i="2"/>
  <c r="AY422" i="2"/>
  <c r="AR423" i="2"/>
  <c r="AV423" i="2"/>
  <c r="AX423" i="2"/>
  <c r="AZ423" i="2"/>
  <c r="AM424" i="2"/>
  <c r="AR424" i="2"/>
  <c r="AS424" i="2"/>
  <c r="AT424" i="2"/>
  <c r="AU424" i="2"/>
  <c r="AZ424" i="2"/>
  <c r="BA424" i="2"/>
  <c r="BB424" i="2"/>
  <c r="AN425" i="2"/>
  <c r="AP425" i="2"/>
  <c r="AR425" i="2"/>
  <c r="AX425" i="2"/>
  <c r="AZ425" i="2"/>
  <c r="BB425" i="2"/>
  <c r="AM426" i="2"/>
  <c r="AO426" i="2"/>
  <c r="AS426" i="2"/>
  <c r="AY426" i="2"/>
  <c r="BA426" i="2"/>
  <c r="BC426" i="2"/>
  <c r="AP427" i="2"/>
  <c r="AQ428" i="2"/>
  <c r="AS428" i="2"/>
  <c r="AW428" i="2"/>
  <c r="AO481" i="2"/>
  <c r="AR487" i="2"/>
  <c r="AR509" i="2"/>
  <c r="AO494" i="2"/>
  <c r="BC494" i="2"/>
  <c r="AZ510" i="2"/>
  <c r="AQ500" i="2"/>
  <c r="AM526" i="2"/>
  <c r="AS526" i="2"/>
  <c r="AU526" i="2"/>
  <c r="BA526" i="2"/>
  <c r="AR529" i="2"/>
  <c r="AZ529" i="2"/>
  <c r="AQ528" i="2"/>
  <c r="AY528" i="2"/>
  <c r="AT527" i="2"/>
  <c r="AU527" i="2"/>
  <c r="BB527" i="2"/>
  <c r="BC527" i="2"/>
  <c r="AP529" i="2"/>
  <c r="AX529" i="2"/>
  <c r="AN527" i="2"/>
  <c r="AR526" i="2"/>
  <c r="AV527" i="2"/>
  <c r="AZ526" i="2"/>
  <c r="BB528" i="2"/>
  <c r="BC526" i="2"/>
  <c r="AM527" i="2"/>
  <c r="AS528" i="2"/>
  <c r="AT528" i="2"/>
  <c r="BA528" i="2"/>
  <c r="BE510" i="2" l="1"/>
  <c r="BE476" i="2"/>
  <c r="AV279" i="2"/>
  <c r="AV526" i="2"/>
  <c r="AT466" i="2"/>
  <c r="AO473" i="2"/>
  <c r="AY420" i="2"/>
  <c r="AQ420" i="2"/>
  <c r="AU368" i="2"/>
  <c r="AS362" i="2"/>
  <c r="AV366" i="2"/>
  <c r="AY363" i="2"/>
  <c r="BE500" i="2"/>
  <c r="BE507" i="2"/>
  <c r="BE466" i="2"/>
  <c r="BF429" i="2"/>
  <c r="BD423" i="2"/>
  <c r="AY527" i="2"/>
  <c r="AQ527" i="2"/>
  <c r="AZ528" i="2"/>
  <c r="AR528" i="2"/>
  <c r="BB526" i="2"/>
  <c r="AT526" i="2"/>
  <c r="BC529" i="2"/>
  <c r="AU529" i="2"/>
  <c r="AM529" i="2"/>
  <c r="AW528" i="2"/>
  <c r="AO528" i="2"/>
  <c r="AY526" i="2"/>
  <c r="AQ526" i="2"/>
  <c r="AO466" i="2"/>
  <c r="AO476" i="2"/>
  <c r="AX420" i="2"/>
  <c r="AP420" i="2"/>
  <c r="BB368" i="2"/>
  <c r="AT368" i="2"/>
  <c r="BC367" i="2"/>
  <c r="AM367" i="2"/>
  <c r="AN366" i="2"/>
  <c r="AO365" i="2"/>
  <c r="AP364" i="2"/>
  <c r="AQ363" i="2"/>
  <c r="AR362" i="2"/>
  <c r="AU69" i="2"/>
  <c r="AV69" i="2"/>
  <c r="AN69" i="2"/>
  <c r="BE527" i="2"/>
  <c r="BF527" i="2"/>
  <c r="BF529" i="2"/>
  <c r="BD527" i="2"/>
  <c r="BE526" i="2"/>
  <c r="BE429" i="2"/>
  <c r="BD427" i="2"/>
  <c r="BE423" i="2"/>
  <c r="AO453" i="2"/>
  <c r="AZ427" i="2"/>
  <c r="AR427" i="2"/>
  <c r="AO420" i="2"/>
  <c r="AP423" i="2"/>
  <c r="BA418" i="2"/>
  <c r="BC69" i="2"/>
  <c r="AM69" i="2"/>
  <c r="BD429" i="2"/>
  <c r="BD362" i="2"/>
  <c r="AN526" i="2"/>
  <c r="AP527" i="2"/>
  <c r="AS527" i="2"/>
  <c r="AT529" i="2"/>
  <c r="AV528" i="2"/>
  <c r="AW529" i="2"/>
  <c r="AX526" i="2"/>
  <c r="AW527" i="2"/>
  <c r="AO527" i="2"/>
  <c r="AX528" i="2"/>
  <c r="AP528" i="2"/>
  <c r="AY529" i="2"/>
  <c r="AQ529" i="2"/>
  <c r="BA529" i="2"/>
  <c r="AS529" i="2"/>
  <c r="BC528" i="2"/>
  <c r="AU528" i="2"/>
  <c r="AM528" i="2"/>
  <c r="AV529" i="2"/>
  <c r="AN529" i="2"/>
  <c r="AW526" i="2"/>
  <c r="AO526" i="2"/>
  <c r="AV500" i="2"/>
  <c r="BB69" i="2"/>
  <c r="AT69" i="2"/>
  <c r="BE528" i="2"/>
  <c r="BF260" i="2"/>
  <c r="AX527" i="2"/>
  <c r="BA527" i="2"/>
  <c r="BB529" i="2"/>
  <c r="AN528" i="2"/>
  <c r="AO529" i="2"/>
  <c r="AP526" i="2"/>
  <c r="AZ466" i="2"/>
  <c r="AT472" i="2"/>
  <c r="BA189" i="2"/>
  <c r="AS189" i="2"/>
  <c r="BE260" i="2"/>
  <c r="BE256" i="2"/>
  <c r="BE75" i="2"/>
  <c r="AR472" i="2"/>
  <c r="BC337" i="2"/>
  <c r="AM337" i="2"/>
  <c r="AV336" i="2"/>
  <c r="AW335" i="2"/>
  <c r="AX334" i="2"/>
  <c r="AP334" i="2"/>
  <c r="AQ333" i="2"/>
  <c r="AZ332" i="2"/>
  <c r="BA331" i="2"/>
  <c r="BF259" i="2"/>
  <c r="BF235" i="2"/>
  <c r="BF255" i="2"/>
  <c r="BE285" i="2"/>
  <c r="BE284" i="2"/>
  <c r="BE281" i="2"/>
  <c r="BE218" i="2"/>
  <c r="AR429" i="2"/>
  <c r="BB429" i="2"/>
  <c r="AT429" i="2"/>
  <c r="AO428" i="2"/>
  <c r="AY427" i="2"/>
  <c r="AQ427" i="2"/>
  <c r="AZ418" i="2"/>
  <c r="AR418" i="2"/>
  <c r="BA368" i="2"/>
  <c r="AS368" i="2"/>
  <c r="AZ368" i="2"/>
  <c r="AR368" i="2"/>
  <c r="BA367" i="2"/>
  <c r="AS367" i="2"/>
  <c r="AW258" i="2"/>
  <c r="AZ220" i="2"/>
  <c r="AR217" i="2"/>
  <c r="AT216" i="2"/>
  <c r="BC87" i="2"/>
  <c r="BC86" i="2" s="1"/>
  <c r="AN87" i="2"/>
  <c r="AN86" i="2" s="1"/>
  <c r="BF510" i="2"/>
  <c r="BF494" i="2"/>
  <c r="BF476" i="2"/>
  <c r="BF460" i="2"/>
  <c r="BE259" i="2"/>
  <c r="BE235" i="2"/>
  <c r="BF87" i="2"/>
  <c r="BF86" i="2" s="1"/>
  <c r="AZ472" i="2"/>
  <c r="BA337" i="2"/>
  <c r="AS337" i="2"/>
  <c r="BB336" i="2"/>
  <c r="AT336" i="2"/>
  <c r="BC335" i="2"/>
  <c r="AU335" i="2"/>
  <c r="AM335" i="2"/>
  <c r="AV334" i="2"/>
  <c r="AN334" i="2"/>
  <c r="AW333" i="2"/>
  <c r="AO333" i="2"/>
  <c r="AX332" i="2"/>
  <c r="AP332" i="2"/>
  <c r="AY331" i="2"/>
  <c r="AQ331" i="2"/>
  <c r="AR337" i="2"/>
  <c r="BA336" i="2"/>
  <c r="AS336" i="2"/>
  <c r="BB335" i="2"/>
  <c r="AT335" i="2"/>
  <c r="BC334" i="2"/>
  <c r="AU334" i="2"/>
  <c r="AM334" i="2"/>
  <c r="AV333" i="2"/>
  <c r="AN333" i="2"/>
  <c r="AW332" i="2"/>
  <c r="AO332" i="2"/>
  <c r="AX331" i="2"/>
  <c r="AP331" i="2"/>
  <c r="AY337" i="2"/>
  <c r="AQ337" i="2"/>
  <c r="AZ336" i="2"/>
  <c r="AR336" i="2"/>
  <c r="BA335" i="2"/>
  <c r="AS335" i="2"/>
  <c r="BB334" i="2"/>
  <c r="AT334" i="2"/>
  <c r="BC333" i="2"/>
  <c r="AU333" i="2"/>
  <c r="AM333" i="2"/>
  <c r="AV332" i="2"/>
  <c r="AN332" i="2"/>
  <c r="AW331" i="2"/>
  <c r="AO331" i="2"/>
  <c r="AW99" i="2"/>
  <c r="AW98" i="2" s="1"/>
  <c r="BA69" i="2"/>
  <c r="AS69" i="2"/>
  <c r="BE494" i="2"/>
  <c r="BE508" i="2" s="1"/>
  <c r="BE460" i="2"/>
  <c r="BF244" i="2"/>
  <c r="BE220" i="2"/>
  <c r="BF69" i="2"/>
  <c r="AY87" i="2"/>
  <c r="AY86" i="2" s="1"/>
  <c r="AP87" i="2"/>
  <c r="AP86" i="2" s="1"/>
  <c r="AR223" i="2"/>
  <c r="AV473" i="2"/>
  <c r="AT420" i="2"/>
  <c r="AX368" i="2"/>
  <c r="AP368" i="2"/>
  <c r="AQ367" i="2"/>
  <c r="AZ366" i="2"/>
  <c r="AR255" i="2"/>
  <c r="AU218" i="2"/>
  <c r="AT99" i="2"/>
  <c r="AT98" i="2" s="1"/>
  <c r="AZ87" i="2"/>
  <c r="AZ86" i="2" s="1"/>
  <c r="AY75" i="2"/>
  <c r="AQ75" i="2"/>
  <c r="AY69" i="2"/>
  <c r="AQ69" i="2"/>
  <c r="AZ69" i="2"/>
  <c r="AR69" i="2"/>
  <c r="BF473" i="2"/>
  <c r="BE366" i="2"/>
  <c r="BF363" i="2"/>
  <c r="BD368" i="2"/>
  <c r="BE365" i="2"/>
  <c r="BF362" i="2"/>
  <c r="BE244" i="2"/>
  <c r="BE219" i="2"/>
  <c r="AX87" i="2"/>
  <c r="AX86" i="2" s="1"/>
  <c r="BA334" i="2"/>
  <c r="AS334" i="2"/>
  <c r="BB333" i="2"/>
  <c r="AT333" i="2"/>
  <c r="BC332" i="2"/>
  <c r="AU332" i="2"/>
  <c r="AM332" i="2"/>
  <c r="AV331" i="2"/>
  <c r="AN331" i="2"/>
  <c r="AW337" i="2"/>
  <c r="AO337" i="2"/>
  <c r="AX336" i="2"/>
  <c r="AP336" i="2"/>
  <c r="AY335" i="2"/>
  <c r="AQ335" i="2"/>
  <c r="AZ334" i="2"/>
  <c r="AR334" i="2"/>
  <c r="BA333" i="2"/>
  <c r="AS333" i="2"/>
  <c r="BB332" i="2"/>
  <c r="AT332" i="2"/>
  <c r="BC331" i="2"/>
  <c r="AU331" i="2"/>
  <c r="AM331" i="2"/>
  <c r="AV257" i="2"/>
  <c r="AW87" i="2"/>
  <c r="AW86" i="2" s="1"/>
  <c r="AX75" i="2"/>
  <c r="AP75" i="2"/>
  <c r="BF368" i="2"/>
  <c r="BD366" i="2"/>
  <c r="BE363" i="2"/>
  <c r="BF367" i="2"/>
  <c r="BD365" i="2"/>
  <c r="BE362" i="2"/>
  <c r="BF366" i="2"/>
  <c r="BD364" i="2"/>
  <c r="BF261" i="2"/>
  <c r="BF257" i="2"/>
  <c r="BF98" i="2"/>
  <c r="BD69" i="2"/>
  <c r="AR284" i="2"/>
  <c r="AV429" i="2"/>
  <c r="AN429" i="2"/>
  <c r="AP429" i="2"/>
  <c r="AY429" i="2"/>
  <c r="AQ429" i="2"/>
  <c r="AZ428" i="2"/>
  <c r="AR428" i="2"/>
  <c r="BA428" i="2"/>
  <c r="BC427" i="2"/>
  <c r="AU427" i="2"/>
  <c r="AM427" i="2"/>
  <c r="AV427" i="2"/>
  <c r="AN427" i="2"/>
  <c r="AX426" i="2"/>
  <c r="AP426" i="2"/>
  <c r="BB423" i="2"/>
  <c r="AT423" i="2"/>
  <c r="BC418" i="2"/>
  <c r="AM418" i="2"/>
  <c r="AV418" i="2"/>
  <c r="AN418" i="2"/>
  <c r="AV368" i="2"/>
  <c r="AN368" i="2"/>
  <c r="AW367" i="2"/>
  <c r="AO367" i="2"/>
  <c r="AP366" i="2"/>
  <c r="AY365" i="2"/>
  <c r="AQ365" i="2"/>
  <c r="AZ364" i="2"/>
  <c r="AR364" i="2"/>
  <c r="BA363" i="2"/>
  <c r="AS363" i="2"/>
  <c r="BB362" i="2"/>
  <c r="AT362" i="2"/>
  <c r="BC368" i="2"/>
  <c r="AM368" i="2"/>
  <c r="AV367" i="2"/>
  <c r="AN367" i="2"/>
  <c r="AW366" i="2"/>
  <c r="AO366" i="2"/>
  <c r="AX365" i="2"/>
  <c r="AP365" i="2"/>
  <c r="AY364" i="2"/>
  <c r="AQ364" i="2"/>
  <c r="AZ363" i="2"/>
  <c r="AR363" i="2"/>
  <c r="BA362" i="2"/>
  <c r="AP220" i="2"/>
  <c r="BE261" i="2"/>
  <c r="BE257" i="2"/>
  <c r="BE99" i="2"/>
  <c r="AV87" i="2"/>
  <c r="AM87" i="2"/>
  <c r="BF64" i="2"/>
  <c r="BF283" i="2"/>
  <c r="BF210" i="2"/>
  <c r="BF209" i="2" s="1"/>
  <c r="BF223" i="2"/>
  <c r="BF220" i="2"/>
  <c r="BF217" i="2"/>
  <c r="BF285" i="2"/>
  <c r="BF280" i="2"/>
  <c r="BE197" i="2"/>
  <c r="BE221" i="2" s="1"/>
  <c r="BE283" i="2"/>
  <c r="BF256" i="2"/>
  <c r="BF472" i="2"/>
  <c r="BE447" i="2"/>
  <c r="BE87" i="2"/>
  <c r="BE86" i="2" s="1"/>
  <c r="BE64" i="2"/>
  <c r="BF453" i="2"/>
  <c r="BF477" i="2" s="1"/>
  <c r="BF447" i="2"/>
  <c r="BE280" i="2"/>
  <c r="BE509" i="2"/>
  <c r="BE472" i="2"/>
  <c r="BE487" i="2"/>
  <c r="BE255" i="2"/>
  <c r="BE453" i="2"/>
  <c r="BF282" i="2"/>
  <c r="BF487" i="2"/>
  <c r="BF500" i="2"/>
  <c r="BF481" i="2"/>
  <c r="BE279" i="2"/>
  <c r="BF198" i="2"/>
  <c r="BD64" i="2"/>
  <c r="BD510" i="2"/>
  <c r="BD506" i="2"/>
  <c r="BD509" i="2"/>
  <c r="BD460" i="2"/>
  <c r="BD261" i="2"/>
  <c r="BD256" i="2"/>
  <c r="AT284" i="2"/>
  <c r="AR198" i="2"/>
  <c r="AN261" i="2"/>
  <c r="BB99" i="2"/>
  <c r="BB98" i="2" s="1"/>
  <c r="AV507" i="2"/>
  <c r="AT475" i="2"/>
  <c r="AO258" i="2"/>
  <c r="AZ198" i="2"/>
  <c r="AZ197" i="2" s="1"/>
  <c r="AU60" i="2"/>
  <c r="AO509" i="2"/>
  <c r="AO487" i="2"/>
  <c r="AR466" i="2"/>
  <c r="AR99" i="2"/>
  <c r="AR98" i="2" s="1"/>
  <c r="AW60" i="2"/>
  <c r="AO500" i="2"/>
  <c r="AQ481" i="2"/>
  <c r="AV453" i="2"/>
  <c r="AR244" i="2"/>
  <c r="AN500" i="2"/>
  <c r="AY509" i="2"/>
  <c r="AT453" i="2"/>
  <c r="AZ475" i="2"/>
  <c r="AQ510" i="2"/>
  <c r="AQ453" i="2"/>
  <c r="AP283" i="2"/>
  <c r="BC223" i="2"/>
  <c r="AZ99" i="2"/>
  <c r="AZ98" i="2" s="1"/>
  <c r="AZ487" i="2"/>
  <c r="AN260" i="2"/>
  <c r="AT494" i="2"/>
  <c r="AN453" i="2"/>
  <c r="BB280" i="2"/>
  <c r="AN259" i="2"/>
  <c r="AU217" i="2"/>
  <c r="AT281" i="2"/>
  <c r="AU257" i="2"/>
  <c r="BC466" i="2"/>
  <c r="BC453" i="2"/>
  <c r="AW500" i="2"/>
  <c r="BB259" i="2"/>
  <c r="AU487" i="2"/>
  <c r="AW487" i="2"/>
  <c r="BB256" i="2"/>
  <c r="BB261" i="2"/>
  <c r="BB260" i="2"/>
  <c r="AW481" i="2"/>
  <c r="AU481" i="2"/>
  <c r="BB472" i="2"/>
  <c r="AV256" i="2"/>
  <c r="AN257" i="2"/>
  <c r="AW466" i="2"/>
  <c r="AO281" i="2"/>
  <c r="AO244" i="2"/>
  <c r="AX99" i="2"/>
  <c r="AX98" i="2" s="1"/>
  <c r="AR86" i="2"/>
  <c r="AT282" i="2"/>
  <c r="AV506" i="2"/>
  <c r="AN475" i="2"/>
  <c r="AZ473" i="2"/>
  <c r="AR282" i="2"/>
  <c r="AT219" i="2"/>
  <c r="BC198" i="2"/>
  <c r="BC197" i="2" s="1"/>
  <c r="AZ217" i="2"/>
  <c r="AQ494" i="2"/>
  <c r="AV509" i="2"/>
  <c r="AR460" i="2"/>
  <c r="AV472" i="2"/>
  <c r="BC476" i="2"/>
  <c r="AY510" i="2"/>
  <c r="AU223" i="2"/>
  <c r="AX220" i="2"/>
  <c r="AV510" i="2"/>
  <c r="AN506" i="2"/>
  <c r="BC487" i="2"/>
  <c r="AT473" i="2"/>
  <c r="AR257" i="2"/>
  <c r="AT255" i="2"/>
  <c r="AP218" i="2"/>
  <c r="AZ216" i="2"/>
  <c r="AR220" i="2"/>
  <c r="AP510" i="2"/>
  <c r="AX472" i="2"/>
  <c r="AX509" i="2"/>
  <c r="BD65" i="2"/>
  <c r="AP60" i="2"/>
  <c r="AR261" i="2"/>
  <c r="BD283" i="2"/>
  <c r="BD280" i="2"/>
  <c r="AN280" i="2"/>
  <c r="AT285" i="2"/>
  <c r="BD284" i="2"/>
  <c r="AZ283" i="2"/>
  <c r="AY282" i="2"/>
  <c r="BB281" i="2"/>
  <c r="AP219" i="2"/>
  <c r="AM218" i="2"/>
  <c r="AT261" i="2"/>
  <c r="AO259" i="2"/>
  <c r="AN216" i="2"/>
  <c r="BD466" i="2"/>
  <c r="BD473" i="2"/>
  <c r="BD210" i="2"/>
  <c r="BD209" i="2" s="1"/>
  <c r="AM217" i="2"/>
  <c r="BB284" i="2"/>
  <c r="AV260" i="2"/>
  <c r="AW255" i="2"/>
  <c r="AR218" i="2"/>
  <c r="BC218" i="2"/>
  <c r="BD218" i="2"/>
  <c r="AT280" i="2"/>
  <c r="AO261" i="2"/>
  <c r="AN258" i="2"/>
  <c r="AT244" i="2"/>
  <c r="AZ256" i="2"/>
  <c r="AO256" i="2"/>
  <c r="BB216" i="2"/>
  <c r="AO99" i="2"/>
  <c r="AO98" i="2" s="1"/>
  <c r="AR64" i="2"/>
  <c r="BD472" i="2"/>
  <c r="AM244" i="2"/>
  <c r="AM258" i="2"/>
  <c r="AM261" i="2"/>
  <c r="AM466" i="2"/>
  <c r="AM453" i="2"/>
  <c r="AM487" i="2"/>
  <c r="AM494" i="2"/>
  <c r="AP285" i="2"/>
  <c r="AX60" i="2"/>
  <c r="AW509" i="2"/>
  <c r="AR506" i="2"/>
  <c r="AX475" i="2"/>
  <c r="AV475" i="2"/>
  <c r="AZ460" i="2"/>
  <c r="AX473" i="2"/>
  <c r="AW473" i="2"/>
  <c r="AN472" i="2"/>
  <c r="AP475" i="2"/>
  <c r="AZ285" i="2"/>
  <c r="BB282" i="2"/>
  <c r="AW281" i="2"/>
  <c r="AZ279" i="2"/>
  <c r="BC257" i="2"/>
  <c r="AN220" i="2"/>
  <c r="BB218" i="2"/>
  <c r="AV216" i="2"/>
  <c r="BD258" i="2"/>
  <c r="AW280" i="2"/>
  <c r="AO280" i="2"/>
  <c r="BA460" i="2"/>
  <c r="BA481" i="2"/>
  <c r="BA99" i="2"/>
  <c r="BA98" i="2" s="1"/>
  <c r="BA220" i="2"/>
  <c r="BA216" i="2"/>
  <c r="BA87" i="2"/>
  <c r="BA86" i="2" s="1"/>
  <c r="AS481" i="2"/>
  <c r="AS99" i="2"/>
  <c r="AS98" i="2" s="1"/>
  <c r="AS220" i="2"/>
  <c r="AS216" i="2"/>
  <c r="AS219" i="2"/>
  <c r="AS210" i="2"/>
  <c r="AS209" i="2" s="1"/>
  <c r="AS87" i="2"/>
  <c r="AS86" i="2" s="1"/>
  <c r="AN510" i="2"/>
  <c r="AN509" i="2"/>
  <c r="AZ506" i="2"/>
  <c r="AM476" i="2"/>
  <c r="AO279" i="2"/>
  <c r="AR260" i="2"/>
  <c r="AV261" i="2"/>
  <c r="BC259" i="2"/>
  <c r="AT258" i="2"/>
  <c r="AP255" i="2"/>
  <c r="AV99" i="2"/>
  <c r="AV98" i="2" s="1"/>
  <c r="AN282" i="2"/>
  <c r="AR279" i="2"/>
  <c r="AR510" i="2"/>
  <c r="AZ507" i="2"/>
  <c r="AW279" i="2"/>
  <c r="AN279" i="2"/>
  <c r="AT260" i="2"/>
  <c r="AT259" i="2"/>
  <c r="BB258" i="2"/>
  <c r="AO255" i="2"/>
  <c r="AZ223" i="2"/>
  <c r="AP65" i="2"/>
  <c r="AU64" i="2"/>
  <c r="AQ284" i="2"/>
  <c r="AV282" i="2"/>
  <c r="AQ210" i="2"/>
  <c r="AQ209" i="2" s="1"/>
  <c r="AY284" i="2"/>
  <c r="BD282" i="2"/>
  <c r="BD279" i="2"/>
  <c r="AY64" i="2"/>
  <c r="AY494" i="2"/>
  <c r="AQ507" i="2"/>
  <c r="AS281" i="2"/>
  <c r="AW244" i="2"/>
  <c r="AW256" i="2"/>
  <c r="AN256" i="2"/>
  <c r="AY210" i="2"/>
  <c r="AY209" i="2" s="1"/>
  <c r="AP210" i="2"/>
  <c r="AP209" i="2" s="1"/>
  <c r="AU198" i="2"/>
  <c r="AU197" i="2" s="1"/>
  <c r="AM198" i="2"/>
  <c r="AM197" i="2" s="1"/>
  <c r="AY65" i="2"/>
  <c r="AQ65" i="2"/>
  <c r="BA60" i="2"/>
  <c r="AS60" i="2"/>
  <c r="AU260" i="2"/>
  <c r="AM260" i="2"/>
  <c r="AY285" i="2"/>
  <c r="AY283" i="2"/>
  <c r="AQ283" i="2"/>
  <c r="BA281" i="2"/>
  <c r="AV281" i="2"/>
  <c r="AZ509" i="2"/>
  <c r="AY507" i="2"/>
  <c r="AU510" i="2"/>
  <c r="AR473" i="2"/>
  <c r="AQ473" i="2"/>
  <c r="AW283" i="2"/>
  <c r="AP281" i="2"/>
  <c r="AV280" i="2"/>
  <c r="BC244" i="2"/>
  <c r="AX258" i="2"/>
  <c r="AU235" i="2"/>
  <c r="AT235" i="2"/>
  <c r="AX210" i="2"/>
  <c r="AX209" i="2" s="1"/>
  <c r="AW260" i="2"/>
  <c r="AZ261" i="2"/>
  <c r="BD281" i="2"/>
  <c r="AX506" i="2"/>
  <c r="AO508" i="2"/>
  <c r="AR475" i="2"/>
  <c r="AR285" i="2"/>
  <c r="AN284" i="2"/>
  <c r="AZ281" i="2"/>
  <c r="BB255" i="2"/>
  <c r="AM257" i="2"/>
  <c r="AW65" i="2"/>
  <c r="AQ282" i="2"/>
  <c r="AY279" i="2"/>
  <c r="AQ279" i="2"/>
  <c r="AY99" i="2"/>
  <c r="AY98" i="2" s="1"/>
  <c r="AQ99" i="2"/>
  <c r="AQ98" i="2" s="1"/>
  <c r="AW210" i="2"/>
  <c r="AW209" i="2" s="1"/>
  <c r="AO210" i="2"/>
  <c r="AO209" i="2" s="1"/>
  <c r="AY220" i="2"/>
  <c r="AQ220" i="2"/>
  <c r="AQ217" i="2"/>
  <c r="AW223" i="2"/>
  <c r="AO223" i="2"/>
  <c r="AW220" i="2"/>
  <c r="AO220" i="2"/>
  <c r="AY219" i="2"/>
  <c r="AQ219" i="2"/>
  <c r="AY218" i="2"/>
  <c r="AQ218" i="2"/>
  <c r="AW217" i="2"/>
  <c r="AO217" i="2"/>
  <c r="AN99" i="2"/>
  <c r="AN98" i="2" s="1"/>
  <c r="BD223" i="2"/>
  <c r="AV223" i="2"/>
  <c r="BD220" i="2"/>
  <c r="AX219" i="2"/>
  <c r="BB223" i="2"/>
  <c r="BD198" i="2"/>
  <c r="BB220" i="2"/>
  <c r="AT220" i="2"/>
  <c r="BD219" i="2"/>
  <c r="AV218" i="2"/>
  <c r="AN218" i="2"/>
  <c r="BD216" i="2"/>
  <c r="AQ466" i="2"/>
  <c r="AY466" i="2"/>
  <c r="AY258" i="2"/>
  <c r="AQ258" i="2"/>
  <c r="AY257" i="2"/>
  <c r="AQ257" i="2"/>
  <c r="AW460" i="2"/>
  <c r="AO460" i="2"/>
  <c r="BC473" i="2"/>
  <c r="AU473" i="2"/>
  <c r="AM473" i="2"/>
  <c r="AY453" i="2"/>
  <c r="AW447" i="2"/>
  <c r="BC447" i="2"/>
  <c r="AU447" i="2"/>
  <c r="BC472" i="2"/>
  <c r="AU472" i="2"/>
  <c r="AM472" i="2"/>
  <c r="AY500" i="2"/>
  <c r="AW494" i="2"/>
  <c r="AU507" i="2"/>
  <c r="AY487" i="2"/>
  <c r="AQ487" i="2"/>
  <c r="AQ511" i="2" s="1"/>
  <c r="AY476" i="2"/>
  <c r="BC507" i="2"/>
  <c r="BC510" i="2"/>
  <c r="AM507" i="2"/>
  <c r="AM510" i="2"/>
  <c r="AX285" i="2"/>
  <c r="AX279" i="2"/>
  <c r="AY217" i="2"/>
  <c r="AU509" i="2"/>
  <c r="AO447" i="2"/>
  <c r="AO283" i="2"/>
  <c r="AV285" i="2"/>
  <c r="AS244" i="2"/>
  <c r="AM235" i="2"/>
  <c r="AM255" i="2"/>
  <c r="AM99" i="2"/>
  <c r="AM98" i="2" s="1"/>
  <c r="AQ244" i="2"/>
  <c r="BD60" i="2"/>
  <c r="BE60" i="2"/>
  <c r="AS235" i="2"/>
  <c r="AO472" i="2"/>
  <c r="AU460" i="2"/>
  <c r="BC460" i="2"/>
  <c r="AW259" i="2"/>
  <c r="BC235" i="2"/>
  <c r="BC255" i="2"/>
  <c r="AU99" i="2"/>
  <c r="AU98" i="2" s="1"/>
  <c r="AQ506" i="2"/>
  <c r="AT510" i="2"/>
  <c r="BB475" i="2"/>
  <c r="AN473" i="2"/>
  <c r="AV284" i="2"/>
  <c r="AX280" i="2"/>
  <c r="BA261" i="2"/>
  <c r="BB235" i="2"/>
  <c r="AX64" i="2"/>
  <c r="AS256" i="2"/>
  <c r="BA507" i="2"/>
  <c r="AQ285" i="2"/>
  <c r="AS65" i="2"/>
  <c r="AT65" i="2"/>
  <c r="BB64" i="2"/>
  <c r="BC64" i="2"/>
  <c r="AZ259" i="2"/>
  <c r="AZ260" i="2"/>
  <c r="AX284" i="2"/>
  <c r="AP284" i="2"/>
  <c r="AX282" i="2"/>
  <c r="AP282" i="2"/>
  <c r="BB285" i="2"/>
  <c r="BB283" i="2"/>
  <c r="AN281" i="2"/>
  <c r="AM509" i="2"/>
  <c r="BA219" i="2"/>
  <c r="AY244" i="2"/>
  <c r="BA235" i="2"/>
  <c r="AS261" i="2"/>
  <c r="AU259" i="2"/>
  <c r="AS507" i="2"/>
  <c r="AR507" i="2"/>
  <c r="AW261" i="2"/>
  <c r="AY506" i="2"/>
  <c r="AS473" i="2"/>
  <c r="AX283" i="2"/>
  <c r="AU255" i="2"/>
  <c r="AN507" i="2"/>
  <c r="AW507" i="2"/>
  <c r="AO507" i="2"/>
  <c r="AW472" i="2"/>
  <c r="AY460" i="2"/>
  <c r="AQ460" i="2"/>
  <c r="BA473" i="2"/>
  <c r="BB473" i="2"/>
  <c r="AV283" i="2"/>
  <c r="AS280" i="2"/>
  <c r="AS255" i="2"/>
  <c r="AU244" i="2"/>
  <c r="AU261" i="2"/>
  <c r="BC260" i="2"/>
  <c r="AX223" i="2"/>
  <c r="AO65" i="2"/>
  <c r="BA282" i="2"/>
  <c r="BC509" i="2"/>
  <c r="BB510" i="2"/>
  <c r="AW476" i="2"/>
  <c r="BC500" i="2"/>
  <c r="AU500" i="2"/>
  <c r="AM500" i="2"/>
  <c r="BC261" i="2"/>
  <c r="AZ284" i="2"/>
  <c r="AR281" i="2"/>
  <c r="AY280" i="2"/>
  <c r="AM259" i="2"/>
  <c r="AY256" i="2"/>
  <c r="AY198" i="2"/>
  <c r="AY197" i="2" s="1"/>
  <c r="AQ198" i="2"/>
  <c r="AQ197" i="2" s="1"/>
  <c r="AP223" i="2"/>
  <c r="BB60" i="2"/>
  <c r="BD260" i="2"/>
  <c r="BD257" i="2"/>
  <c r="AP64" i="2"/>
  <c r="AZ65" i="2"/>
  <c r="AR65" i="2"/>
  <c r="BC481" i="2"/>
  <c r="BC508" i="2" s="1"/>
  <c r="AM481" i="2"/>
  <c r="AM460" i="2"/>
  <c r="AV460" i="2"/>
  <c r="AN460" i="2"/>
  <c r="AY473" i="2"/>
  <c r="AV476" i="2"/>
  <c r="AN476" i="2"/>
  <c r="AW475" i="2"/>
  <c r="AO475" i="2"/>
  <c r="AY447" i="2"/>
  <c r="AQ447" i="2"/>
  <c r="AZ447" i="2"/>
  <c r="AR447" i="2"/>
  <c r="AN285" i="2"/>
  <c r="AW284" i="2"/>
  <c r="AO284" i="2"/>
  <c r="AN283" i="2"/>
  <c r="AW282" i="2"/>
  <c r="AO282" i="2"/>
  <c r="AX281" i="2"/>
  <c r="BB279" i="2"/>
  <c r="AT279" i="2"/>
  <c r="BB244" i="2"/>
  <c r="AU258" i="2"/>
  <c r="AV235" i="2"/>
  <c r="AN235" i="2"/>
  <c r="BA258" i="2"/>
  <c r="AS258" i="2"/>
  <c r="BB257" i="2"/>
  <c r="AT257" i="2"/>
  <c r="BC256" i="2"/>
  <c r="AU256" i="2"/>
  <c r="AM256" i="2"/>
  <c r="AV255" i="2"/>
  <c r="AN255" i="2"/>
  <c r="BB65" i="2"/>
  <c r="BD285" i="2"/>
  <c r="AN223" i="2"/>
  <c r="AT223" i="2"/>
  <c r="AS460" i="2"/>
  <c r="AZ282" i="2"/>
  <c r="BA280" i="2"/>
  <c r="AQ280" i="2"/>
  <c r="AP258" i="2"/>
  <c r="AP244" i="2"/>
  <c r="AR259" i="2"/>
  <c r="AZ258" i="2"/>
  <c r="AR235" i="2"/>
  <c r="BA210" i="2"/>
  <c r="BA209" i="2" s="1"/>
  <c r="BC99" i="2"/>
  <c r="BC98" i="2" s="1"/>
  <c r="AO260" i="2"/>
  <c r="AY481" i="2"/>
  <c r="AU453" i="2"/>
  <c r="AM447" i="2"/>
  <c r="AV447" i="2"/>
  <c r="AN447" i="2"/>
  <c r="AW285" i="2"/>
  <c r="AO285" i="2"/>
  <c r="AY281" i="2"/>
  <c r="AQ281" i="2"/>
  <c r="AZ280" i="2"/>
  <c r="AR280" i="2"/>
  <c r="AR283" i="2"/>
  <c r="AS282" i="2"/>
  <c r="AP280" i="2"/>
  <c r="AX244" i="2"/>
  <c r="AZ235" i="2"/>
  <c r="AW219" i="2"/>
  <c r="BC60" i="2"/>
  <c r="AT60" i="2"/>
  <c r="BD217" i="2"/>
  <c r="BD447" i="2"/>
  <c r="AX476" i="2"/>
  <c r="AP476" i="2"/>
  <c r="AS447" i="2"/>
  <c r="BB447" i="2"/>
  <c r="AT447" i="2"/>
  <c r="AV198" i="2"/>
  <c r="AV197" i="2" s="1"/>
  <c r="AN198" i="2"/>
  <c r="AN197" i="2" s="1"/>
  <c r="AX65" i="2"/>
  <c r="AQ64" i="2"/>
  <c r="BA64" i="2"/>
  <c r="AS64" i="2"/>
  <c r="AX460" i="2"/>
  <c r="AP460" i="2"/>
  <c r="AW453" i="2"/>
  <c r="AV258" i="2"/>
  <c r="AW235" i="2"/>
  <c r="AO235" i="2"/>
  <c r="AZ210" i="2"/>
  <c r="AZ209" i="2" s="1"/>
  <c r="AR210" i="2"/>
  <c r="AR209" i="2" s="1"/>
  <c r="AP99" i="2"/>
  <c r="AP98" i="2" s="1"/>
  <c r="AZ64" i="2"/>
  <c r="BD255" i="2"/>
  <c r="BD259" i="2"/>
  <c r="BB506" i="2"/>
  <c r="BB481" i="2"/>
  <c r="BB509" i="2"/>
  <c r="BB507" i="2"/>
  <c r="AT506" i="2"/>
  <c r="AT481" i="2"/>
  <c r="AT509" i="2"/>
  <c r="AT507" i="2"/>
  <c r="AZ219" i="2"/>
  <c r="AR219" i="2"/>
  <c r="BB217" i="2"/>
  <c r="AT217" i="2"/>
  <c r="BC216" i="2"/>
  <c r="AU216" i="2"/>
  <c r="AM216" i="2"/>
  <c r="AW198" i="2"/>
  <c r="AW197" i="2" s="1"/>
  <c r="AO198" i="2"/>
  <c r="AX198" i="2"/>
  <c r="AP198" i="2"/>
  <c r="AY223" i="2"/>
  <c r="AQ223" i="2"/>
  <c r="BC219" i="2"/>
  <c r="AU219" i="2"/>
  <c r="AM219" i="2"/>
  <c r="AX216" i="2"/>
  <c r="AP216" i="2"/>
  <c r="BD476" i="2"/>
  <c r="BD99" i="2"/>
  <c r="BD98" i="2" s="1"/>
  <c r="BD86" i="2"/>
  <c r="BE65" i="2"/>
  <c r="AV210" i="2"/>
  <c r="AV209" i="2" s="1"/>
  <c r="AN210" i="2"/>
  <c r="AN209" i="2" s="1"/>
  <c r="BC220" i="2"/>
  <c r="AU220" i="2"/>
  <c r="AM220" i="2"/>
  <c r="AV219" i="2"/>
  <c r="AN219" i="2"/>
  <c r="AW218" i="2"/>
  <c r="AO218" i="2"/>
  <c r="AX217" i="2"/>
  <c r="AP217" i="2"/>
  <c r="AY216" i="2"/>
  <c r="AQ216" i="2"/>
  <c r="BB198" i="2"/>
  <c r="BB197" i="2" s="1"/>
  <c r="AT198" i="2"/>
  <c r="AT197" i="2" s="1"/>
  <c r="AQ86" i="2"/>
  <c r="BB210" i="2"/>
  <c r="AT210" i="2"/>
  <c r="AT209" i="2" s="1"/>
  <c r="BC210" i="2"/>
  <c r="BC209" i="2" s="1"/>
  <c r="AU210" i="2"/>
  <c r="AU209" i="2" s="1"/>
  <c r="AM210" i="2"/>
  <c r="AM209" i="2" s="1"/>
  <c r="BA198" i="2"/>
  <c r="BA197" i="2" s="1"/>
  <c r="AS198" i="2"/>
  <c r="AS197" i="2" s="1"/>
  <c r="AV86" i="2"/>
  <c r="BC65" i="2"/>
  <c r="AV60" i="2"/>
  <c r="AN60" i="2"/>
  <c r="BD475" i="2"/>
  <c r="BE222" i="2"/>
  <c r="BE98" i="2"/>
  <c r="BF526" i="2"/>
  <c r="BE473" i="2"/>
  <c r="BF475" i="2"/>
  <c r="BF528" i="2"/>
  <c r="BE475" i="2"/>
  <c r="AZ420" i="2"/>
  <c r="AR420" i="2"/>
  <c r="BA423" i="2"/>
  <c r="AS423" i="2"/>
  <c r="BB500" i="2"/>
  <c r="AT500" i="2"/>
  <c r="AZ494" i="2"/>
  <c r="AR494" i="2"/>
  <c r="AX487" i="2"/>
  <c r="AP487" i="2"/>
  <c r="AV481" i="2"/>
  <c r="AN481" i="2"/>
  <c r="AW429" i="2"/>
  <c r="AO429" i="2"/>
  <c r="BA427" i="2"/>
  <c r="AS427" i="2"/>
  <c r="AY423" i="2"/>
  <c r="AQ423" i="2"/>
  <c r="BB418" i="2"/>
  <c r="AT418" i="2"/>
  <c r="AZ527" i="2"/>
  <c r="AR527" i="2"/>
  <c r="AW510" i="2"/>
  <c r="AO510" i="2"/>
  <c r="AU476" i="2"/>
  <c r="BA472" i="2"/>
  <c r="AS472" i="2"/>
  <c r="AV466" i="2"/>
  <c r="AN466" i="2"/>
  <c r="BB460" i="2"/>
  <c r="AT460" i="2"/>
  <c r="AZ453" i="2"/>
  <c r="AZ477" i="2" s="1"/>
  <c r="AR453" i="2"/>
  <c r="BB476" i="2"/>
  <c r="AT476" i="2"/>
  <c r="BC475" i="2"/>
  <c r="AU475" i="2"/>
  <c r="AM475" i="2"/>
  <c r="AX447" i="2"/>
  <c r="AP447" i="2"/>
  <c r="BC279" i="2"/>
  <c r="BC281" i="2"/>
  <c r="BC282" i="2"/>
  <c r="BC283" i="2"/>
  <c r="BC280" i="2"/>
  <c r="AU279" i="2"/>
  <c r="AU281" i="2"/>
  <c r="AU282" i="2"/>
  <c r="AU283" i="2"/>
  <c r="AU280" i="2"/>
  <c r="AM279" i="2"/>
  <c r="AM281" i="2"/>
  <c r="AM282" i="2"/>
  <c r="AM283" i="2"/>
  <c r="AM280" i="2"/>
  <c r="AW506" i="2"/>
  <c r="AO506" i="2"/>
  <c r="AZ500" i="2"/>
  <c r="AZ511" i="2" s="1"/>
  <c r="AR500" i="2"/>
  <c r="AR511" i="2" s="1"/>
  <c r="AX494" i="2"/>
  <c r="AP494" i="2"/>
  <c r="AV487" i="2"/>
  <c r="AN487" i="2"/>
  <c r="AQ509" i="2"/>
  <c r="AS476" i="2"/>
  <c r="BC429" i="2"/>
  <c r="AU429" i="2"/>
  <c r="AM429" i="2"/>
  <c r="AV420" i="2"/>
  <c r="AN420" i="2"/>
  <c r="AW423" i="2"/>
  <c r="AO423" i="2"/>
  <c r="AQ476" i="2"/>
  <c r="AY472" i="2"/>
  <c r="AQ472" i="2"/>
  <c r="AZ476" i="2"/>
  <c r="AR476" i="2"/>
  <c r="BA475" i="2"/>
  <c r="AS475" i="2"/>
  <c r="BC506" i="2"/>
  <c r="AU506" i="2"/>
  <c r="AM506" i="2"/>
  <c r="AX500" i="2"/>
  <c r="AP500" i="2"/>
  <c r="AV494" i="2"/>
  <c r="AN494" i="2"/>
  <c r="BB487" i="2"/>
  <c r="AT487" i="2"/>
  <c r="AZ481" i="2"/>
  <c r="AR481" i="2"/>
  <c r="BA429" i="2"/>
  <c r="AS429" i="2"/>
  <c r="BB428" i="2"/>
  <c r="AT428" i="2"/>
  <c r="AW427" i="2"/>
  <c r="AO427" i="2"/>
  <c r="AZ426" i="2"/>
  <c r="AR426" i="2"/>
  <c r="BB420" i="2"/>
  <c r="BC423" i="2"/>
  <c r="AU423" i="2"/>
  <c r="AM423" i="2"/>
  <c r="AX418" i="2"/>
  <c r="AP418" i="2"/>
  <c r="AY475" i="2"/>
  <c r="AQ475" i="2"/>
  <c r="AW257" i="2"/>
  <c r="AV244" i="2"/>
  <c r="AN244" i="2"/>
  <c r="AX235" i="2"/>
  <c r="AP235" i="2"/>
  <c r="AY235" i="2"/>
  <c r="AQ235" i="2"/>
  <c r="AO86" i="2"/>
  <c r="AX259" i="2"/>
  <c r="AX260" i="2"/>
  <c r="AX261" i="2"/>
  <c r="AP259" i="2"/>
  <c r="AP260" i="2"/>
  <c r="AP261" i="2"/>
  <c r="AY60" i="2"/>
  <c r="AZ60" i="2"/>
  <c r="AY259" i="2"/>
  <c r="AY260" i="2"/>
  <c r="AY261" i="2"/>
  <c r="AQ60" i="2"/>
  <c r="AR60" i="2"/>
  <c r="AQ259" i="2"/>
  <c r="AQ260" i="2"/>
  <c r="AQ261" i="2"/>
  <c r="BA255" i="2"/>
  <c r="AU86" i="2"/>
  <c r="AM86" i="2"/>
  <c r="AQ255" i="2"/>
  <c r="AZ244" i="2"/>
  <c r="AR197" i="2"/>
  <c r="AU65" i="2"/>
  <c r="AV65" i="2"/>
  <c r="AN65" i="2"/>
  <c r="AV64" i="2"/>
  <c r="AW64" i="2"/>
  <c r="AN64" i="2"/>
  <c r="AO64" i="2"/>
  <c r="AY255" i="2"/>
  <c r="BB87" i="2"/>
  <c r="BB86" i="2" s="1"/>
  <c r="AT87" i="2"/>
  <c r="AT86" i="2" s="1"/>
  <c r="AX256" i="2"/>
  <c r="BB367" i="2"/>
  <c r="AT367" i="2"/>
  <c r="BC366" i="2"/>
  <c r="AU366" i="2"/>
  <c r="AM366" i="2"/>
  <c r="AV365" i="2"/>
  <c r="AN365" i="2"/>
  <c r="AW364" i="2"/>
  <c r="AO364" i="2"/>
  <c r="AX363" i="2"/>
  <c r="AP363" i="2"/>
  <c r="AY362" i="2"/>
  <c r="AQ362" i="2"/>
  <c r="BC285" i="2"/>
  <c r="AU285" i="2"/>
  <c r="AM285" i="2"/>
  <c r="BA283" i="2"/>
  <c r="BA284" i="2"/>
  <c r="BA285" i="2"/>
  <c r="BA279" i="2"/>
  <c r="AS283" i="2"/>
  <c r="AS284" i="2"/>
  <c r="AS285" i="2"/>
  <c r="AS279" i="2"/>
  <c r="BC284" i="2"/>
  <c r="AU284" i="2"/>
  <c r="AM284" i="2"/>
  <c r="AO257" i="2"/>
  <c r="I526" i="2"/>
  <c r="Q526" i="2"/>
  <c r="Y526" i="2"/>
  <c r="AG526" i="2"/>
  <c r="I528" i="2"/>
  <c r="Q528" i="2"/>
  <c r="Y528" i="2"/>
  <c r="AG528" i="2"/>
  <c r="E527" i="2"/>
  <c r="H527" i="2"/>
  <c r="M527" i="2"/>
  <c r="U527" i="2"/>
  <c r="AC527" i="2"/>
  <c r="AK527" i="2"/>
  <c r="AW477" i="2" l="1"/>
  <c r="AN511" i="2"/>
  <c r="BB474" i="2"/>
  <c r="AR254" i="2"/>
  <c r="BC511" i="2"/>
  <c r="AR474" i="2"/>
  <c r="AO477" i="2"/>
  <c r="AY254" i="2"/>
  <c r="AV254" i="2"/>
  <c r="AR221" i="2"/>
  <c r="AW508" i="2"/>
  <c r="AT477" i="2"/>
  <c r="AU474" i="2"/>
  <c r="AW474" i="2"/>
  <c r="BF222" i="2"/>
  <c r="BE474" i="2"/>
  <c r="BF511" i="2"/>
  <c r="AS254" i="2"/>
  <c r="AY222" i="2"/>
  <c r="AZ221" i="2"/>
  <c r="AV477" i="2"/>
  <c r="AU254" i="2"/>
  <c r="AP222" i="2"/>
  <c r="AM477" i="2"/>
  <c r="BF197" i="2"/>
  <c r="BF221" i="2" s="1"/>
  <c r="AP254" i="2"/>
  <c r="AT474" i="2"/>
  <c r="AT254" i="2"/>
  <c r="BE511" i="2"/>
  <c r="AR477" i="2"/>
  <c r="AX474" i="2"/>
  <c r="AZ474" i="2"/>
  <c r="BC477" i="2"/>
  <c r="AO511" i="2"/>
  <c r="AQ508" i="2"/>
  <c r="AR508" i="2"/>
  <c r="AY477" i="2"/>
  <c r="BF474" i="2"/>
  <c r="AY508" i="2"/>
  <c r="AM254" i="2"/>
  <c r="AY511" i="2"/>
  <c r="BC254" i="2"/>
  <c r="AS222" i="2"/>
  <c r="AQ477" i="2"/>
  <c r="AN474" i="2"/>
  <c r="AM508" i="2"/>
  <c r="AT508" i="2"/>
  <c r="BD222" i="2"/>
  <c r="BF508" i="2"/>
  <c r="AV511" i="2"/>
  <c r="AQ222" i="2"/>
  <c r="AN254" i="2"/>
  <c r="AN477" i="2"/>
  <c r="AM474" i="2"/>
  <c r="AM511" i="2"/>
  <c r="AO254" i="2"/>
  <c r="BE477" i="2"/>
  <c r="AW254" i="2"/>
  <c r="AU222" i="2"/>
  <c r="AY474" i="2"/>
  <c r="AS487" i="2"/>
  <c r="AW511" i="2"/>
  <c r="BF254" i="2"/>
  <c r="BE254" i="2"/>
  <c r="AP466" i="2"/>
  <c r="AP481" i="2"/>
  <c r="AP508" i="2" s="1"/>
  <c r="BD500" i="2"/>
  <c r="BD244" i="2"/>
  <c r="BD235" i="2"/>
  <c r="BD453" i="2"/>
  <c r="BD477" i="2" s="1"/>
  <c r="BD197" i="2"/>
  <c r="BD221" i="2" s="1"/>
  <c r="BD481" i="2"/>
  <c r="BD487" i="2"/>
  <c r="BD494" i="2"/>
  <c r="BD507" i="2"/>
  <c r="AX222" i="2"/>
  <c r="AU511" i="2"/>
  <c r="AQ474" i="2"/>
  <c r="AO474" i="2"/>
  <c r="BA494" i="2"/>
  <c r="BA508" i="2" s="1"/>
  <c r="AU494" i="2"/>
  <c r="AU508" i="2" s="1"/>
  <c r="AU466" i="2"/>
  <c r="AU477" i="2" s="1"/>
  <c r="AZ254" i="2"/>
  <c r="AO222" i="2"/>
  <c r="AX254" i="2"/>
  <c r="AW222" i="2"/>
  <c r="AV474" i="2"/>
  <c r="BC221" i="2"/>
  <c r="AS474" i="2"/>
  <c r="BA223" i="2"/>
  <c r="AX466" i="2"/>
  <c r="AP453" i="2"/>
  <c r="BC222" i="2"/>
  <c r="AP474" i="2"/>
  <c r="AX453" i="2"/>
  <c r="AX481" i="2"/>
  <c r="AX508" i="2" s="1"/>
  <c r="BA500" i="2"/>
  <c r="BB453" i="2"/>
  <c r="AS509" i="2"/>
  <c r="BA218" i="2"/>
  <c r="BB494" i="2"/>
  <c r="BB508" i="2" s="1"/>
  <c r="BB466" i="2"/>
  <c r="AW221" i="2"/>
  <c r="AQ254" i="2"/>
  <c r="BA222" i="2"/>
  <c r="AS453" i="2"/>
  <c r="AS500" i="2"/>
  <c r="BA487" i="2"/>
  <c r="AO197" i="2"/>
  <c r="AO221" i="2" s="1"/>
  <c r="AP506" i="2"/>
  <c r="AX507" i="2"/>
  <c r="AP507" i="2"/>
  <c r="AX257" i="2"/>
  <c r="AS223" i="2"/>
  <c r="AS259" i="2"/>
  <c r="AP472" i="2"/>
  <c r="BD474" i="2"/>
  <c r="BC474" i="2"/>
  <c r="AS506" i="2"/>
  <c r="AP256" i="2"/>
  <c r="AP257" i="2"/>
  <c r="AP509" i="2"/>
  <c r="AS221" i="2"/>
  <c r="BA257" i="2"/>
  <c r="BA466" i="2"/>
  <c r="AX255" i="2"/>
  <c r="AX510" i="2"/>
  <c r="AP473" i="2"/>
  <c r="AS218" i="2"/>
  <c r="AS494" i="2"/>
  <c r="AS508" i="2" s="1"/>
  <c r="BA506" i="2"/>
  <c r="AQ221" i="2"/>
  <c r="BB254" i="2"/>
  <c r="AY221" i="2"/>
  <c r="BA217" i="2"/>
  <c r="BA453" i="2"/>
  <c r="AT222" i="2"/>
  <c r="BA256" i="2"/>
  <c r="BB222" i="2"/>
  <c r="AS257" i="2"/>
  <c r="BA260" i="2"/>
  <c r="AS466" i="2"/>
  <c r="BA244" i="2"/>
  <c r="BA254" i="2" s="1"/>
  <c r="BA259" i="2"/>
  <c r="BA476" i="2"/>
  <c r="BA510" i="2"/>
  <c r="AM222" i="2"/>
  <c r="BA509" i="2"/>
  <c r="AU221" i="2"/>
  <c r="AS217" i="2"/>
  <c r="AS260" i="2"/>
  <c r="AS510" i="2"/>
  <c r="BA447" i="2"/>
  <c r="BA474" i="2" s="1"/>
  <c r="BB209" i="2"/>
  <c r="BB221" i="2" s="1"/>
  <c r="BB511" i="2"/>
  <c r="AN222" i="2"/>
  <c r="AN221" i="2"/>
  <c r="AM221" i="2"/>
  <c r="AV222" i="2"/>
  <c r="AX197" i="2"/>
  <c r="AX221" i="2" s="1"/>
  <c r="BA221" i="2"/>
  <c r="AP197" i="2"/>
  <c r="AP221" i="2" s="1"/>
  <c r="AZ222" i="2"/>
  <c r="AV221" i="2"/>
  <c r="AT221" i="2"/>
  <c r="AR222" i="2"/>
  <c r="AV508" i="2"/>
  <c r="AP511" i="2"/>
  <c r="AX511" i="2"/>
  <c r="AZ508" i="2"/>
  <c r="AT511" i="2"/>
  <c r="AN508" i="2"/>
  <c r="AL528" i="2"/>
  <c r="AD528" i="2"/>
  <c r="V528" i="2"/>
  <c r="N528" i="2"/>
  <c r="F528" i="2"/>
  <c r="AL526" i="2"/>
  <c r="AD526" i="2"/>
  <c r="V526" i="2"/>
  <c r="N526" i="2"/>
  <c r="F526" i="2"/>
  <c r="AK528" i="2"/>
  <c r="AC528" i="2"/>
  <c r="U528" i="2"/>
  <c r="M528" i="2"/>
  <c r="E528" i="2"/>
  <c r="X527" i="2"/>
  <c r="AF527" i="2"/>
  <c r="P527" i="2"/>
  <c r="AI528" i="2"/>
  <c r="AA528" i="2"/>
  <c r="S528" i="2"/>
  <c r="K528" i="2"/>
  <c r="C528" i="2"/>
  <c r="AI526" i="2"/>
  <c r="AA526" i="2"/>
  <c r="S526" i="2"/>
  <c r="K526" i="2"/>
  <c r="C526" i="2"/>
  <c r="AF528" i="2"/>
  <c r="X528" i="2"/>
  <c r="P528" i="2"/>
  <c r="H528" i="2"/>
  <c r="AF526" i="2"/>
  <c r="X526" i="2"/>
  <c r="P526" i="2"/>
  <c r="H526" i="2"/>
  <c r="AJ529" i="2"/>
  <c r="AB529" i="2"/>
  <c r="T529" i="2"/>
  <c r="L529" i="2"/>
  <c r="D529" i="2"/>
  <c r="AJ528" i="2"/>
  <c r="AB528" i="2"/>
  <c r="T528" i="2"/>
  <c r="L528" i="2"/>
  <c r="D528" i="2"/>
  <c r="AJ526" i="2"/>
  <c r="AB526" i="2"/>
  <c r="T526" i="2"/>
  <c r="L526" i="2"/>
  <c r="D526" i="2"/>
  <c r="AI529" i="2"/>
  <c r="AA529" i="2"/>
  <c r="S529" i="2"/>
  <c r="K529" i="2"/>
  <c r="C529" i="2"/>
  <c r="AE527" i="2"/>
  <c r="W527" i="2"/>
  <c r="O527" i="2"/>
  <c r="G527" i="2"/>
  <c r="AH529" i="2"/>
  <c r="Z529" i="2"/>
  <c r="R529" i="2"/>
  <c r="J529" i="2"/>
  <c r="AL527" i="2"/>
  <c r="AD527" i="2"/>
  <c r="V527" i="2"/>
  <c r="N527" i="2"/>
  <c r="F527" i="2"/>
  <c r="AH528" i="2"/>
  <c r="Z528" i="2"/>
  <c r="R528" i="2"/>
  <c r="J528" i="2"/>
  <c r="AH526" i="2"/>
  <c r="Z526" i="2"/>
  <c r="R526" i="2"/>
  <c r="J526" i="2"/>
  <c r="AG529" i="2"/>
  <c r="Y529" i="2"/>
  <c r="Q529" i="2"/>
  <c r="I529" i="2"/>
  <c r="AF529" i="2"/>
  <c r="X529" i="2"/>
  <c r="P529" i="2"/>
  <c r="H529" i="2"/>
  <c r="AJ527" i="2"/>
  <c r="AB527" i="2"/>
  <c r="T527" i="2"/>
  <c r="L527" i="2"/>
  <c r="D527" i="2"/>
  <c r="AE529" i="2"/>
  <c r="W529" i="2"/>
  <c r="O529" i="2"/>
  <c r="G529" i="2"/>
  <c r="AI527" i="2"/>
  <c r="AA527" i="2"/>
  <c r="S527" i="2"/>
  <c r="K527" i="2"/>
  <c r="C527" i="2"/>
  <c r="AE528" i="2"/>
  <c r="W528" i="2"/>
  <c r="O528" i="2"/>
  <c r="G528" i="2"/>
  <c r="AE526" i="2"/>
  <c r="W526" i="2"/>
  <c r="O526" i="2"/>
  <c r="G526" i="2"/>
  <c r="AL529" i="2"/>
  <c r="AD529" i="2"/>
  <c r="V529" i="2"/>
  <c r="N529" i="2"/>
  <c r="F529" i="2"/>
  <c r="AH527" i="2"/>
  <c r="Z527" i="2"/>
  <c r="R527" i="2"/>
  <c r="J527" i="2"/>
  <c r="AK529" i="2"/>
  <c r="AC529" i="2"/>
  <c r="U529" i="2"/>
  <c r="M529" i="2"/>
  <c r="E529" i="2"/>
  <c r="AG527" i="2"/>
  <c r="Y527" i="2"/>
  <c r="Q527" i="2"/>
  <c r="I527" i="2"/>
  <c r="AK526" i="2"/>
  <c r="AC526" i="2"/>
  <c r="U526" i="2"/>
  <c r="M526" i="2"/>
  <c r="E526" i="2"/>
  <c r="C506" i="2"/>
  <c r="G506" i="2"/>
  <c r="O506" i="2"/>
  <c r="W506" i="2"/>
  <c r="AE506" i="2"/>
  <c r="K510" i="2"/>
  <c r="BA511" i="2" l="1"/>
  <c r="AS511" i="2"/>
  <c r="AP477" i="2"/>
  <c r="BD254" i="2"/>
  <c r="BD508" i="2"/>
  <c r="BD511" i="2"/>
  <c r="AX477" i="2"/>
  <c r="BB477" i="2"/>
  <c r="BA477" i="2"/>
  <c r="AS477" i="2"/>
  <c r="F507" i="2"/>
  <c r="AF510" i="2"/>
  <c r="X510" i="2"/>
  <c r="P510" i="2"/>
  <c r="H510" i="2"/>
  <c r="AF506" i="2"/>
  <c r="X506" i="2"/>
  <c r="P506" i="2"/>
  <c r="H506" i="2"/>
  <c r="C509" i="2"/>
  <c r="AH509" i="2"/>
  <c r="R509" i="2"/>
  <c r="Z509" i="2"/>
  <c r="J509" i="2"/>
  <c r="AI510" i="2"/>
  <c r="AA510" i="2"/>
  <c r="S510" i="2"/>
  <c r="AI506" i="2"/>
  <c r="AA506" i="2"/>
  <c r="S506" i="2"/>
  <c r="K506" i="2"/>
  <c r="AD507" i="2"/>
  <c r="V507" i="2"/>
  <c r="N507" i="2"/>
  <c r="AG507" i="2"/>
  <c r="Y507" i="2"/>
  <c r="Q507" i="2"/>
  <c r="I507" i="2"/>
  <c r="AG510" i="2"/>
  <c r="Y510" i="2"/>
  <c r="Q510" i="2"/>
  <c r="I510" i="2"/>
  <c r="AK509" i="2"/>
  <c r="AC509" i="2"/>
  <c r="U509" i="2"/>
  <c r="M509" i="2"/>
  <c r="E509" i="2"/>
  <c r="AK507" i="2"/>
  <c r="AC507" i="2"/>
  <c r="U507" i="2"/>
  <c r="M507" i="2"/>
  <c r="E507" i="2"/>
  <c r="AG506" i="2"/>
  <c r="Y506" i="2"/>
  <c r="Q506" i="2"/>
  <c r="I506" i="2"/>
  <c r="AJ509" i="2"/>
  <c r="AB509" i="2"/>
  <c r="T509" i="2"/>
  <c r="L509" i="2"/>
  <c r="D509" i="2"/>
  <c r="AE510" i="2"/>
  <c r="W510" i="2"/>
  <c r="O510" i="2"/>
  <c r="G510" i="2"/>
  <c r="AI509" i="2"/>
  <c r="AA509" i="2"/>
  <c r="S509" i="2"/>
  <c r="K509" i="2"/>
  <c r="AI507" i="2"/>
  <c r="AA507" i="2"/>
  <c r="S507" i="2"/>
  <c r="K507" i="2"/>
  <c r="AD510" i="2"/>
  <c r="V510" i="2"/>
  <c r="N510" i="2"/>
  <c r="F510" i="2"/>
  <c r="AH507" i="2"/>
  <c r="Z507" i="2"/>
  <c r="R507" i="2"/>
  <c r="J507" i="2"/>
  <c r="AD506" i="2"/>
  <c r="V506" i="2"/>
  <c r="N506" i="2"/>
  <c r="F506" i="2"/>
  <c r="AK510" i="2"/>
  <c r="AC510" i="2"/>
  <c r="U510" i="2"/>
  <c r="M510" i="2"/>
  <c r="E510" i="2"/>
  <c r="AG509" i="2"/>
  <c r="Y509" i="2"/>
  <c r="Q509" i="2"/>
  <c r="I509" i="2"/>
  <c r="AK506" i="2"/>
  <c r="AC506" i="2"/>
  <c r="U506" i="2"/>
  <c r="M506" i="2"/>
  <c r="E506" i="2"/>
  <c r="AJ507" i="2"/>
  <c r="AB507" i="2"/>
  <c r="T507" i="2"/>
  <c r="L507" i="2"/>
  <c r="D507" i="2"/>
  <c r="AJ510" i="2"/>
  <c r="AB510" i="2"/>
  <c r="T510" i="2"/>
  <c r="L510" i="2"/>
  <c r="D510" i="2"/>
  <c r="AF509" i="2"/>
  <c r="X509" i="2"/>
  <c r="P509" i="2"/>
  <c r="H509" i="2"/>
  <c r="AF507" i="2"/>
  <c r="X507" i="2"/>
  <c r="P507" i="2"/>
  <c r="H507" i="2"/>
  <c r="AJ506" i="2"/>
  <c r="AB506" i="2"/>
  <c r="T506" i="2"/>
  <c r="L506" i="2"/>
  <c r="D506" i="2"/>
  <c r="C510" i="2"/>
  <c r="AE509" i="2"/>
  <c r="W509" i="2"/>
  <c r="O509" i="2"/>
  <c r="G509" i="2"/>
  <c r="AE507" i="2"/>
  <c r="W507" i="2"/>
  <c r="O507" i="2"/>
  <c r="G507" i="2"/>
  <c r="AH510" i="2"/>
  <c r="Z510" i="2"/>
  <c r="R510" i="2"/>
  <c r="J510" i="2"/>
  <c r="AD509" i="2"/>
  <c r="V509" i="2"/>
  <c r="N509" i="2"/>
  <c r="F509" i="2"/>
  <c r="AH506" i="2"/>
  <c r="Z506" i="2"/>
  <c r="R506" i="2"/>
  <c r="J506" i="2"/>
  <c r="C507" i="2"/>
  <c r="AH494" i="2"/>
  <c r="R500" i="2"/>
  <c r="M494" i="2"/>
  <c r="AJ500" i="2"/>
  <c r="AB500" i="2"/>
  <c r="T500" i="2"/>
  <c r="L500" i="2"/>
  <c r="D500" i="2"/>
  <c r="AI500" i="2"/>
  <c r="AA500" i="2"/>
  <c r="S500" i="2"/>
  <c r="K500" i="2"/>
  <c r="C500" i="2"/>
  <c r="AA487" i="2"/>
  <c r="AE481" i="2"/>
  <c r="J500" i="2"/>
  <c r="AG500" i="2"/>
  <c r="Y500" i="2"/>
  <c r="Q500" i="2"/>
  <c r="I500" i="2"/>
  <c r="AK494" i="2"/>
  <c r="AC494" i="2"/>
  <c r="U494" i="2"/>
  <c r="E494" i="2"/>
  <c r="AF500" i="2"/>
  <c r="X500" i="2"/>
  <c r="P500" i="2"/>
  <c r="H500" i="2"/>
  <c r="AE500" i="2"/>
  <c r="W500" i="2"/>
  <c r="O500" i="2"/>
  <c r="G500" i="2"/>
  <c r="Z500" i="2"/>
  <c r="AD500" i="2"/>
  <c r="V500" i="2"/>
  <c r="N500" i="2"/>
  <c r="F500" i="2"/>
  <c r="Z494" i="2"/>
  <c r="R494" i="2"/>
  <c r="J494" i="2"/>
  <c r="AH500" i="2"/>
  <c r="AK500" i="2"/>
  <c r="AC500" i="2"/>
  <c r="U500" i="2"/>
  <c r="M500" i="2"/>
  <c r="E500" i="2"/>
  <c r="AG494" i="2"/>
  <c r="Y494" i="2"/>
  <c r="Q494" i="2"/>
  <c r="I494" i="2"/>
  <c r="AI487" i="2"/>
  <c r="AD494" i="2"/>
  <c r="V494" i="2"/>
  <c r="N494" i="2"/>
  <c r="F494" i="2"/>
  <c r="S487" i="2"/>
  <c r="W494" i="2"/>
  <c r="G481" i="2"/>
  <c r="AJ494" i="2"/>
  <c r="AB494" i="2"/>
  <c r="T494" i="2"/>
  <c r="L494" i="2"/>
  <c r="D494" i="2"/>
  <c r="AE494" i="2"/>
  <c r="AI494" i="2"/>
  <c r="AA494" i="2"/>
  <c r="S494" i="2"/>
  <c r="K494" i="2"/>
  <c r="C494" i="2"/>
  <c r="C481" i="2"/>
  <c r="G494" i="2"/>
  <c r="O481" i="2"/>
  <c r="O494" i="2"/>
  <c r="W481" i="2"/>
  <c r="K487" i="2"/>
  <c r="AF494" i="2"/>
  <c r="X494" i="2"/>
  <c r="P494" i="2"/>
  <c r="H494" i="2"/>
  <c r="AF481" i="2"/>
  <c r="X481" i="2"/>
  <c r="P481" i="2"/>
  <c r="H481" i="2"/>
  <c r="AK487" i="2"/>
  <c r="AC487" i="2"/>
  <c r="U487" i="2"/>
  <c r="M487" i="2"/>
  <c r="E487" i="2"/>
  <c r="AG481" i="2"/>
  <c r="Y481" i="2"/>
  <c r="Q481" i="2"/>
  <c r="I481" i="2"/>
  <c r="AH487" i="2"/>
  <c r="Z487" i="2"/>
  <c r="R487" i="2"/>
  <c r="J487" i="2"/>
  <c r="AD481" i="2"/>
  <c r="V481" i="2"/>
  <c r="N481" i="2"/>
  <c r="F481" i="2"/>
  <c r="AG487" i="2"/>
  <c r="Y487" i="2"/>
  <c r="Q487" i="2"/>
  <c r="I487" i="2"/>
  <c r="AK481" i="2"/>
  <c r="AC481" i="2"/>
  <c r="U481" i="2"/>
  <c r="M481" i="2"/>
  <c r="E481" i="2"/>
  <c r="AJ487" i="2"/>
  <c r="AB487" i="2"/>
  <c r="T487" i="2"/>
  <c r="L487" i="2"/>
  <c r="AF487" i="2"/>
  <c r="X487" i="2"/>
  <c r="P487" i="2"/>
  <c r="H487" i="2"/>
  <c r="AJ481" i="2"/>
  <c r="AB481" i="2"/>
  <c r="T481" i="2"/>
  <c r="L481" i="2"/>
  <c r="D481" i="2"/>
  <c r="C487" i="2"/>
  <c r="AE487" i="2"/>
  <c r="W487" i="2"/>
  <c r="O487" i="2"/>
  <c r="G487" i="2"/>
  <c r="AI481" i="2"/>
  <c r="AA481" i="2"/>
  <c r="S481" i="2"/>
  <c r="K481" i="2"/>
  <c r="D487" i="2"/>
  <c r="AD487" i="2"/>
  <c r="V487" i="2"/>
  <c r="N487" i="2"/>
  <c r="F487" i="2"/>
  <c r="AH481" i="2"/>
  <c r="Z481" i="2"/>
  <c r="R481" i="2"/>
  <c r="J481" i="2"/>
  <c r="AE476" i="2"/>
  <c r="AD453" i="2"/>
  <c r="V453" i="2"/>
  <c r="N453" i="2"/>
  <c r="F453" i="2"/>
  <c r="AI472" i="2"/>
  <c r="AA472" i="2"/>
  <c r="S472" i="2"/>
  <c r="K472" i="2"/>
  <c r="AE473" i="2"/>
  <c r="W473" i="2"/>
  <c r="O473" i="2"/>
  <c r="G473" i="2"/>
  <c r="AH472" i="2"/>
  <c r="Z472" i="2"/>
  <c r="R472" i="2"/>
  <c r="J472" i="2"/>
  <c r="C472" i="2"/>
  <c r="C475" i="2"/>
  <c r="AI466" i="2"/>
  <c r="AA466" i="2"/>
  <c r="S466" i="2"/>
  <c r="K466" i="2"/>
  <c r="AD466" i="2"/>
  <c r="V466" i="2"/>
  <c r="N466" i="2"/>
  <c r="F466" i="2"/>
  <c r="AK460" i="2"/>
  <c r="AC460" i="2"/>
  <c r="U460" i="2"/>
  <c r="M460" i="2"/>
  <c r="E460" i="2"/>
  <c r="AJ453" i="2"/>
  <c r="AB453" i="2"/>
  <c r="T453" i="2"/>
  <c r="L453" i="2"/>
  <c r="D453" i="2"/>
  <c r="W476" i="2"/>
  <c r="O476" i="2"/>
  <c r="G476" i="2"/>
  <c r="AH475" i="2"/>
  <c r="Z475" i="2"/>
  <c r="R475" i="2"/>
  <c r="J475" i="2"/>
  <c r="AD473" i="2"/>
  <c r="V473" i="2"/>
  <c r="N473" i="2"/>
  <c r="F473" i="2"/>
  <c r="AG472" i="2"/>
  <c r="Y472" i="2"/>
  <c r="Q472" i="2"/>
  <c r="I472" i="2"/>
  <c r="AE475" i="2"/>
  <c r="W475" i="2"/>
  <c r="O475" i="2"/>
  <c r="G475" i="2"/>
  <c r="AD472" i="2"/>
  <c r="V472" i="2"/>
  <c r="N472" i="2"/>
  <c r="F472" i="2"/>
  <c r="AG476" i="2"/>
  <c r="Y476" i="2"/>
  <c r="Q476" i="2"/>
  <c r="I476" i="2"/>
  <c r="AJ475" i="2"/>
  <c r="AB475" i="2"/>
  <c r="T475" i="2"/>
  <c r="L475" i="2"/>
  <c r="D475" i="2"/>
  <c r="AF473" i="2"/>
  <c r="X473" i="2"/>
  <c r="P473" i="2"/>
  <c r="H473" i="2"/>
  <c r="C476" i="2"/>
  <c r="AD476" i="2"/>
  <c r="V476" i="2"/>
  <c r="N476" i="2"/>
  <c r="F476" i="2"/>
  <c r="AG475" i="2"/>
  <c r="Y475" i="2"/>
  <c r="Q475" i="2"/>
  <c r="I475" i="2"/>
  <c r="AK473" i="2"/>
  <c r="AC473" i="2"/>
  <c r="U473" i="2"/>
  <c r="M473" i="2"/>
  <c r="E473" i="2"/>
  <c r="AF472" i="2"/>
  <c r="X472" i="2"/>
  <c r="P472" i="2"/>
  <c r="H472" i="2"/>
  <c r="AJ473" i="2"/>
  <c r="AB473" i="2"/>
  <c r="T473" i="2"/>
  <c r="L473" i="2"/>
  <c r="D473" i="2"/>
  <c r="AE472" i="2"/>
  <c r="W472" i="2"/>
  <c r="O472" i="2"/>
  <c r="G472" i="2"/>
  <c r="AJ476" i="2"/>
  <c r="AB476" i="2"/>
  <c r="T476" i="2"/>
  <c r="L476" i="2"/>
  <c r="D476" i="2"/>
  <c r="AI473" i="2"/>
  <c r="AA473" i="2"/>
  <c r="S473" i="2"/>
  <c r="K473" i="2"/>
  <c r="AK476" i="2"/>
  <c r="U476" i="2"/>
  <c r="E476" i="2"/>
  <c r="X475" i="2"/>
  <c r="P475" i="2"/>
  <c r="AI476" i="2"/>
  <c r="AA476" i="2"/>
  <c r="S476" i="2"/>
  <c r="K476" i="2"/>
  <c r="AD475" i="2"/>
  <c r="V475" i="2"/>
  <c r="N475" i="2"/>
  <c r="F475" i="2"/>
  <c r="AH473" i="2"/>
  <c r="Z473" i="2"/>
  <c r="R473" i="2"/>
  <c r="J473" i="2"/>
  <c r="AK472" i="2"/>
  <c r="AC472" i="2"/>
  <c r="U472" i="2"/>
  <c r="M472" i="2"/>
  <c r="E472" i="2"/>
  <c r="AC476" i="2"/>
  <c r="M476" i="2"/>
  <c r="AF475" i="2"/>
  <c r="H475" i="2"/>
  <c r="AE453" i="2"/>
  <c r="W453" i="2"/>
  <c r="O453" i="2"/>
  <c r="G453" i="2"/>
  <c r="AH476" i="2"/>
  <c r="Z476" i="2"/>
  <c r="R476" i="2"/>
  <c r="J476" i="2"/>
  <c r="AK475" i="2"/>
  <c r="AC475" i="2"/>
  <c r="U475" i="2"/>
  <c r="M475" i="2"/>
  <c r="E475" i="2"/>
  <c r="AG473" i="2"/>
  <c r="Y473" i="2"/>
  <c r="Q473" i="2"/>
  <c r="I473" i="2"/>
  <c r="AJ472" i="2"/>
  <c r="AB472" i="2"/>
  <c r="T472" i="2"/>
  <c r="L472" i="2"/>
  <c r="D472" i="2"/>
  <c r="AF476" i="2"/>
  <c r="X476" i="2"/>
  <c r="P476" i="2"/>
  <c r="H476" i="2"/>
  <c r="AI475" i="2"/>
  <c r="AA475" i="2"/>
  <c r="S475" i="2"/>
  <c r="K475" i="2"/>
  <c r="AE466" i="2"/>
  <c r="W466" i="2"/>
  <c r="O466" i="2"/>
  <c r="G466" i="2"/>
  <c r="AH453" i="2"/>
  <c r="Z453" i="2"/>
  <c r="R453" i="2"/>
  <c r="J453" i="2"/>
  <c r="AK453" i="2"/>
  <c r="AC453" i="2"/>
  <c r="U453" i="2"/>
  <c r="M453" i="2"/>
  <c r="E453" i="2"/>
  <c r="AF466" i="2"/>
  <c r="AI453" i="2"/>
  <c r="AA453" i="2"/>
  <c r="S453" i="2"/>
  <c r="K453" i="2"/>
  <c r="H466" i="2"/>
  <c r="P466" i="2"/>
  <c r="C453" i="2"/>
  <c r="AG453" i="2"/>
  <c r="Y453" i="2"/>
  <c r="Q453" i="2"/>
  <c r="I453" i="2"/>
  <c r="AF453" i="2"/>
  <c r="X453" i="2"/>
  <c r="P453" i="2"/>
  <c r="H453" i="2"/>
  <c r="X466" i="2"/>
  <c r="C473" i="2"/>
  <c r="C466" i="2"/>
  <c r="AK466" i="2"/>
  <c r="AC466" i="2"/>
  <c r="U466" i="2"/>
  <c r="M466" i="2"/>
  <c r="E466" i="2"/>
  <c r="AJ460" i="2"/>
  <c r="AB460" i="2"/>
  <c r="T460" i="2"/>
  <c r="L460" i="2"/>
  <c r="D460" i="2"/>
  <c r="AJ466" i="2"/>
  <c r="AB466" i="2"/>
  <c r="T466" i="2"/>
  <c r="L466" i="2"/>
  <c r="D466" i="2"/>
  <c r="AH466" i="2"/>
  <c r="Z466" i="2"/>
  <c r="R466" i="2"/>
  <c r="J466" i="2"/>
  <c r="C447" i="2"/>
  <c r="AG466" i="2"/>
  <c r="Y466" i="2"/>
  <c r="Q466" i="2"/>
  <c r="I466" i="2"/>
  <c r="AI460" i="2"/>
  <c r="AA460" i="2"/>
  <c r="S460" i="2"/>
  <c r="K460" i="2"/>
  <c r="AE460" i="2"/>
  <c r="W460" i="2"/>
  <c r="O460" i="2"/>
  <c r="G460" i="2"/>
  <c r="AH460" i="2"/>
  <c r="Z460" i="2"/>
  <c r="R460" i="2"/>
  <c r="J460" i="2"/>
  <c r="AH447" i="2"/>
  <c r="Z447" i="2"/>
  <c r="R447" i="2"/>
  <c r="J447" i="2"/>
  <c r="AF447" i="2"/>
  <c r="X447" i="2"/>
  <c r="P447" i="2"/>
  <c r="H447" i="2"/>
  <c r="I460" i="2"/>
  <c r="H460" i="2"/>
  <c r="Y460" i="2"/>
  <c r="P460" i="2"/>
  <c r="AG460" i="2"/>
  <c r="Q460" i="2"/>
  <c r="AF460" i="2"/>
  <c r="X460" i="2"/>
  <c r="C460" i="2"/>
  <c r="AD460" i="2"/>
  <c r="V460" i="2"/>
  <c r="N460" i="2"/>
  <c r="F460" i="2"/>
  <c r="AE447" i="2"/>
  <c r="W447" i="2"/>
  <c r="O447" i="2"/>
  <c r="G447" i="2"/>
  <c r="AK447" i="2"/>
  <c r="AC447" i="2"/>
  <c r="U447" i="2"/>
  <c r="M447" i="2"/>
  <c r="E447" i="2"/>
  <c r="AD447" i="2"/>
  <c r="V447" i="2"/>
  <c r="N447" i="2"/>
  <c r="F447" i="2"/>
  <c r="AG447" i="2"/>
  <c r="Y447" i="2"/>
  <c r="Q447" i="2"/>
  <c r="I447" i="2"/>
  <c r="AJ447" i="2"/>
  <c r="AB447" i="2"/>
  <c r="T447" i="2"/>
  <c r="L447" i="2"/>
  <c r="D447" i="2"/>
  <c r="AI447" i="2"/>
  <c r="AA447" i="2"/>
  <c r="S447" i="2"/>
  <c r="K447" i="2"/>
  <c r="AI508" i="2" l="1"/>
  <c r="S508" i="2"/>
  <c r="E508" i="2"/>
  <c r="K508" i="2"/>
  <c r="AA508" i="2"/>
  <c r="M508" i="2"/>
  <c r="P511" i="2"/>
  <c r="I508" i="2"/>
  <c r="AK511" i="2"/>
  <c r="AD511" i="2"/>
  <c r="AC511" i="2"/>
  <c r="X511" i="2"/>
  <c r="AH508" i="2"/>
  <c r="D508" i="2"/>
  <c r="AF511" i="2"/>
  <c r="N508" i="2"/>
  <c r="Q508" i="2"/>
  <c r="L508" i="2"/>
  <c r="AG508" i="2"/>
  <c r="G511" i="2"/>
  <c r="J511" i="2"/>
  <c r="R508" i="2"/>
  <c r="D511" i="2"/>
  <c r="AH511" i="2"/>
  <c r="V508" i="2"/>
  <c r="H508" i="2"/>
  <c r="K511" i="2"/>
  <c r="L511" i="2"/>
  <c r="Z508" i="2"/>
  <c r="T508" i="2"/>
  <c r="I511" i="2"/>
  <c r="X508" i="2"/>
  <c r="C511" i="2"/>
  <c r="O511" i="2"/>
  <c r="AJ511" i="2"/>
  <c r="U508" i="2"/>
  <c r="AJ508" i="2"/>
  <c r="AE511" i="2"/>
  <c r="F508" i="2"/>
  <c r="AC508" i="2"/>
  <c r="F511" i="2"/>
  <c r="AK508" i="2"/>
  <c r="AD508" i="2"/>
  <c r="Y508" i="2"/>
  <c r="G508" i="2"/>
  <c r="AI511" i="2"/>
  <c r="N511" i="2"/>
  <c r="T511" i="2"/>
  <c r="V511" i="2"/>
  <c r="AB508" i="2"/>
  <c r="AB511" i="2"/>
  <c r="Q511" i="2"/>
  <c r="E511" i="2"/>
  <c r="AF508" i="2"/>
  <c r="O508" i="2"/>
  <c r="S511" i="2"/>
  <c r="J508" i="2"/>
  <c r="W511" i="2"/>
  <c r="H511" i="2"/>
  <c r="AG511" i="2"/>
  <c r="Z511" i="2"/>
  <c r="U511" i="2"/>
  <c r="C508" i="2"/>
  <c r="AE508" i="2"/>
  <c r="AA511" i="2"/>
  <c r="P508" i="2"/>
  <c r="W508" i="2"/>
  <c r="Y511" i="2"/>
  <c r="R511" i="2"/>
  <c r="M511" i="2"/>
  <c r="U474" i="2"/>
  <c r="T477" i="2"/>
  <c r="L477" i="2"/>
  <c r="P477" i="2"/>
  <c r="I477" i="2"/>
  <c r="S477" i="2"/>
  <c r="F477" i="2"/>
  <c r="M474" i="2"/>
  <c r="K477" i="2"/>
  <c r="N477" i="2"/>
  <c r="V477" i="2"/>
  <c r="AD477" i="2"/>
  <c r="AA474" i="2"/>
  <c r="Q474" i="2"/>
  <c r="E474" i="2"/>
  <c r="AJ477" i="2"/>
  <c r="O477" i="2"/>
  <c r="AE477" i="2"/>
  <c r="AA477" i="2"/>
  <c r="AK474" i="2"/>
  <c r="AI477" i="2"/>
  <c r="G477" i="2"/>
  <c r="W477" i="2"/>
  <c r="AC474" i="2"/>
  <c r="D477" i="2"/>
  <c r="Z474" i="2"/>
  <c r="K474" i="2"/>
  <c r="AB477" i="2"/>
  <c r="AG474" i="2"/>
  <c r="T474" i="2"/>
  <c r="AB474" i="2"/>
  <c r="V474" i="2"/>
  <c r="G474" i="2"/>
  <c r="AG477" i="2"/>
  <c r="Z477" i="2"/>
  <c r="C477" i="2"/>
  <c r="L474" i="2"/>
  <c r="AD474" i="2"/>
  <c r="AH474" i="2"/>
  <c r="AE474" i="2"/>
  <c r="P474" i="2"/>
  <c r="O474" i="2"/>
  <c r="AH477" i="2"/>
  <c r="AI474" i="2"/>
  <c r="Y474" i="2"/>
  <c r="X474" i="2"/>
  <c r="AJ474" i="2"/>
  <c r="H477" i="2"/>
  <c r="E477" i="2"/>
  <c r="S474" i="2"/>
  <c r="I474" i="2"/>
  <c r="W474" i="2"/>
  <c r="H474" i="2"/>
  <c r="C474" i="2"/>
  <c r="M477" i="2"/>
  <c r="AF474" i="2"/>
  <c r="AK477" i="2"/>
  <c r="U477" i="2"/>
  <c r="AF477" i="2"/>
  <c r="AC477" i="2"/>
  <c r="D474" i="2"/>
  <c r="F474" i="2"/>
  <c r="J474" i="2"/>
  <c r="Q477" i="2"/>
  <c r="J477" i="2"/>
  <c r="X477" i="2"/>
  <c r="N474" i="2"/>
  <c r="R474" i="2"/>
  <c r="Y477" i="2"/>
  <c r="R477" i="2"/>
  <c r="C419" i="2" l="1"/>
  <c r="D419" i="2"/>
  <c r="E419" i="2"/>
  <c r="F419" i="2"/>
  <c r="G419" i="2"/>
  <c r="H419" i="2"/>
  <c r="C433" i="2" s="1"/>
  <c r="I419" i="2"/>
  <c r="J419" i="2"/>
  <c r="K419" i="2"/>
  <c r="L419" i="2"/>
  <c r="M419" i="2"/>
  <c r="N419" i="2"/>
  <c r="O419" i="2"/>
  <c r="P419" i="2"/>
  <c r="Q419" i="2"/>
  <c r="R419" i="2"/>
  <c r="D433" i="2" s="1"/>
  <c r="S419" i="2"/>
  <c r="T419" i="2"/>
  <c r="U419" i="2"/>
  <c r="V419" i="2"/>
  <c r="W419" i="2"/>
  <c r="X419" i="2"/>
  <c r="Y419" i="2"/>
  <c r="Z419" i="2"/>
  <c r="AA419" i="2"/>
  <c r="AB419" i="2"/>
  <c r="E433" i="2" s="1"/>
  <c r="AC419" i="2"/>
  <c r="AD419" i="2"/>
  <c r="AE419" i="2"/>
  <c r="AF419" i="2"/>
  <c r="AG419" i="2"/>
  <c r="AH419" i="2"/>
  <c r="AI419" i="2"/>
  <c r="AJ419" i="2"/>
  <c r="AK419" i="2"/>
  <c r="AL419" i="2"/>
  <c r="F433" i="2" s="1"/>
  <c r="C421" i="2"/>
  <c r="D421" i="2"/>
  <c r="E421" i="2"/>
  <c r="F421" i="2"/>
  <c r="G421" i="2"/>
  <c r="H421" i="2"/>
  <c r="C435" i="2" s="1"/>
  <c r="I421" i="2"/>
  <c r="J421" i="2"/>
  <c r="K421" i="2"/>
  <c r="L421" i="2"/>
  <c r="M421" i="2"/>
  <c r="N421" i="2"/>
  <c r="O421" i="2"/>
  <c r="P421" i="2"/>
  <c r="Q421" i="2"/>
  <c r="R421" i="2"/>
  <c r="D435" i="2" s="1"/>
  <c r="S421" i="2"/>
  <c r="T421" i="2"/>
  <c r="U421" i="2"/>
  <c r="V421" i="2"/>
  <c r="W421" i="2"/>
  <c r="X421" i="2"/>
  <c r="Y421" i="2"/>
  <c r="Z421" i="2"/>
  <c r="AA421" i="2"/>
  <c r="AB421" i="2"/>
  <c r="E435" i="2" s="1"/>
  <c r="AC421" i="2"/>
  <c r="AD421" i="2"/>
  <c r="AE421" i="2"/>
  <c r="AF421" i="2"/>
  <c r="AG421" i="2"/>
  <c r="AH421" i="2"/>
  <c r="AI421" i="2"/>
  <c r="AJ421" i="2"/>
  <c r="AK421" i="2"/>
  <c r="AL421" i="2"/>
  <c r="F435" i="2" s="1"/>
  <c r="C422" i="2"/>
  <c r="D422" i="2"/>
  <c r="E422" i="2"/>
  <c r="F422" i="2"/>
  <c r="G422" i="2"/>
  <c r="H422" i="2"/>
  <c r="C436" i="2" s="1"/>
  <c r="I422" i="2"/>
  <c r="J422" i="2"/>
  <c r="K422" i="2"/>
  <c r="L422" i="2"/>
  <c r="M422" i="2"/>
  <c r="N422" i="2"/>
  <c r="O422" i="2"/>
  <c r="P422" i="2"/>
  <c r="Q422" i="2"/>
  <c r="R422" i="2"/>
  <c r="D436" i="2" s="1"/>
  <c r="S422" i="2"/>
  <c r="T422" i="2"/>
  <c r="U422" i="2"/>
  <c r="V422" i="2"/>
  <c r="W422" i="2"/>
  <c r="X422" i="2"/>
  <c r="Y422" i="2"/>
  <c r="Z422" i="2"/>
  <c r="AA422" i="2"/>
  <c r="AB422" i="2"/>
  <c r="E436" i="2" s="1"/>
  <c r="AC422" i="2"/>
  <c r="AD422" i="2"/>
  <c r="AE422" i="2"/>
  <c r="AF422" i="2"/>
  <c r="AG422" i="2"/>
  <c r="AH422" i="2"/>
  <c r="AI422" i="2"/>
  <c r="AJ422" i="2"/>
  <c r="AK422" i="2"/>
  <c r="AL422" i="2"/>
  <c r="F436" i="2" s="1"/>
  <c r="C424" i="2"/>
  <c r="D424" i="2"/>
  <c r="E424" i="2"/>
  <c r="F424" i="2"/>
  <c r="G424" i="2"/>
  <c r="H424" i="2"/>
  <c r="C438" i="2" s="1"/>
  <c r="I424" i="2"/>
  <c r="J424" i="2"/>
  <c r="K424" i="2"/>
  <c r="L424" i="2"/>
  <c r="M424" i="2"/>
  <c r="N424" i="2"/>
  <c r="O424" i="2"/>
  <c r="P424" i="2"/>
  <c r="Q424" i="2"/>
  <c r="R424" i="2"/>
  <c r="D438" i="2" s="1"/>
  <c r="S424" i="2"/>
  <c r="T424" i="2"/>
  <c r="U424" i="2"/>
  <c r="V424" i="2"/>
  <c r="W424" i="2"/>
  <c r="X424" i="2"/>
  <c r="Y424" i="2"/>
  <c r="Z424" i="2"/>
  <c r="AA424" i="2"/>
  <c r="AB424" i="2"/>
  <c r="E438" i="2" s="1"/>
  <c r="AC424" i="2"/>
  <c r="AD424" i="2"/>
  <c r="AE424" i="2"/>
  <c r="AF424" i="2"/>
  <c r="AG424" i="2"/>
  <c r="AH424" i="2"/>
  <c r="AI424" i="2"/>
  <c r="AJ424" i="2"/>
  <c r="AK424" i="2"/>
  <c r="AL424" i="2"/>
  <c r="F438" i="2" s="1"/>
  <c r="C426" i="2"/>
  <c r="D426" i="2"/>
  <c r="E426" i="2"/>
  <c r="F426" i="2"/>
  <c r="G426" i="2"/>
  <c r="H426" i="2"/>
  <c r="C440" i="2" s="1"/>
  <c r="I426" i="2"/>
  <c r="J426" i="2"/>
  <c r="K426" i="2"/>
  <c r="L426" i="2"/>
  <c r="M426" i="2"/>
  <c r="N426" i="2"/>
  <c r="O426" i="2"/>
  <c r="P426" i="2"/>
  <c r="Q426" i="2"/>
  <c r="R426" i="2"/>
  <c r="D440" i="2" s="1"/>
  <c r="S426" i="2"/>
  <c r="T426" i="2"/>
  <c r="U426" i="2"/>
  <c r="V426" i="2"/>
  <c r="W426" i="2"/>
  <c r="X426" i="2"/>
  <c r="Y426" i="2"/>
  <c r="Z426" i="2"/>
  <c r="AA426" i="2"/>
  <c r="AB426" i="2"/>
  <c r="E440" i="2" s="1"/>
  <c r="AC426" i="2"/>
  <c r="AD426" i="2"/>
  <c r="AE426" i="2"/>
  <c r="AF426" i="2"/>
  <c r="AG426" i="2"/>
  <c r="AH426" i="2"/>
  <c r="AI426" i="2"/>
  <c r="AJ426" i="2"/>
  <c r="AK426" i="2"/>
  <c r="AL426" i="2"/>
  <c r="F440" i="2" s="1"/>
  <c r="C425" i="2"/>
  <c r="D425" i="2"/>
  <c r="E425" i="2"/>
  <c r="F425" i="2"/>
  <c r="G425" i="2"/>
  <c r="H425" i="2"/>
  <c r="C439" i="2" s="1"/>
  <c r="I425" i="2"/>
  <c r="J425" i="2"/>
  <c r="K425" i="2"/>
  <c r="L425" i="2"/>
  <c r="M425" i="2"/>
  <c r="N425" i="2"/>
  <c r="O425" i="2"/>
  <c r="P425" i="2"/>
  <c r="Q425" i="2"/>
  <c r="R425" i="2"/>
  <c r="D439" i="2" s="1"/>
  <c r="S425" i="2"/>
  <c r="T425" i="2"/>
  <c r="U425" i="2"/>
  <c r="V425" i="2"/>
  <c r="W425" i="2"/>
  <c r="X425" i="2"/>
  <c r="Y425" i="2"/>
  <c r="Z425" i="2"/>
  <c r="AA425" i="2"/>
  <c r="AB425" i="2"/>
  <c r="E439" i="2" s="1"/>
  <c r="AC425" i="2"/>
  <c r="AD425" i="2"/>
  <c r="AE425" i="2"/>
  <c r="AF425" i="2"/>
  <c r="AG425" i="2"/>
  <c r="AH425" i="2"/>
  <c r="AI425" i="2"/>
  <c r="AJ425" i="2"/>
  <c r="AK425" i="2"/>
  <c r="AL425" i="2"/>
  <c r="F439" i="2" s="1"/>
  <c r="AJ428" i="2" l="1"/>
  <c r="AB428" i="2"/>
  <c r="E442" i="2" s="1"/>
  <c r="T428" i="2"/>
  <c r="L428" i="2"/>
  <c r="D428" i="2"/>
  <c r="AL428" i="2"/>
  <c r="F442" i="2" s="1"/>
  <c r="AD428" i="2"/>
  <c r="V428" i="2"/>
  <c r="N428" i="2"/>
  <c r="F428" i="2"/>
  <c r="AH427" i="2"/>
  <c r="Z427" i="2"/>
  <c r="R427" i="2"/>
  <c r="D441" i="2" s="1"/>
  <c r="J427" i="2"/>
  <c r="AH418" i="2"/>
  <c r="J418" i="2"/>
  <c r="AI428" i="2"/>
  <c r="AA428" i="2"/>
  <c r="S428" i="2"/>
  <c r="K428" i="2"/>
  <c r="C428" i="2"/>
  <c r="AE427" i="2"/>
  <c r="W427" i="2"/>
  <c r="O427" i="2"/>
  <c r="G427" i="2"/>
  <c r="AK429" i="2"/>
  <c r="AC429" i="2"/>
  <c r="U429" i="2"/>
  <c r="M429" i="2"/>
  <c r="E429" i="2"/>
  <c r="AK428" i="2"/>
  <c r="AC428" i="2"/>
  <c r="U428" i="2"/>
  <c r="M428" i="2"/>
  <c r="E428" i="2"/>
  <c r="AG427" i="2"/>
  <c r="Y427" i="2"/>
  <c r="Q427" i="2"/>
  <c r="I427" i="2"/>
  <c r="AG420" i="2"/>
  <c r="Y420" i="2"/>
  <c r="Q420" i="2"/>
  <c r="I420" i="2"/>
  <c r="AK423" i="2"/>
  <c r="AC423" i="2"/>
  <c r="U423" i="2"/>
  <c r="M423" i="2"/>
  <c r="E423" i="2"/>
  <c r="AG418" i="2"/>
  <c r="Y418" i="2"/>
  <c r="Q418" i="2"/>
  <c r="I418" i="2"/>
  <c r="V429" i="2"/>
  <c r="Z420" i="2"/>
  <c r="AD423" i="2"/>
  <c r="AJ429" i="2"/>
  <c r="AB429" i="2"/>
  <c r="E443" i="2" s="1"/>
  <c r="T429" i="2"/>
  <c r="L429" i="2"/>
  <c r="D429" i="2"/>
  <c r="AF427" i="2"/>
  <c r="X427" i="2"/>
  <c r="P427" i="2"/>
  <c r="H427" i="2"/>
  <c r="C441" i="2" s="1"/>
  <c r="AF420" i="2"/>
  <c r="X420" i="2"/>
  <c r="P420" i="2"/>
  <c r="H420" i="2"/>
  <c r="C434" i="2" s="1"/>
  <c r="AJ423" i="2"/>
  <c r="AB423" i="2"/>
  <c r="E437" i="2" s="1"/>
  <c r="T423" i="2"/>
  <c r="L423" i="2"/>
  <c r="D423" i="2"/>
  <c r="AF418" i="2"/>
  <c r="X418" i="2"/>
  <c r="P418" i="2"/>
  <c r="H418" i="2"/>
  <c r="C432" i="2" s="1"/>
  <c r="AI429" i="2"/>
  <c r="K429" i="2"/>
  <c r="AE420" i="2"/>
  <c r="O420" i="2"/>
  <c r="AI423" i="2"/>
  <c r="S423" i="2"/>
  <c r="K423" i="2"/>
  <c r="AE418" i="2"/>
  <c r="G418" i="2"/>
  <c r="AL429" i="2"/>
  <c r="F443" i="2" s="1"/>
  <c r="F429" i="2"/>
  <c r="AH420" i="2"/>
  <c r="AL423" i="2"/>
  <c r="F437" i="2" s="1"/>
  <c r="F423" i="2"/>
  <c r="S429" i="2"/>
  <c r="W420" i="2"/>
  <c r="G420" i="2"/>
  <c r="AA423" i="2"/>
  <c r="C423" i="2"/>
  <c r="O418" i="2"/>
  <c r="AH429" i="2"/>
  <c r="Z429" i="2"/>
  <c r="R429" i="2"/>
  <c r="D443" i="2" s="1"/>
  <c r="J429" i="2"/>
  <c r="AH428" i="2"/>
  <c r="Z428" i="2"/>
  <c r="R428" i="2"/>
  <c r="D442" i="2" s="1"/>
  <c r="J428" i="2"/>
  <c r="AL427" i="2"/>
  <c r="F441" i="2" s="1"/>
  <c r="AD427" i="2"/>
  <c r="V427" i="2"/>
  <c r="N427" i="2"/>
  <c r="F427" i="2"/>
  <c r="AL420" i="2"/>
  <c r="F434" i="2" s="1"/>
  <c r="AD420" i="2"/>
  <c r="V420" i="2"/>
  <c r="N420" i="2"/>
  <c r="F420" i="2"/>
  <c r="AH423" i="2"/>
  <c r="Z423" i="2"/>
  <c r="R423" i="2"/>
  <c r="D437" i="2" s="1"/>
  <c r="J423" i="2"/>
  <c r="AL418" i="2"/>
  <c r="F432" i="2" s="1"/>
  <c r="AD418" i="2"/>
  <c r="V418" i="2"/>
  <c r="N418" i="2"/>
  <c r="F418" i="2"/>
  <c r="AD429" i="2"/>
  <c r="J420" i="2"/>
  <c r="N423" i="2"/>
  <c r="R418" i="2"/>
  <c r="D432" i="2" s="1"/>
  <c r="AA429" i="2"/>
  <c r="C429" i="2"/>
  <c r="W418" i="2"/>
  <c r="AG429" i="2"/>
  <c r="Y429" i="2"/>
  <c r="Q429" i="2"/>
  <c r="I429" i="2"/>
  <c r="AG428" i="2"/>
  <c r="Y428" i="2"/>
  <c r="Q428" i="2"/>
  <c r="I428" i="2"/>
  <c r="AK427" i="2"/>
  <c r="AC427" i="2"/>
  <c r="U427" i="2"/>
  <c r="M427" i="2"/>
  <c r="E427" i="2"/>
  <c r="AK420" i="2"/>
  <c r="AC420" i="2"/>
  <c r="U420" i="2"/>
  <c r="M420" i="2"/>
  <c r="E420" i="2"/>
  <c r="AG423" i="2"/>
  <c r="Y423" i="2"/>
  <c r="Q423" i="2"/>
  <c r="I423" i="2"/>
  <c r="AK418" i="2"/>
  <c r="AC418" i="2"/>
  <c r="U418" i="2"/>
  <c r="M418" i="2"/>
  <c r="E418" i="2"/>
  <c r="AF429" i="2"/>
  <c r="X429" i="2"/>
  <c r="P429" i="2"/>
  <c r="H429" i="2"/>
  <c r="C443" i="2" s="1"/>
  <c r="AF428" i="2"/>
  <c r="X428" i="2"/>
  <c r="P428" i="2"/>
  <c r="H428" i="2"/>
  <c r="C442" i="2" s="1"/>
  <c r="AJ427" i="2"/>
  <c r="AB427" i="2"/>
  <c r="E441" i="2" s="1"/>
  <c r="T427" i="2"/>
  <c r="L427" i="2"/>
  <c r="D427" i="2"/>
  <c r="AJ420" i="2"/>
  <c r="AB420" i="2"/>
  <c r="E434" i="2" s="1"/>
  <c r="T420" i="2"/>
  <c r="L420" i="2"/>
  <c r="D420" i="2"/>
  <c r="AF423" i="2"/>
  <c r="X423" i="2"/>
  <c r="P423" i="2"/>
  <c r="H423" i="2"/>
  <c r="C437" i="2" s="1"/>
  <c r="AJ418" i="2"/>
  <c r="AB418" i="2"/>
  <c r="E432" i="2" s="1"/>
  <c r="T418" i="2"/>
  <c r="L418" i="2"/>
  <c r="D418" i="2"/>
  <c r="N429" i="2"/>
  <c r="R420" i="2"/>
  <c r="D434" i="2" s="1"/>
  <c r="V423" i="2"/>
  <c r="Z418" i="2"/>
  <c r="AE429" i="2"/>
  <c r="W429" i="2"/>
  <c r="O429" i="2"/>
  <c r="G429" i="2"/>
  <c r="AE428" i="2"/>
  <c r="W428" i="2"/>
  <c r="O428" i="2"/>
  <c r="G428" i="2"/>
  <c r="AI427" i="2"/>
  <c r="AA427" i="2"/>
  <c r="S427" i="2"/>
  <c r="K427" i="2"/>
  <c r="C427" i="2"/>
  <c r="AI420" i="2"/>
  <c r="AA420" i="2"/>
  <c r="S420" i="2"/>
  <c r="K420" i="2"/>
  <c r="C420" i="2"/>
  <c r="AE423" i="2"/>
  <c r="W423" i="2"/>
  <c r="O423" i="2"/>
  <c r="G423" i="2"/>
  <c r="AI418" i="2"/>
  <c r="AA418" i="2"/>
  <c r="S418" i="2"/>
  <c r="K418" i="2"/>
  <c r="C418" i="2"/>
  <c r="D362" i="2"/>
  <c r="T365" i="2"/>
  <c r="L367" i="2"/>
  <c r="AB363" i="2"/>
  <c r="X368" i="2"/>
  <c r="P368" i="2"/>
  <c r="AJ367" i="2"/>
  <c r="AB367" i="2"/>
  <c r="T367" i="2"/>
  <c r="AF366" i="2"/>
  <c r="X366" i="2"/>
  <c r="H366" i="2"/>
  <c r="AJ365" i="2"/>
  <c r="AB365" i="2"/>
  <c r="D365" i="2"/>
  <c r="AF364" i="2"/>
  <c r="P364" i="2"/>
  <c r="H364" i="2"/>
  <c r="AJ363" i="2"/>
  <c r="L363" i="2"/>
  <c r="D363" i="2"/>
  <c r="X362" i="2"/>
  <c r="P362" i="2"/>
  <c r="H362" i="2"/>
  <c r="AF368" i="2"/>
  <c r="H368" i="2"/>
  <c r="D367" i="2"/>
  <c r="P366" i="2"/>
  <c r="L365" i="2"/>
  <c r="X364" i="2"/>
  <c r="T363" i="2"/>
  <c r="AF362" i="2"/>
  <c r="AE362" i="2"/>
  <c r="W362" i="2"/>
  <c r="O362" i="2"/>
  <c r="G362" i="2"/>
  <c r="AI368" i="2"/>
  <c r="AA368" i="2"/>
  <c r="S368" i="2"/>
  <c r="K368" i="2"/>
  <c r="C368" i="2"/>
  <c r="AE367" i="2"/>
  <c r="W367" i="2"/>
  <c r="O367" i="2"/>
  <c r="G367" i="2"/>
  <c r="AI366" i="2"/>
  <c r="AA366" i="2"/>
  <c r="S366" i="2"/>
  <c r="K366" i="2"/>
  <c r="C366" i="2"/>
  <c r="AE365" i="2"/>
  <c r="W365" i="2"/>
  <c r="O365" i="2"/>
  <c r="G365" i="2"/>
  <c r="AI364" i="2"/>
  <c r="AA364" i="2"/>
  <c r="S364" i="2"/>
  <c r="K364" i="2"/>
  <c r="C364" i="2"/>
  <c r="AE363" i="2"/>
  <c r="W363" i="2"/>
  <c r="O363" i="2"/>
  <c r="G363" i="2"/>
  <c r="AI362" i="2"/>
  <c r="AA362" i="2"/>
  <c r="S362" i="2"/>
  <c r="K362" i="2"/>
  <c r="AH368" i="2"/>
  <c r="Z368" i="2"/>
  <c r="R368" i="2"/>
  <c r="J368" i="2"/>
  <c r="AL367" i="2"/>
  <c r="AD367" i="2"/>
  <c r="V367" i="2"/>
  <c r="N367" i="2"/>
  <c r="F367" i="2"/>
  <c r="AH366" i="2"/>
  <c r="Z366" i="2"/>
  <c r="R366" i="2"/>
  <c r="J366" i="2"/>
  <c r="AL365" i="2"/>
  <c r="AD365" i="2"/>
  <c r="V365" i="2"/>
  <c r="N365" i="2"/>
  <c r="F365" i="2"/>
  <c r="AH364" i="2"/>
  <c r="Z364" i="2"/>
  <c r="R364" i="2"/>
  <c r="J364" i="2"/>
  <c r="AL363" i="2"/>
  <c r="AD363" i="2"/>
  <c r="V363" i="2"/>
  <c r="N363" i="2"/>
  <c r="F363" i="2"/>
  <c r="AH362" i="2"/>
  <c r="Z362" i="2"/>
  <c r="R362" i="2"/>
  <c r="J362" i="2"/>
  <c r="AG368" i="2"/>
  <c r="Y368" i="2"/>
  <c r="Q368" i="2"/>
  <c r="I368" i="2"/>
  <c r="AK367" i="2"/>
  <c r="AC367" i="2"/>
  <c r="U367" i="2"/>
  <c r="M367" i="2"/>
  <c r="E367" i="2"/>
  <c r="AG366" i="2"/>
  <c r="Y366" i="2"/>
  <c r="Q366" i="2"/>
  <c r="I366" i="2"/>
  <c r="AK365" i="2"/>
  <c r="AC365" i="2"/>
  <c r="U365" i="2"/>
  <c r="M365" i="2"/>
  <c r="E365" i="2"/>
  <c r="AG364" i="2"/>
  <c r="Y364" i="2"/>
  <c r="Q364" i="2"/>
  <c r="I364" i="2"/>
  <c r="AK363" i="2"/>
  <c r="AC363" i="2"/>
  <c r="U363" i="2"/>
  <c r="M363" i="2"/>
  <c r="E363" i="2"/>
  <c r="AG362" i="2"/>
  <c r="Y362" i="2"/>
  <c r="Q362" i="2"/>
  <c r="I362" i="2"/>
  <c r="AJ364" i="2"/>
  <c r="AB364" i="2"/>
  <c r="T364" i="2"/>
  <c r="L364" i="2"/>
  <c r="D364" i="2"/>
  <c r="AF363" i="2"/>
  <c r="X363" i="2"/>
  <c r="P363" i="2"/>
  <c r="H363" i="2"/>
  <c r="AJ362" i="2"/>
  <c r="AB362" i="2"/>
  <c r="T362" i="2"/>
  <c r="L362" i="2"/>
  <c r="C362" i="2"/>
  <c r="AE368" i="2"/>
  <c r="W368" i="2"/>
  <c r="O368" i="2"/>
  <c r="G368" i="2"/>
  <c r="AI367" i="2"/>
  <c r="AA367" i="2"/>
  <c r="S367" i="2"/>
  <c r="K367" i="2"/>
  <c r="C367" i="2"/>
  <c r="AE366" i="2"/>
  <c r="W366" i="2"/>
  <c r="O366" i="2"/>
  <c r="G366" i="2"/>
  <c r="AI365" i="2"/>
  <c r="AA365" i="2"/>
  <c r="S365" i="2"/>
  <c r="K365" i="2"/>
  <c r="C365" i="2"/>
  <c r="AE364" i="2"/>
  <c r="W364" i="2"/>
  <c r="O364" i="2"/>
  <c r="G364" i="2"/>
  <c r="AI363" i="2"/>
  <c r="AA363" i="2"/>
  <c r="S363" i="2"/>
  <c r="K363" i="2"/>
  <c r="C363" i="2"/>
  <c r="AL368" i="2"/>
  <c r="AD368" i="2"/>
  <c r="V368" i="2"/>
  <c r="N368" i="2"/>
  <c r="F368" i="2"/>
  <c r="AH367" i="2"/>
  <c r="Z367" i="2"/>
  <c r="R367" i="2"/>
  <c r="J367" i="2"/>
  <c r="AL366" i="2"/>
  <c r="AD366" i="2"/>
  <c r="V366" i="2"/>
  <c r="N366" i="2"/>
  <c r="F366" i="2"/>
  <c r="AH365" i="2"/>
  <c r="Z365" i="2"/>
  <c r="R365" i="2"/>
  <c r="J365" i="2"/>
  <c r="AL364" i="2"/>
  <c r="AD364" i="2"/>
  <c r="V364" i="2"/>
  <c r="N364" i="2"/>
  <c r="F364" i="2"/>
  <c r="AH363" i="2"/>
  <c r="Z363" i="2"/>
  <c r="R363" i="2"/>
  <c r="J363" i="2"/>
  <c r="AL362" i="2"/>
  <c r="AD362" i="2"/>
  <c r="V362" i="2"/>
  <c r="N362" i="2"/>
  <c r="F362" i="2"/>
  <c r="AK368" i="2"/>
  <c r="AC368" i="2"/>
  <c r="U368" i="2"/>
  <c r="M368" i="2"/>
  <c r="E368" i="2"/>
  <c r="AG367" i="2"/>
  <c r="Y367" i="2"/>
  <c r="Q367" i="2"/>
  <c r="I367" i="2"/>
  <c r="AK366" i="2"/>
  <c r="AC366" i="2"/>
  <c r="U366" i="2"/>
  <c r="M366" i="2"/>
  <c r="E366" i="2"/>
  <c r="AG365" i="2"/>
  <c r="Y365" i="2"/>
  <c r="Q365" i="2"/>
  <c r="I365" i="2"/>
  <c r="AK364" i="2"/>
  <c r="AC364" i="2"/>
  <c r="U364" i="2"/>
  <c r="M364" i="2"/>
  <c r="E364" i="2"/>
  <c r="AG363" i="2"/>
  <c r="Y363" i="2"/>
  <c r="Q363" i="2"/>
  <c r="I363" i="2"/>
  <c r="AK362" i="2"/>
  <c r="AC362" i="2"/>
  <c r="U362" i="2"/>
  <c r="M362" i="2"/>
  <c r="E362" i="2"/>
  <c r="AJ368" i="2"/>
  <c r="AB368" i="2"/>
  <c r="T368" i="2"/>
  <c r="L368" i="2"/>
  <c r="D368" i="2"/>
  <c r="AF367" i="2"/>
  <c r="X367" i="2"/>
  <c r="P367" i="2"/>
  <c r="H367" i="2"/>
  <c r="AJ366" i="2"/>
  <c r="AB366" i="2"/>
  <c r="T366" i="2"/>
  <c r="L366" i="2"/>
  <c r="D366" i="2"/>
  <c r="AF365" i="2"/>
  <c r="X365" i="2"/>
  <c r="P365" i="2"/>
  <c r="H365" i="2"/>
  <c r="AF337" i="2"/>
  <c r="X337" i="2"/>
  <c r="P337" i="2"/>
  <c r="H337" i="2"/>
  <c r="AJ336" i="2"/>
  <c r="AB336" i="2"/>
  <c r="T336" i="2"/>
  <c r="L336" i="2"/>
  <c r="D336" i="2"/>
  <c r="AF335" i="2"/>
  <c r="X335" i="2"/>
  <c r="P335" i="2"/>
  <c r="H335" i="2"/>
  <c r="AJ334" i="2"/>
  <c r="AB334" i="2"/>
  <c r="T334" i="2"/>
  <c r="L334" i="2"/>
  <c r="D334" i="2"/>
  <c r="AF333" i="2"/>
  <c r="X333" i="2"/>
  <c r="P333" i="2"/>
  <c r="H333" i="2"/>
  <c r="O334" i="2"/>
  <c r="AI333" i="2"/>
  <c r="U336" i="2"/>
  <c r="M336" i="2"/>
  <c r="E336" i="2"/>
  <c r="AG335" i="2"/>
  <c r="Y335" i="2"/>
  <c r="Q335" i="2"/>
  <c r="I335" i="2"/>
  <c r="AK334" i="2"/>
  <c r="AC334" i="2"/>
  <c r="U334" i="2"/>
  <c r="M334" i="2"/>
  <c r="E334" i="2"/>
  <c r="AG333" i="2"/>
  <c r="Y333" i="2"/>
  <c r="Q333" i="2"/>
  <c r="I333" i="2"/>
  <c r="AK332" i="2"/>
  <c r="AC332" i="2"/>
  <c r="U332" i="2"/>
  <c r="M332" i="2"/>
  <c r="E332" i="2"/>
  <c r="AG331" i="2"/>
  <c r="Y331" i="2"/>
  <c r="Q331" i="2"/>
  <c r="I331" i="2"/>
  <c r="S337" i="2"/>
  <c r="K337" i="2"/>
  <c r="W332" i="2"/>
  <c r="G332" i="2"/>
  <c r="G336" i="2"/>
  <c r="AA335" i="2"/>
  <c r="S335" i="2"/>
  <c r="AA333" i="2"/>
  <c r="AI331" i="2"/>
  <c r="AI337" i="2"/>
  <c r="AA337" i="2"/>
  <c r="C337" i="2"/>
  <c r="AE336" i="2"/>
  <c r="W336" i="2"/>
  <c r="O336" i="2"/>
  <c r="AI335" i="2"/>
  <c r="K335" i="2"/>
  <c r="C335" i="2"/>
  <c r="AE334" i="2"/>
  <c r="W334" i="2"/>
  <c r="G334" i="2"/>
  <c r="S333" i="2"/>
  <c r="K333" i="2"/>
  <c r="C333" i="2"/>
  <c r="AE332" i="2"/>
  <c r="O332" i="2"/>
  <c r="AA331" i="2"/>
  <c r="S331" i="2"/>
  <c r="K331" i="2"/>
  <c r="C331" i="2"/>
  <c r="AL331" i="2"/>
  <c r="V337" i="2"/>
  <c r="Z336" i="2"/>
  <c r="AD335" i="2"/>
  <c r="N335" i="2"/>
  <c r="J334" i="2"/>
  <c r="V333" i="2"/>
  <c r="AH332" i="2"/>
  <c r="J332" i="2"/>
  <c r="N331" i="2"/>
  <c r="AK337" i="2"/>
  <c r="AC337" i="2"/>
  <c r="U337" i="2"/>
  <c r="M337" i="2"/>
  <c r="E337" i="2"/>
  <c r="AG336" i="2"/>
  <c r="Y336" i="2"/>
  <c r="Q336" i="2"/>
  <c r="I336" i="2"/>
  <c r="AK335" i="2"/>
  <c r="AC335" i="2"/>
  <c r="U335" i="2"/>
  <c r="M335" i="2"/>
  <c r="E335" i="2"/>
  <c r="F337" i="2"/>
  <c r="J336" i="2"/>
  <c r="AH334" i="2"/>
  <c r="AL333" i="2"/>
  <c r="Z332" i="2"/>
  <c r="N337" i="2"/>
  <c r="R336" i="2"/>
  <c r="V335" i="2"/>
  <c r="F335" i="2"/>
  <c r="R334" i="2"/>
  <c r="AD333" i="2"/>
  <c r="F333" i="2"/>
  <c r="R332" i="2"/>
  <c r="F331" i="2"/>
  <c r="AL337" i="2"/>
  <c r="AD331" i="2"/>
  <c r="AD337" i="2"/>
  <c r="AH336" i="2"/>
  <c r="AL335" i="2"/>
  <c r="Z334" i="2"/>
  <c r="N333" i="2"/>
  <c r="V331" i="2"/>
  <c r="AG334" i="2"/>
  <c r="Y334" i="2"/>
  <c r="Q334" i="2"/>
  <c r="I334" i="2"/>
  <c r="AK333" i="2"/>
  <c r="AC333" i="2"/>
  <c r="U333" i="2"/>
  <c r="M333" i="2"/>
  <c r="E333" i="2"/>
  <c r="AG332" i="2"/>
  <c r="Y332" i="2"/>
  <c r="Q332" i="2"/>
  <c r="I332" i="2"/>
  <c r="AK331" i="2"/>
  <c r="AC331" i="2"/>
  <c r="U331" i="2"/>
  <c r="M331" i="2"/>
  <c r="E331" i="2"/>
  <c r="AJ337" i="2"/>
  <c r="AB337" i="2"/>
  <c r="T337" i="2"/>
  <c r="L337" i="2"/>
  <c r="D337" i="2"/>
  <c r="AF336" i="2"/>
  <c r="X336" i="2"/>
  <c r="P336" i="2"/>
  <c r="H336" i="2"/>
  <c r="AJ335" i="2"/>
  <c r="AB335" i="2"/>
  <c r="T335" i="2"/>
  <c r="L335" i="2"/>
  <c r="D335" i="2"/>
  <c r="AF334" i="2"/>
  <c r="X334" i="2"/>
  <c r="P334" i="2"/>
  <c r="H334" i="2"/>
  <c r="AJ333" i="2"/>
  <c r="AB333" i="2"/>
  <c r="T333" i="2"/>
  <c r="L333" i="2"/>
  <c r="D333" i="2"/>
  <c r="AF332" i="2"/>
  <c r="X332" i="2"/>
  <c r="P332" i="2"/>
  <c r="H332" i="2"/>
  <c r="AJ331" i="2"/>
  <c r="AB331" i="2"/>
  <c r="T331" i="2"/>
  <c r="L331" i="2"/>
  <c r="D331" i="2"/>
  <c r="AH337" i="2"/>
  <c r="Z337" i="2"/>
  <c r="R337" i="2"/>
  <c r="J337" i="2"/>
  <c r="AL336" i="2"/>
  <c r="AD336" i="2"/>
  <c r="V336" i="2"/>
  <c r="N336" i="2"/>
  <c r="F336" i="2"/>
  <c r="AH335" i="2"/>
  <c r="Z335" i="2"/>
  <c r="R335" i="2"/>
  <c r="J335" i="2"/>
  <c r="AL334" i="2"/>
  <c r="AD334" i="2"/>
  <c r="V334" i="2"/>
  <c r="N334" i="2"/>
  <c r="F334" i="2"/>
  <c r="AH333" i="2"/>
  <c r="Z333" i="2"/>
  <c r="R333" i="2"/>
  <c r="J333" i="2"/>
  <c r="AL332" i="2"/>
  <c r="AD332" i="2"/>
  <c r="V332" i="2"/>
  <c r="N332" i="2"/>
  <c r="F332" i="2"/>
  <c r="AH331" i="2"/>
  <c r="Z331" i="2"/>
  <c r="R331" i="2"/>
  <c r="J331" i="2"/>
  <c r="AG337" i="2"/>
  <c r="Y337" i="2"/>
  <c r="Q337" i="2"/>
  <c r="I337" i="2"/>
  <c r="AK336" i="2"/>
  <c r="AC336" i="2"/>
  <c r="AE337" i="2"/>
  <c r="W337" i="2"/>
  <c r="O337" i="2"/>
  <c r="G337" i="2"/>
  <c r="AI336" i="2"/>
  <c r="AA336" i="2"/>
  <c r="S336" i="2"/>
  <c r="K336" i="2"/>
  <c r="C336" i="2"/>
  <c r="AE335" i="2"/>
  <c r="W335" i="2"/>
  <c r="O335" i="2"/>
  <c r="G335" i="2"/>
  <c r="AI334" i="2"/>
  <c r="AA334" i="2"/>
  <c r="S334" i="2"/>
  <c r="K334" i="2"/>
  <c r="C334" i="2"/>
  <c r="AE333" i="2"/>
  <c r="W333" i="2"/>
  <c r="O333" i="2"/>
  <c r="G333" i="2"/>
  <c r="AI332" i="2"/>
  <c r="AA332" i="2"/>
  <c r="S332" i="2"/>
  <c r="K332" i="2"/>
  <c r="C332" i="2"/>
  <c r="G331" i="2"/>
  <c r="O331" i="2"/>
  <c r="W331" i="2"/>
  <c r="AE331" i="2"/>
  <c r="H331" i="2"/>
  <c r="P331" i="2"/>
  <c r="X331" i="2"/>
  <c r="AF331" i="2"/>
  <c r="D332" i="2"/>
  <c r="L332" i="2"/>
  <c r="T332" i="2"/>
  <c r="AB332" i="2"/>
  <c r="AJ332" i="2"/>
  <c r="C283" i="2"/>
  <c r="AE283" i="2"/>
  <c r="W283" i="2"/>
  <c r="O283" i="2"/>
  <c r="G283" i="2"/>
  <c r="AI279" i="2"/>
  <c r="AA279" i="2"/>
  <c r="S279" i="2"/>
  <c r="K279" i="2"/>
  <c r="AI280" i="2"/>
  <c r="S280" i="2"/>
  <c r="K280" i="2"/>
  <c r="C281" i="2"/>
  <c r="C279" i="2"/>
  <c r="AH280" i="2"/>
  <c r="Z280" i="2"/>
  <c r="R280" i="2"/>
  <c r="C289" i="2" s="1"/>
  <c r="J280" i="2"/>
  <c r="AH282" i="2"/>
  <c r="Z282" i="2"/>
  <c r="R282" i="2"/>
  <c r="C291" i="2" s="1"/>
  <c r="J282" i="2"/>
  <c r="C284" i="2"/>
  <c r="AI284" i="2"/>
  <c r="AA284" i="2"/>
  <c r="S284" i="2"/>
  <c r="K284" i="2"/>
  <c r="AD283" i="2"/>
  <c r="V283" i="2"/>
  <c r="N283" i="2"/>
  <c r="F283" i="2"/>
  <c r="AH279" i="2"/>
  <c r="Z279" i="2"/>
  <c r="R279" i="2"/>
  <c r="C288" i="2" s="1"/>
  <c r="J279" i="2"/>
  <c r="AH284" i="2"/>
  <c r="AG285" i="2"/>
  <c r="Y285" i="2"/>
  <c r="Q285" i="2"/>
  <c r="I285" i="2"/>
  <c r="AF280" i="2"/>
  <c r="X280" i="2"/>
  <c r="P280" i="2"/>
  <c r="H280" i="2"/>
  <c r="AF285" i="2"/>
  <c r="X285" i="2"/>
  <c r="P285" i="2"/>
  <c r="H285" i="2"/>
  <c r="AG282" i="2"/>
  <c r="Y282" i="2"/>
  <c r="Q282" i="2"/>
  <c r="I282" i="2"/>
  <c r="C285" i="2"/>
  <c r="Z284" i="2"/>
  <c r="R284" i="2"/>
  <c r="C293" i="2" s="1"/>
  <c r="J284" i="2"/>
  <c r="AK283" i="2"/>
  <c r="AC283" i="2"/>
  <c r="U283" i="2"/>
  <c r="M283" i="2"/>
  <c r="E283" i="2"/>
  <c r="AF282" i="2"/>
  <c r="X282" i="2"/>
  <c r="P282" i="2"/>
  <c r="H282" i="2"/>
  <c r="AI281" i="2"/>
  <c r="AA281" i="2"/>
  <c r="S281" i="2"/>
  <c r="K281" i="2"/>
  <c r="AG279" i="2"/>
  <c r="Y279" i="2"/>
  <c r="Q279" i="2"/>
  <c r="I279" i="2"/>
  <c r="AG284" i="2"/>
  <c r="Y284" i="2"/>
  <c r="Q284" i="2"/>
  <c r="I284" i="2"/>
  <c r="AJ283" i="2"/>
  <c r="AB283" i="2"/>
  <c r="D292" i="2" s="1"/>
  <c r="T283" i="2"/>
  <c r="L283" i="2"/>
  <c r="D283" i="2"/>
  <c r="AE282" i="2"/>
  <c r="W282" i="2"/>
  <c r="O282" i="2"/>
  <c r="G282" i="2"/>
  <c r="AH281" i="2"/>
  <c r="Z281" i="2"/>
  <c r="R281" i="2"/>
  <c r="C290" i="2" s="1"/>
  <c r="J281" i="2"/>
  <c r="AK280" i="2"/>
  <c r="AC280" i="2"/>
  <c r="U280" i="2"/>
  <c r="M280" i="2"/>
  <c r="E280" i="2"/>
  <c r="AF279" i="2"/>
  <c r="X279" i="2"/>
  <c r="P279" i="2"/>
  <c r="H279" i="2"/>
  <c r="AF284" i="2"/>
  <c r="X284" i="2"/>
  <c r="P284" i="2"/>
  <c r="H284" i="2"/>
  <c r="AI283" i="2"/>
  <c r="AA283" i="2"/>
  <c r="S283" i="2"/>
  <c r="K283" i="2"/>
  <c r="AG281" i="2"/>
  <c r="Y281" i="2"/>
  <c r="Q281" i="2"/>
  <c r="I281" i="2"/>
  <c r="AE279" i="2"/>
  <c r="W279" i="2"/>
  <c r="O279" i="2"/>
  <c r="G279" i="2"/>
  <c r="C282" i="2"/>
  <c r="AJ281" i="2"/>
  <c r="AB281" i="2"/>
  <c r="D290" i="2" s="1"/>
  <c r="T281" i="2"/>
  <c r="L281" i="2"/>
  <c r="D281" i="2"/>
  <c r="AE280" i="2"/>
  <c r="W280" i="2"/>
  <c r="O280" i="2"/>
  <c r="G280" i="2"/>
  <c r="AA280" i="2"/>
  <c r="AK285" i="2"/>
  <c r="AC285" i="2"/>
  <c r="U285" i="2"/>
  <c r="M285" i="2"/>
  <c r="E285" i="2"/>
  <c r="AD282" i="2"/>
  <c r="V282" i="2"/>
  <c r="N282" i="2"/>
  <c r="F282" i="2"/>
  <c r="AJ280" i="2"/>
  <c r="AB280" i="2"/>
  <c r="D289" i="2" s="1"/>
  <c r="T280" i="2"/>
  <c r="L280" i="2"/>
  <c r="D280" i="2"/>
  <c r="AJ285" i="2"/>
  <c r="AB285" i="2"/>
  <c r="D294" i="2" s="1"/>
  <c r="T285" i="2"/>
  <c r="L285" i="2"/>
  <c r="D285" i="2"/>
  <c r="AE284" i="2"/>
  <c r="W284" i="2"/>
  <c r="O284" i="2"/>
  <c r="G284" i="2"/>
  <c r="AH283" i="2"/>
  <c r="Z283" i="2"/>
  <c r="R283" i="2"/>
  <c r="C292" i="2" s="1"/>
  <c r="J283" i="2"/>
  <c r="AK282" i="2"/>
  <c r="AC282" i="2"/>
  <c r="U282" i="2"/>
  <c r="M282" i="2"/>
  <c r="E282" i="2"/>
  <c r="AF281" i="2"/>
  <c r="X281" i="2"/>
  <c r="P281" i="2"/>
  <c r="H281" i="2"/>
  <c r="AD279" i="2"/>
  <c r="V279" i="2"/>
  <c r="N279" i="2"/>
  <c r="F279" i="2"/>
  <c r="AI285" i="2"/>
  <c r="AA285" i="2"/>
  <c r="S285" i="2"/>
  <c r="K285" i="2"/>
  <c r="AD284" i="2"/>
  <c r="V284" i="2"/>
  <c r="N284" i="2"/>
  <c r="F284" i="2"/>
  <c r="AG283" i="2"/>
  <c r="Y283" i="2"/>
  <c r="Q283" i="2"/>
  <c r="I283" i="2"/>
  <c r="AJ282" i="2"/>
  <c r="AB282" i="2"/>
  <c r="D291" i="2" s="1"/>
  <c r="T282" i="2"/>
  <c r="L282" i="2"/>
  <c r="D282" i="2"/>
  <c r="AK279" i="2"/>
  <c r="AC279" i="2"/>
  <c r="U279" i="2"/>
  <c r="M279" i="2"/>
  <c r="E279" i="2"/>
  <c r="AH285" i="2"/>
  <c r="Z285" i="2"/>
  <c r="R285" i="2"/>
  <c r="C294" i="2" s="1"/>
  <c r="J285" i="2"/>
  <c r="AK284" i="2"/>
  <c r="AC284" i="2"/>
  <c r="U284" i="2"/>
  <c r="M284" i="2"/>
  <c r="E284" i="2"/>
  <c r="AF283" i="2"/>
  <c r="X283" i="2"/>
  <c r="P283" i="2"/>
  <c r="H283" i="2"/>
  <c r="AI282" i="2"/>
  <c r="AA282" i="2"/>
  <c r="S282" i="2"/>
  <c r="K282" i="2"/>
  <c r="AD281" i="2"/>
  <c r="V281" i="2"/>
  <c r="N281" i="2"/>
  <c r="F281" i="2"/>
  <c r="AG280" i="2"/>
  <c r="Y280" i="2"/>
  <c r="Q280" i="2"/>
  <c r="I280" i="2"/>
  <c r="AJ279" i="2"/>
  <c r="AB279" i="2"/>
  <c r="D288" i="2" s="1"/>
  <c r="T279" i="2"/>
  <c r="L279" i="2"/>
  <c r="D279" i="2"/>
  <c r="AD285" i="2"/>
  <c r="V285" i="2"/>
  <c r="N285" i="2"/>
  <c r="F285" i="2"/>
  <c r="AJ284" i="2"/>
  <c r="AB284" i="2"/>
  <c r="D293" i="2" s="1"/>
  <c r="T284" i="2"/>
  <c r="L284" i="2"/>
  <c r="D284" i="2"/>
  <c r="AK281" i="2"/>
  <c r="AC281" i="2"/>
  <c r="U281" i="2"/>
  <c r="M281" i="2"/>
  <c r="E281" i="2"/>
  <c r="C280" i="2"/>
  <c r="AE285" i="2"/>
  <c r="W285" i="2"/>
  <c r="O285" i="2"/>
  <c r="G285" i="2"/>
  <c r="AD280" i="2"/>
  <c r="V280" i="2"/>
  <c r="N280" i="2"/>
  <c r="F280" i="2"/>
  <c r="G281" i="2"/>
  <c r="O281" i="2"/>
  <c r="W281" i="2"/>
  <c r="AE281" i="2"/>
  <c r="F69" i="2" l="1"/>
  <c r="J69" i="2"/>
  <c r="N69" i="2"/>
  <c r="R69" i="2"/>
  <c r="V69" i="2"/>
  <c r="Z69" i="2"/>
  <c r="AD69" i="2"/>
  <c r="AH69" i="2"/>
  <c r="AL69" i="2"/>
  <c r="G69" i="2"/>
  <c r="K69" i="2"/>
  <c r="O69" i="2"/>
  <c r="S69" i="2"/>
  <c r="W69" i="2"/>
  <c r="AA69" i="2"/>
  <c r="AE69" i="2"/>
  <c r="AI69" i="2"/>
  <c r="D69" i="2"/>
  <c r="H69" i="2"/>
  <c r="L69" i="2"/>
  <c r="P69" i="2"/>
  <c r="T69" i="2"/>
  <c r="X69" i="2"/>
  <c r="AB69" i="2"/>
  <c r="AF69" i="2"/>
  <c r="AJ69" i="2"/>
  <c r="E69" i="2"/>
  <c r="I69" i="2"/>
  <c r="M69" i="2"/>
  <c r="Q69" i="2"/>
  <c r="U69" i="2"/>
  <c r="Y69" i="2"/>
  <c r="AC69" i="2"/>
  <c r="AG69" i="2"/>
  <c r="AK69" i="2"/>
  <c r="C69" i="2"/>
  <c r="AL190" i="2" l="1"/>
  <c r="AK190" i="2"/>
  <c r="AJ190" i="2"/>
  <c r="AI190" i="2"/>
  <c r="AH190" i="2"/>
  <c r="AG190" i="2"/>
  <c r="AF190" i="2"/>
  <c r="AE190" i="2"/>
  <c r="AD190" i="2"/>
  <c r="AC190" i="2"/>
  <c r="AB190" i="2"/>
  <c r="AA190" i="2"/>
  <c r="Z190" i="2"/>
  <c r="Y190" i="2"/>
  <c r="X190" i="2"/>
  <c r="W190" i="2"/>
  <c r="V190" i="2"/>
  <c r="U190" i="2"/>
  <c r="T190" i="2"/>
  <c r="S190" i="2"/>
  <c r="R190" i="2"/>
  <c r="Q190" i="2"/>
  <c r="P190" i="2"/>
  <c r="O190" i="2"/>
  <c r="N190" i="2"/>
  <c r="M190" i="2"/>
  <c r="L190" i="2"/>
  <c r="K190" i="2"/>
  <c r="J190" i="2"/>
  <c r="I190" i="2"/>
  <c r="H190" i="2"/>
  <c r="G190" i="2"/>
  <c r="F190" i="2"/>
  <c r="E190" i="2"/>
  <c r="D190" i="2"/>
  <c r="AL189" i="2"/>
  <c r="AK189" i="2"/>
  <c r="AJ189" i="2"/>
  <c r="AI189" i="2"/>
  <c r="AH189" i="2"/>
  <c r="AG189" i="2"/>
  <c r="AF189" i="2"/>
  <c r="AE189" i="2"/>
  <c r="AD189" i="2"/>
  <c r="AC189" i="2"/>
  <c r="AB189" i="2"/>
  <c r="AA189" i="2"/>
  <c r="Z189" i="2"/>
  <c r="Y189" i="2"/>
  <c r="X189" i="2"/>
  <c r="W189" i="2"/>
  <c r="V189" i="2"/>
  <c r="U189" i="2"/>
  <c r="T189" i="2"/>
  <c r="S189" i="2"/>
  <c r="R189" i="2"/>
  <c r="Q189" i="2"/>
  <c r="P189" i="2"/>
  <c r="O189" i="2"/>
  <c r="N189" i="2"/>
  <c r="M189" i="2"/>
  <c r="L189" i="2"/>
  <c r="K189" i="2"/>
  <c r="J189" i="2"/>
  <c r="I189" i="2"/>
  <c r="H189" i="2"/>
  <c r="G189" i="2"/>
  <c r="F189" i="2"/>
  <c r="E189" i="2"/>
  <c r="D189" i="2"/>
  <c r="AL188" i="2"/>
  <c r="AK188" i="2"/>
  <c r="AJ188" i="2"/>
  <c r="AI188" i="2"/>
  <c r="AH188" i="2"/>
  <c r="AG188" i="2"/>
  <c r="AF188" i="2"/>
  <c r="AE188" i="2"/>
  <c r="AD188" i="2"/>
  <c r="AC188" i="2"/>
  <c r="AB188" i="2"/>
  <c r="AA188" i="2"/>
  <c r="Z188" i="2"/>
  <c r="Y188" i="2"/>
  <c r="X188" i="2"/>
  <c r="W188" i="2"/>
  <c r="V188" i="2"/>
  <c r="U188" i="2"/>
  <c r="T188" i="2"/>
  <c r="S188" i="2"/>
  <c r="R188" i="2"/>
  <c r="Q188" i="2"/>
  <c r="P188" i="2"/>
  <c r="O188" i="2"/>
  <c r="N188" i="2"/>
  <c r="M188" i="2"/>
  <c r="L188" i="2"/>
  <c r="K188" i="2"/>
  <c r="J188" i="2"/>
  <c r="I188" i="2"/>
  <c r="H188" i="2"/>
  <c r="G188" i="2"/>
  <c r="F188" i="2"/>
  <c r="E188" i="2"/>
  <c r="D188" i="2"/>
  <c r="AL187" i="2"/>
  <c r="AK187" i="2"/>
  <c r="AJ187" i="2"/>
  <c r="AI187" i="2"/>
  <c r="AH187" i="2"/>
  <c r="AG187" i="2"/>
  <c r="AF187" i="2"/>
  <c r="AE187" i="2"/>
  <c r="AD187" i="2"/>
  <c r="AC187" i="2"/>
  <c r="AB187" i="2"/>
  <c r="AA187" i="2"/>
  <c r="Z187" i="2"/>
  <c r="Y187" i="2"/>
  <c r="X187" i="2"/>
  <c r="W187" i="2"/>
  <c r="V187" i="2"/>
  <c r="U187" i="2"/>
  <c r="T187" i="2"/>
  <c r="S187" i="2"/>
  <c r="R187" i="2"/>
  <c r="Q187" i="2"/>
  <c r="P187" i="2"/>
  <c r="O187" i="2"/>
  <c r="N187" i="2"/>
  <c r="M187" i="2"/>
  <c r="L187" i="2"/>
  <c r="K187" i="2"/>
  <c r="J187" i="2"/>
  <c r="I187" i="2"/>
  <c r="H187" i="2"/>
  <c r="G187" i="2"/>
  <c r="F187" i="2"/>
  <c r="E187" i="2"/>
  <c r="D187" i="2"/>
  <c r="AL186" i="2"/>
  <c r="AK186" i="2"/>
  <c r="AJ186" i="2"/>
  <c r="AI186" i="2"/>
  <c r="AH186" i="2"/>
  <c r="AG186" i="2"/>
  <c r="AF186" i="2"/>
  <c r="AE186" i="2"/>
  <c r="AD186" i="2"/>
  <c r="AC186" i="2"/>
  <c r="AB186" i="2"/>
  <c r="AA186" i="2"/>
  <c r="Z186" i="2"/>
  <c r="Y186" i="2"/>
  <c r="X186" i="2"/>
  <c r="W186" i="2"/>
  <c r="V186" i="2"/>
  <c r="U186" i="2"/>
  <c r="T186" i="2"/>
  <c r="S186" i="2"/>
  <c r="R186" i="2"/>
  <c r="Q186" i="2"/>
  <c r="P186" i="2"/>
  <c r="O186" i="2"/>
  <c r="N186" i="2"/>
  <c r="M186" i="2"/>
  <c r="L186" i="2"/>
  <c r="K186" i="2"/>
  <c r="J186" i="2"/>
  <c r="I186" i="2"/>
  <c r="H186" i="2"/>
  <c r="G186" i="2"/>
  <c r="F186" i="2"/>
  <c r="E186" i="2"/>
  <c r="D186" i="2"/>
  <c r="AL185" i="2"/>
  <c r="AK185" i="2"/>
  <c r="AJ185" i="2"/>
  <c r="AI185" i="2"/>
  <c r="AH185" i="2"/>
  <c r="AG185" i="2"/>
  <c r="AF185" i="2"/>
  <c r="AE185" i="2"/>
  <c r="AD185" i="2"/>
  <c r="AC185" i="2"/>
  <c r="AB185" i="2"/>
  <c r="AA185" i="2"/>
  <c r="Z185" i="2"/>
  <c r="Y185" i="2"/>
  <c r="X185" i="2"/>
  <c r="W185" i="2"/>
  <c r="V185" i="2"/>
  <c r="U185" i="2"/>
  <c r="T185" i="2"/>
  <c r="S185" i="2"/>
  <c r="R185" i="2"/>
  <c r="Q185" i="2"/>
  <c r="P185" i="2"/>
  <c r="O185" i="2"/>
  <c r="N185" i="2"/>
  <c r="M185" i="2"/>
  <c r="L185" i="2"/>
  <c r="K185" i="2"/>
  <c r="J185" i="2"/>
  <c r="I185" i="2"/>
  <c r="H185" i="2"/>
  <c r="G185" i="2"/>
  <c r="F185" i="2"/>
  <c r="E185" i="2"/>
  <c r="D185" i="2"/>
  <c r="AL184" i="2"/>
  <c r="AK184" i="2"/>
  <c r="AJ184" i="2"/>
  <c r="AI184" i="2"/>
  <c r="AH184" i="2"/>
  <c r="AG184" i="2"/>
  <c r="AF184" i="2"/>
  <c r="AE184" i="2"/>
  <c r="AD184" i="2"/>
  <c r="AC184" i="2"/>
  <c r="AB184" i="2"/>
  <c r="AA184" i="2"/>
  <c r="Z184" i="2"/>
  <c r="Y184" i="2"/>
  <c r="X184" i="2"/>
  <c r="W184" i="2"/>
  <c r="V184" i="2"/>
  <c r="U184" i="2"/>
  <c r="T184" i="2"/>
  <c r="S184" i="2"/>
  <c r="R184" i="2"/>
  <c r="Q184" i="2"/>
  <c r="P184" i="2"/>
  <c r="O184" i="2"/>
  <c r="N184" i="2"/>
  <c r="M184" i="2"/>
  <c r="L184" i="2"/>
  <c r="K184" i="2"/>
  <c r="J184" i="2"/>
  <c r="I184" i="2"/>
  <c r="H184" i="2"/>
  <c r="G184" i="2"/>
  <c r="F184" i="2"/>
  <c r="E184" i="2"/>
  <c r="D184" i="2"/>
  <c r="C190" i="2"/>
  <c r="C189" i="2"/>
  <c r="C188" i="2"/>
  <c r="C187" i="2"/>
  <c r="C186" i="2"/>
  <c r="C185" i="2"/>
  <c r="C184" i="2"/>
  <c r="D146" i="2"/>
  <c r="C151" i="2"/>
  <c r="D147" i="2" l="1"/>
  <c r="D152" i="2"/>
  <c r="C152" i="2"/>
  <c r="E151" i="2"/>
  <c r="D153" i="2"/>
  <c r="E152" i="2"/>
  <c r="C146" i="2"/>
  <c r="E146" i="2"/>
  <c r="D149" i="2" l="1"/>
  <c r="D151" i="2"/>
  <c r="C147" i="2"/>
  <c r="E148" i="2"/>
  <c r="C149" i="2"/>
  <c r="E150" i="2"/>
  <c r="C153" i="2"/>
  <c r="D148" i="2"/>
  <c r="D150" i="2"/>
  <c r="E147" i="2"/>
  <c r="C148" i="2"/>
  <c r="E149" i="2"/>
  <c r="C150" i="2"/>
  <c r="E153" i="2"/>
  <c r="AL75" i="2"/>
  <c r="R75" i="2"/>
  <c r="F75" i="2" l="1"/>
  <c r="AJ75" i="2"/>
  <c r="AB75" i="2"/>
  <c r="V75" i="2"/>
  <c r="AH75" i="2"/>
  <c r="T75" i="2"/>
  <c r="Z75" i="2"/>
  <c r="J75" i="2"/>
  <c r="AK75" i="2"/>
  <c r="M75" i="2"/>
  <c r="AF75" i="2"/>
  <c r="X75" i="2"/>
  <c r="P75" i="2"/>
  <c r="H75" i="2"/>
  <c r="C75" i="2"/>
  <c r="L75" i="2"/>
  <c r="D75" i="2"/>
  <c r="AE75" i="2"/>
  <c r="W75" i="2"/>
  <c r="O75" i="2"/>
  <c r="G75" i="2"/>
  <c r="AD75" i="2"/>
  <c r="N75" i="2"/>
  <c r="K75" i="2"/>
  <c r="AI75" i="2"/>
  <c r="S75" i="2"/>
  <c r="AG75" i="2"/>
  <c r="Y75" i="2"/>
  <c r="Q75" i="2"/>
  <c r="I75" i="2"/>
  <c r="AA75" i="2"/>
  <c r="AC75" i="2"/>
  <c r="U75" i="2"/>
  <c r="E75" i="2"/>
  <c r="E159" i="2" l="1"/>
  <c r="C157" i="2"/>
  <c r="E161" i="2"/>
  <c r="D161" i="2"/>
  <c r="C161" i="2"/>
  <c r="E160" i="2"/>
  <c r="C160" i="2"/>
  <c r="C159" i="2"/>
  <c r="E158" i="2"/>
  <c r="D158" i="2"/>
  <c r="C158" i="2"/>
  <c r="E157" i="2"/>
  <c r="D157" i="2"/>
  <c r="C156" i="2"/>
  <c r="D160" i="2"/>
  <c r="D156" i="2"/>
  <c r="E156" i="2" l="1"/>
  <c r="D159" i="2"/>
  <c r="B65" i="2" l="1"/>
  <c r="B73" i="2" s="1"/>
  <c r="B64" i="2"/>
  <c r="B67" i="2" s="1"/>
  <c r="AD216" i="2" l="1"/>
  <c r="AD99" i="2"/>
  <c r="AD198" i="2"/>
  <c r="Z217" i="2"/>
  <c r="R218" i="2"/>
  <c r="C228" i="2" s="1"/>
  <c r="R259" i="2"/>
  <c r="J220" i="2"/>
  <c r="J198" i="2"/>
  <c r="F219" i="2"/>
  <c r="AG210" i="2"/>
  <c r="AG256" i="2"/>
  <c r="Y256" i="2"/>
  <c r="Y258" i="2"/>
  <c r="Q220" i="2"/>
  <c r="Q210" i="2"/>
  <c r="Q209" i="2" s="1"/>
  <c r="Q258" i="2"/>
  <c r="Q256" i="2"/>
  <c r="E256" i="2"/>
  <c r="AJ219" i="2"/>
  <c r="AJ210" i="2"/>
  <c r="AF223" i="2"/>
  <c r="AF210" i="2"/>
  <c r="AF260" i="2"/>
  <c r="AF257" i="2"/>
  <c r="AF256" i="2"/>
  <c r="AF258" i="2"/>
  <c r="P257" i="2"/>
  <c r="P256" i="2"/>
  <c r="P258" i="2"/>
  <c r="H261" i="2"/>
  <c r="H257" i="2"/>
  <c r="H256" i="2"/>
  <c r="H258" i="2"/>
  <c r="D99" i="2"/>
  <c r="AH60" i="2"/>
  <c r="AH65" i="2"/>
  <c r="AH64" i="2"/>
  <c r="V198" i="2"/>
  <c r="AK60" i="2"/>
  <c r="AK65" i="2"/>
  <c r="AK64" i="2"/>
  <c r="AC60" i="2"/>
  <c r="AC65" i="2"/>
  <c r="AC64" i="2"/>
  <c r="U60" i="2"/>
  <c r="U65" i="2"/>
  <c r="U64" i="2"/>
  <c r="U210" i="2"/>
  <c r="M60" i="2"/>
  <c r="M65" i="2"/>
  <c r="M64" i="2"/>
  <c r="I60" i="2"/>
  <c r="I65" i="2"/>
  <c r="I64" i="2"/>
  <c r="I257" i="2"/>
  <c r="AI60" i="2"/>
  <c r="AI65" i="2"/>
  <c r="AI64" i="2"/>
  <c r="AE60" i="2"/>
  <c r="AE65" i="2"/>
  <c r="AE64" i="2"/>
  <c r="AA60" i="2"/>
  <c r="AA65" i="2"/>
  <c r="AA64" i="2"/>
  <c r="W60" i="2"/>
  <c r="W65" i="2"/>
  <c r="W64" i="2"/>
  <c r="S60" i="2"/>
  <c r="S65" i="2"/>
  <c r="S64" i="2"/>
  <c r="O60" i="2"/>
  <c r="O65" i="2"/>
  <c r="O64" i="2"/>
  <c r="K60" i="2"/>
  <c r="K65" i="2"/>
  <c r="K64" i="2"/>
  <c r="G65" i="2"/>
  <c r="G64" i="2"/>
  <c r="C219" i="2"/>
  <c r="AJ261" i="2" l="1"/>
  <c r="H260" i="2"/>
  <c r="AB258" i="2"/>
  <c r="AF261" i="2"/>
  <c r="AJ256" i="2"/>
  <c r="E257" i="2"/>
  <c r="AG99" i="2"/>
  <c r="AG98" i="2" s="1"/>
  <c r="AG216" i="2"/>
  <c r="F259" i="2"/>
  <c r="F210" i="2"/>
  <c r="F209" i="2" s="1"/>
  <c r="Z216" i="2"/>
  <c r="AD98" i="2"/>
  <c r="P260" i="2"/>
  <c r="T260" i="2"/>
  <c r="AF209" i="2"/>
  <c r="AF220" i="2"/>
  <c r="C259" i="2"/>
  <c r="K260" i="2"/>
  <c r="E218" i="2"/>
  <c r="Y257" i="2"/>
  <c r="Z259" i="2"/>
  <c r="AD244" i="2"/>
  <c r="AD223" i="2"/>
  <c r="O218" i="2"/>
  <c r="I261" i="2"/>
  <c r="P261" i="2"/>
  <c r="AJ209" i="2"/>
  <c r="AG218" i="2"/>
  <c r="C258" i="2"/>
  <c r="C220" i="2"/>
  <c r="S210" i="2"/>
  <c r="S209" i="2" s="1"/>
  <c r="W223" i="2"/>
  <c r="AE218" i="2"/>
  <c r="AI99" i="2"/>
  <c r="AI98" i="2" s="1"/>
  <c r="AC198" i="2"/>
  <c r="AC197" i="2" s="1"/>
  <c r="AC218" i="2"/>
  <c r="V259" i="2"/>
  <c r="D98" i="2"/>
  <c r="J218" i="2"/>
  <c r="AA256" i="2"/>
  <c r="F216" i="2"/>
  <c r="F223" i="2"/>
  <c r="Z210" i="2"/>
  <c r="Z209" i="2" s="1"/>
  <c r="Q261" i="2"/>
  <c r="J210" i="2"/>
  <c r="J222" i="2" s="1"/>
  <c r="J259" i="2"/>
  <c r="G223" i="2"/>
  <c r="U260" i="2"/>
  <c r="J219" i="2"/>
  <c r="Z244" i="2"/>
  <c r="K223" i="2"/>
  <c r="D198" i="2"/>
  <c r="D197" i="2" s="1"/>
  <c r="C210" i="2"/>
  <c r="G261" i="2"/>
  <c r="AE210" i="2"/>
  <c r="AE209" i="2" s="1"/>
  <c r="AE217" i="2"/>
  <c r="M99" i="2"/>
  <c r="M98" i="2" s="1"/>
  <c r="O99" i="2"/>
  <c r="O98" i="2" s="1"/>
  <c r="W218" i="2"/>
  <c r="AE259" i="2"/>
  <c r="U258" i="2"/>
  <c r="AC261" i="2"/>
  <c r="AK256" i="2"/>
  <c r="N217" i="2"/>
  <c r="Y220" i="2"/>
  <c r="O198" i="2"/>
  <c r="O197" i="2" s="1"/>
  <c r="L256" i="2"/>
  <c r="L217" i="2"/>
  <c r="P223" i="2"/>
  <c r="T261" i="2"/>
  <c r="X256" i="2"/>
  <c r="AG257" i="2"/>
  <c r="W256" i="2"/>
  <c r="AC220" i="2"/>
  <c r="D260" i="2"/>
  <c r="H217" i="2"/>
  <c r="AB257" i="2"/>
  <c r="AB223" i="2"/>
  <c r="D233" i="2" s="1"/>
  <c r="AJ260" i="2"/>
  <c r="AD219" i="2"/>
  <c r="K256" i="2"/>
  <c r="O210" i="2"/>
  <c r="O209" i="2" s="1"/>
  <c r="AA260" i="2"/>
  <c r="I223" i="2"/>
  <c r="U223" i="2"/>
  <c r="U209" i="2"/>
  <c r="U219" i="2"/>
  <c r="U216" i="2"/>
  <c r="AC260" i="2"/>
  <c r="AK210" i="2"/>
  <c r="AK209" i="2" s="1"/>
  <c r="N256" i="2"/>
  <c r="V257" i="2"/>
  <c r="V218" i="2"/>
  <c r="AH244" i="2"/>
  <c r="D218" i="2"/>
  <c r="P198" i="2"/>
  <c r="P197" i="2" s="1"/>
  <c r="X219" i="2"/>
  <c r="AB218" i="2"/>
  <c r="D228" i="2" s="1"/>
  <c r="Q219" i="2"/>
  <c r="Q218" i="2"/>
  <c r="Y261" i="2"/>
  <c r="U259" i="2"/>
  <c r="G256" i="2"/>
  <c r="K99" i="2"/>
  <c r="K98" i="2" s="1"/>
  <c r="O259" i="2"/>
  <c r="O219" i="2"/>
  <c r="AA99" i="2"/>
  <c r="AA98" i="2" s="1"/>
  <c r="AE219" i="2"/>
  <c r="I258" i="2"/>
  <c r="I210" i="2"/>
  <c r="I209" i="2" s="1"/>
  <c r="AK260" i="2"/>
  <c r="AK218" i="2"/>
  <c r="V256" i="2"/>
  <c r="V210" i="2"/>
  <c r="V209" i="2" s="1"/>
  <c r="AH99" i="2"/>
  <c r="AH98" i="2" s="1"/>
  <c r="AH223" i="2"/>
  <c r="D219" i="2"/>
  <c r="D223" i="2"/>
  <c r="L258" i="2"/>
  <c r="C198" i="2"/>
  <c r="C197" i="2" s="1"/>
  <c r="O261" i="2"/>
  <c r="H198" i="2"/>
  <c r="H197" i="2" s="1"/>
  <c r="H218" i="2"/>
  <c r="L261" i="2"/>
  <c r="T219" i="2"/>
  <c r="C218" i="2"/>
  <c r="G259" i="2"/>
  <c r="G217" i="2"/>
  <c r="G218" i="2"/>
  <c r="K210" i="2"/>
  <c r="K209" i="2" s="1"/>
  <c r="O216" i="2"/>
  <c r="W257" i="2"/>
  <c r="W219" i="2"/>
  <c r="W210" i="2"/>
  <c r="W209" i="2" s="1"/>
  <c r="AA223" i="2"/>
  <c r="AE261" i="2"/>
  <c r="AE198" i="2"/>
  <c r="AE197" i="2" s="1"/>
  <c r="AI257" i="2"/>
  <c r="AI198" i="2"/>
  <c r="AI197" i="2" s="1"/>
  <c r="I260" i="2"/>
  <c r="I256" i="2"/>
  <c r="M256" i="2"/>
  <c r="M244" i="2"/>
  <c r="M216" i="2"/>
  <c r="U261" i="2"/>
  <c r="U244" i="2"/>
  <c r="AC223" i="2"/>
  <c r="AC99" i="2"/>
  <c r="AC98" i="2" s="1"/>
  <c r="AK261" i="2"/>
  <c r="AK99" i="2"/>
  <c r="AK98" i="2" s="1"/>
  <c r="N258" i="2"/>
  <c r="N219" i="2"/>
  <c r="N210" i="2"/>
  <c r="N209" i="2" s="1"/>
  <c r="V216" i="2"/>
  <c r="V220" i="2"/>
  <c r="AH256" i="2"/>
  <c r="D261" i="2"/>
  <c r="H216" i="2"/>
  <c r="AB259" i="2"/>
  <c r="E210" i="2"/>
  <c r="E209" i="2" s="1"/>
  <c r="Q223" i="2"/>
  <c r="Y99" i="2"/>
  <c r="Y98" i="2" s="1"/>
  <c r="Y198" i="2"/>
  <c r="Y197" i="2" s="1"/>
  <c r="R220" i="2"/>
  <c r="C230" i="2" s="1"/>
  <c r="AD259" i="2"/>
  <c r="S99" i="2"/>
  <c r="S98" i="2" s="1"/>
  <c r="X217" i="2"/>
  <c r="AC257" i="2"/>
  <c r="L259" i="2"/>
  <c r="P218" i="2"/>
  <c r="T218" i="2"/>
  <c r="X99" i="2"/>
  <c r="X98" i="2" s="1"/>
  <c r="AB261" i="2"/>
  <c r="Z198" i="2"/>
  <c r="C256" i="2"/>
  <c r="S220" i="2"/>
  <c r="AA217" i="2"/>
  <c r="AI223" i="2"/>
  <c r="I244" i="2"/>
  <c r="I220" i="2"/>
  <c r="I219" i="2"/>
  <c r="M198" i="2"/>
  <c r="M197" i="2" s="1"/>
  <c r="AK223" i="2"/>
  <c r="AH210" i="2"/>
  <c r="AH209" i="2" s="1"/>
  <c r="D210" i="2"/>
  <c r="D209" i="2" s="1"/>
  <c r="P244" i="2"/>
  <c r="AB210" i="2"/>
  <c r="AB209" i="2" s="1"/>
  <c r="AB216" i="2"/>
  <c r="D226" i="2" s="1"/>
  <c r="E258" i="2"/>
  <c r="Q260" i="2"/>
  <c r="AG220" i="2"/>
  <c r="O258" i="2"/>
  <c r="S258" i="2"/>
  <c r="M223" i="2"/>
  <c r="AK257" i="2"/>
  <c r="AH258" i="2"/>
  <c r="L219" i="2"/>
  <c r="P219" i="2"/>
  <c r="X258" i="2"/>
  <c r="AB244" i="2"/>
  <c r="AB99" i="2"/>
  <c r="AB98" i="2" s="1"/>
  <c r="E223" i="2"/>
  <c r="C99" i="2"/>
  <c r="C98" i="2" s="1"/>
  <c r="O257" i="2"/>
  <c r="O220" i="2"/>
  <c r="AI220" i="2"/>
  <c r="R223" i="2"/>
  <c r="C233" i="2" s="1"/>
  <c r="AD220" i="2"/>
  <c r="AD217" i="2"/>
  <c r="C261" i="2"/>
  <c r="C257" i="2"/>
  <c r="C255" i="2"/>
  <c r="C235" i="2"/>
  <c r="C216" i="2"/>
  <c r="G219" i="2"/>
  <c r="G210" i="2"/>
  <c r="G209" i="2" s="1"/>
  <c r="G198" i="2"/>
  <c r="G197" i="2" s="1"/>
  <c r="K259" i="2"/>
  <c r="K217" i="2"/>
  <c r="K219" i="2"/>
  <c r="O244" i="2"/>
  <c r="S259" i="2"/>
  <c r="S261" i="2"/>
  <c r="S244" i="2"/>
  <c r="S217" i="2"/>
  <c r="S198" i="2"/>
  <c r="S216" i="2"/>
  <c r="W258" i="2"/>
  <c r="AA258" i="2"/>
  <c r="AA219" i="2"/>
  <c r="AA210" i="2"/>
  <c r="AA209" i="2" s="1"/>
  <c r="AE257" i="2"/>
  <c r="AE244" i="2"/>
  <c r="AE220" i="2"/>
  <c r="AI258" i="2"/>
  <c r="AI244" i="2"/>
  <c r="AI216" i="2"/>
  <c r="I255" i="2"/>
  <c r="I235" i="2"/>
  <c r="I99" i="2"/>
  <c r="I98" i="2" s="1"/>
  <c r="M258" i="2"/>
  <c r="M218" i="2"/>
  <c r="AC210" i="2"/>
  <c r="AC209" i="2" s="1"/>
  <c r="AK259" i="2"/>
  <c r="N198" i="2"/>
  <c r="N218" i="2"/>
  <c r="V244" i="2"/>
  <c r="V99" i="2"/>
  <c r="V98" i="2" s="1"/>
  <c r="V65" i="2"/>
  <c r="AH259" i="2"/>
  <c r="AH261" i="2"/>
  <c r="AH220" i="2"/>
  <c r="D257" i="2"/>
  <c r="D220" i="2"/>
  <c r="H259" i="2"/>
  <c r="P210" i="2"/>
  <c r="P209" i="2" s="1"/>
  <c r="P217" i="2"/>
  <c r="P60" i="2"/>
  <c r="T257" i="2"/>
  <c r="X261" i="2"/>
  <c r="X244" i="2"/>
  <c r="X210" i="2"/>
  <c r="X209" i="2" s="1"/>
  <c r="X220" i="2"/>
  <c r="X218" i="2"/>
  <c r="X64" i="2"/>
  <c r="X60" i="2"/>
  <c r="AB255" i="2"/>
  <c r="AB235" i="2"/>
  <c r="AB198" i="2"/>
  <c r="AB217" i="2"/>
  <c r="D227" i="2" s="1"/>
  <c r="AF99" i="2"/>
  <c r="AF98" i="2" s="1"/>
  <c r="AF219" i="2"/>
  <c r="AJ257" i="2"/>
  <c r="AJ99" i="2"/>
  <c r="AJ98" i="2" s="1"/>
  <c r="AJ220" i="2"/>
  <c r="AJ217" i="2"/>
  <c r="E260" i="2"/>
  <c r="E244" i="2"/>
  <c r="E65" i="2"/>
  <c r="Q257" i="2"/>
  <c r="Q217" i="2"/>
  <c r="Y260" i="2"/>
  <c r="Y210" i="2"/>
  <c r="Y209" i="2" s="1"/>
  <c r="Y219" i="2"/>
  <c r="Y216" i="2"/>
  <c r="Y65" i="2"/>
  <c r="AG260" i="2"/>
  <c r="AG209" i="2"/>
  <c r="AG198" i="2"/>
  <c r="AG222" i="2" s="1"/>
  <c r="F260" i="2"/>
  <c r="F218" i="2"/>
  <c r="J258" i="2"/>
  <c r="J216" i="2"/>
  <c r="J223" i="2"/>
  <c r="J64" i="2"/>
  <c r="J65" i="2"/>
  <c r="R258" i="2"/>
  <c r="R219" i="2"/>
  <c r="C229" i="2" s="1"/>
  <c r="Z260" i="2"/>
  <c r="AD218" i="2"/>
  <c r="C244" i="2"/>
  <c r="AI87" i="2"/>
  <c r="AI86" i="2" s="1"/>
  <c r="S87" i="2"/>
  <c r="S86" i="2" s="1"/>
  <c r="C87" i="2"/>
  <c r="C86" i="2" s="1"/>
  <c r="AH87" i="2"/>
  <c r="AH86" i="2" s="1"/>
  <c r="Z87" i="2"/>
  <c r="Z86" i="2" s="1"/>
  <c r="R87" i="2"/>
  <c r="R86" i="2" s="1"/>
  <c r="J87" i="2"/>
  <c r="J86" i="2" s="1"/>
  <c r="AG87" i="2"/>
  <c r="AG86" i="2" s="1"/>
  <c r="Y87" i="2"/>
  <c r="Y86" i="2" s="1"/>
  <c r="AF87" i="2"/>
  <c r="AF86" i="2" s="1"/>
  <c r="X87" i="2"/>
  <c r="X86" i="2" s="1"/>
  <c r="P87" i="2"/>
  <c r="P86" i="2" s="1"/>
  <c r="AE87" i="2"/>
  <c r="AE86" i="2" s="1"/>
  <c r="W87" i="2"/>
  <c r="W86" i="2" s="1"/>
  <c r="O87" i="2"/>
  <c r="O86" i="2" s="1"/>
  <c r="G87" i="2"/>
  <c r="G86" i="2" s="1"/>
  <c r="AD87" i="2"/>
  <c r="AD86" i="2" s="1"/>
  <c r="V87" i="2"/>
  <c r="V86" i="2" s="1"/>
  <c r="N87" i="2"/>
  <c r="N86" i="2" s="1"/>
  <c r="AK87" i="2"/>
  <c r="AK86" i="2" s="1"/>
  <c r="AC87" i="2"/>
  <c r="AC86" i="2" s="1"/>
  <c r="U87" i="2"/>
  <c r="U86" i="2" s="1"/>
  <c r="M87" i="2"/>
  <c r="M86" i="2" s="1"/>
  <c r="AJ87" i="2"/>
  <c r="AJ86" i="2" s="1"/>
  <c r="AB87" i="2"/>
  <c r="D87" i="2"/>
  <c r="D86" i="2" s="1"/>
  <c r="G99" i="2"/>
  <c r="G98" i="2" s="1"/>
  <c r="K258" i="2"/>
  <c r="O256" i="2"/>
  <c r="S256" i="2"/>
  <c r="AA259" i="2"/>
  <c r="AA257" i="2"/>
  <c r="AI259" i="2"/>
  <c r="U255" i="2"/>
  <c r="U235" i="2"/>
  <c r="N259" i="2"/>
  <c r="V255" i="2"/>
  <c r="V235" i="2"/>
  <c r="AH217" i="2"/>
  <c r="D244" i="2"/>
  <c r="D64" i="2"/>
  <c r="H65" i="2"/>
  <c r="L210" i="2"/>
  <c r="L209" i="2" s="1"/>
  <c r="P99" i="2"/>
  <c r="P98" i="2" s="1"/>
  <c r="T259" i="2"/>
  <c r="T244" i="2"/>
  <c r="T87" i="2"/>
  <c r="T86" i="2" s="1"/>
  <c r="T210" i="2"/>
  <c r="T209" i="2" s="1"/>
  <c r="T64" i="2"/>
  <c r="X216" i="2"/>
  <c r="AF217" i="2"/>
  <c r="E87" i="2"/>
  <c r="E86" i="2" s="1"/>
  <c r="Q60" i="2"/>
  <c r="F99" i="2"/>
  <c r="F98" i="2" s="1"/>
  <c r="F64" i="2"/>
  <c r="J257" i="2"/>
  <c r="R257" i="2"/>
  <c r="R99" i="2"/>
  <c r="AD255" i="2"/>
  <c r="AD235" i="2"/>
  <c r="AD197" i="2"/>
  <c r="G255" i="2"/>
  <c r="G235" i="2"/>
  <c r="G216" i="2"/>
  <c r="K257" i="2"/>
  <c r="O260" i="2"/>
  <c r="S260" i="2"/>
  <c r="W261" i="2"/>
  <c r="W99" i="2"/>
  <c r="W98" i="2" s="1"/>
  <c r="AA261" i="2"/>
  <c r="AA244" i="2"/>
  <c r="AE256" i="2"/>
  <c r="AI261" i="2"/>
  <c r="AI217" i="2"/>
  <c r="I259" i="2"/>
  <c r="M255" i="2"/>
  <c r="M235" i="2"/>
  <c r="U257" i="2"/>
  <c r="AC219" i="2"/>
  <c r="AK220" i="2"/>
  <c r="AK217" i="2"/>
  <c r="N257" i="2"/>
  <c r="N223" i="2"/>
  <c r="AH260" i="2"/>
  <c r="AH218" i="2"/>
  <c r="D259" i="2"/>
  <c r="D256" i="2"/>
  <c r="D65" i="2"/>
  <c r="H87" i="2"/>
  <c r="H86" i="2" s="1"/>
  <c r="H210" i="2"/>
  <c r="H209" i="2" s="1"/>
  <c r="L260" i="2"/>
  <c r="L99" i="2"/>
  <c r="L98" i="2" s="1"/>
  <c r="L223" i="2"/>
  <c r="T256" i="2"/>
  <c r="T99" i="2"/>
  <c r="T98" i="2" s="1"/>
  <c r="T198" i="2"/>
  <c r="X260" i="2"/>
  <c r="X65" i="2"/>
  <c r="D110" i="2"/>
  <c r="D119" i="2"/>
  <c r="D108" i="2"/>
  <c r="D117" i="2"/>
  <c r="AF259" i="2"/>
  <c r="AJ244" i="2"/>
  <c r="Q65" i="2"/>
  <c r="Q64" i="2"/>
  <c r="F255" i="2"/>
  <c r="F235" i="2"/>
  <c r="F87" i="2"/>
  <c r="F86" i="2" s="1"/>
  <c r="F65" i="2"/>
  <c r="J261" i="2"/>
  <c r="R261" i="2"/>
  <c r="R217" i="2"/>
  <c r="C227" i="2" s="1"/>
  <c r="R64" i="2"/>
  <c r="R65" i="2"/>
  <c r="Z255" i="2"/>
  <c r="Z235" i="2"/>
  <c r="C223" i="2"/>
  <c r="G258" i="2"/>
  <c r="G244" i="2"/>
  <c r="G220" i="2"/>
  <c r="K261" i="2"/>
  <c r="K244" i="2"/>
  <c r="K87" i="2"/>
  <c r="K86" i="2" s="1"/>
  <c r="K218" i="2"/>
  <c r="S219" i="2"/>
  <c r="S223" i="2"/>
  <c r="W244" i="2"/>
  <c r="W217" i="2"/>
  <c r="AA220" i="2"/>
  <c r="AA218" i="2"/>
  <c r="AE260" i="2"/>
  <c r="AE216" i="2"/>
  <c r="AI256" i="2"/>
  <c r="AI219" i="2"/>
  <c r="I87" i="2"/>
  <c r="I86" i="2" s="1"/>
  <c r="M260" i="2"/>
  <c r="M261" i="2"/>
  <c r="M220" i="2"/>
  <c r="U218" i="2"/>
  <c r="AC259" i="2"/>
  <c r="AC216" i="2"/>
  <c r="AK258" i="2"/>
  <c r="N261" i="2"/>
  <c r="N99" i="2"/>
  <c r="N98" i="2" s="1"/>
  <c r="V258" i="2"/>
  <c r="V217" i="2"/>
  <c r="AH216" i="2"/>
  <c r="H99" i="2"/>
  <c r="H98" i="2" s="1"/>
  <c r="H219" i="2"/>
  <c r="H223" i="2"/>
  <c r="L244" i="2"/>
  <c r="L64" i="2"/>
  <c r="L60" i="2"/>
  <c r="P220" i="2"/>
  <c r="P64" i="2"/>
  <c r="T65" i="2"/>
  <c r="T60" i="2"/>
  <c r="D114" i="2"/>
  <c r="D122" i="2"/>
  <c r="AJ64" i="2"/>
  <c r="AJ65" i="2"/>
  <c r="AJ60" i="2"/>
  <c r="Y255" i="2"/>
  <c r="Y235" i="2"/>
  <c r="Y259" i="2"/>
  <c r="Y217" i="2"/>
  <c r="Y64" i="2"/>
  <c r="AG259" i="2"/>
  <c r="AG64" i="2"/>
  <c r="F244" i="2"/>
  <c r="J244" i="2"/>
  <c r="J256" i="2"/>
  <c r="R256" i="2"/>
  <c r="C109" i="2"/>
  <c r="C118" i="2"/>
  <c r="R60" i="2"/>
  <c r="Z99" i="2"/>
  <c r="Z98" i="2" s="1"/>
  <c r="Z60" i="2"/>
  <c r="AD258" i="2"/>
  <c r="G257" i="2"/>
  <c r="K220" i="2"/>
  <c r="K216" i="2"/>
  <c r="O255" i="2"/>
  <c r="O235" i="2"/>
  <c r="O217" i="2"/>
  <c r="S255" i="2"/>
  <c r="S235" i="2"/>
  <c r="W259" i="2"/>
  <c r="W260" i="2"/>
  <c r="W220" i="2"/>
  <c r="AA87" i="2"/>
  <c r="AA86" i="2" s="1"/>
  <c r="AA216" i="2"/>
  <c r="AI260" i="2"/>
  <c r="AI210" i="2"/>
  <c r="AI209" i="2" s="1"/>
  <c r="U256" i="2"/>
  <c r="U99" i="2"/>
  <c r="U98" i="2" s="1"/>
  <c r="U198" i="2"/>
  <c r="U222" i="2" s="1"/>
  <c r="N220" i="2"/>
  <c r="V60" i="2"/>
  <c r="AH255" i="2"/>
  <c r="AH235" i="2"/>
  <c r="H255" i="2"/>
  <c r="H235" i="2"/>
  <c r="H244" i="2"/>
  <c r="L255" i="2"/>
  <c r="L235" i="2"/>
  <c r="L87" i="2"/>
  <c r="L86" i="2" s="1"/>
  <c r="L220" i="2"/>
  <c r="L218" i="2"/>
  <c r="X255" i="2"/>
  <c r="X235" i="2"/>
  <c r="X198" i="2"/>
  <c r="X197" i="2" s="1"/>
  <c r="AJ198" i="2"/>
  <c r="Q244" i="2"/>
  <c r="Q198" i="2"/>
  <c r="Q222" i="2" s="1"/>
  <c r="Y244" i="2"/>
  <c r="AG223" i="2"/>
  <c r="F258" i="2"/>
  <c r="J260" i="2"/>
  <c r="J217" i="2"/>
  <c r="R260" i="2"/>
  <c r="C110" i="2"/>
  <c r="C119" i="2"/>
  <c r="C108" i="2"/>
  <c r="C117" i="2"/>
  <c r="R216" i="2"/>
  <c r="C226" i="2" s="1"/>
  <c r="Z258" i="2"/>
  <c r="Z219" i="2"/>
  <c r="Z223" i="2"/>
  <c r="Z65" i="2"/>
  <c r="AD257" i="2"/>
  <c r="AD210" i="2"/>
  <c r="AD209" i="2" s="1"/>
  <c r="AD60" i="2"/>
  <c r="K198" i="2"/>
  <c r="K197" i="2" s="1"/>
  <c r="O223" i="2"/>
  <c r="AA198" i="2"/>
  <c r="AA197" i="2" s="1"/>
  <c r="AE255" i="2"/>
  <c r="AE235" i="2"/>
  <c r="I218" i="2"/>
  <c r="M217" i="2"/>
  <c r="U220" i="2"/>
  <c r="U217" i="2"/>
  <c r="AC256" i="2"/>
  <c r="AC255" i="2"/>
  <c r="AC235" i="2"/>
  <c r="AC217" i="2"/>
  <c r="AK255" i="2"/>
  <c r="AK235" i="2"/>
  <c r="N244" i="2"/>
  <c r="N260" i="2"/>
  <c r="N60" i="2"/>
  <c r="V261" i="2"/>
  <c r="V197" i="2"/>
  <c r="AH198" i="2"/>
  <c r="D255" i="2"/>
  <c r="D235" i="2"/>
  <c r="D216" i="2"/>
  <c r="H220" i="2"/>
  <c r="L216" i="2"/>
  <c r="P259" i="2"/>
  <c r="P255" i="2"/>
  <c r="P235" i="2"/>
  <c r="P216" i="2"/>
  <c r="T255" i="2"/>
  <c r="T235" i="2"/>
  <c r="T223" i="2"/>
  <c r="T216" i="2"/>
  <c r="X259" i="2"/>
  <c r="AB256" i="2"/>
  <c r="D109" i="2"/>
  <c r="D118" i="2"/>
  <c r="D111" i="2"/>
  <c r="D120" i="2"/>
  <c r="AB220" i="2"/>
  <c r="D230" i="2" s="1"/>
  <c r="AB64" i="2"/>
  <c r="AB65" i="2"/>
  <c r="AF218" i="2"/>
  <c r="AJ255" i="2"/>
  <c r="AJ235" i="2"/>
  <c r="AJ218" i="2"/>
  <c r="E64" i="2"/>
  <c r="Q259" i="2"/>
  <c r="Q216" i="2"/>
  <c r="Y223" i="2"/>
  <c r="AG255" i="2"/>
  <c r="AG235" i="2"/>
  <c r="AG258" i="2"/>
  <c r="AG244" i="2"/>
  <c r="AG217" i="2"/>
  <c r="AG60" i="2"/>
  <c r="F257" i="2"/>
  <c r="F198" i="2"/>
  <c r="F220" i="2"/>
  <c r="R244" i="2"/>
  <c r="C107" i="2"/>
  <c r="C114" i="2"/>
  <c r="C122" i="2"/>
  <c r="Z257" i="2"/>
  <c r="AD261" i="2"/>
  <c r="AD65" i="2"/>
  <c r="W255" i="2"/>
  <c r="W235" i="2"/>
  <c r="AA255" i="2"/>
  <c r="AA235" i="2"/>
  <c r="AE223" i="2"/>
  <c r="AI255" i="2"/>
  <c r="AI235" i="2"/>
  <c r="I216" i="2"/>
  <c r="AC258" i="2"/>
  <c r="N64" i="2"/>
  <c r="N65" i="2"/>
  <c r="L65" i="2"/>
  <c r="P65" i="2"/>
  <c r="X223" i="2"/>
  <c r="AB260" i="2"/>
  <c r="AB219" i="2"/>
  <c r="D229" i="2" s="1"/>
  <c r="D107" i="2"/>
  <c r="AF255" i="2"/>
  <c r="AF235" i="2"/>
  <c r="AF244" i="2"/>
  <c r="AF198" i="2"/>
  <c r="AF222" i="2" s="1"/>
  <c r="AF216" i="2"/>
  <c r="AF64" i="2"/>
  <c r="AF65" i="2"/>
  <c r="AF60" i="2"/>
  <c r="AJ259" i="2"/>
  <c r="AJ223" i="2"/>
  <c r="AJ216" i="2"/>
  <c r="E255" i="2"/>
  <c r="E235" i="2"/>
  <c r="E259" i="2"/>
  <c r="E198" i="2"/>
  <c r="E216" i="2"/>
  <c r="Q255" i="2"/>
  <c r="Q235" i="2"/>
  <c r="Q87" i="2"/>
  <c r="Q86" i="2" s="1"/>
  <c r="Q99" i="2"/>
  <c r="Q98" i="2" s="1"/>
  <c r="Y60" i="2"/>
  <c r="AG261" i="2"/>
  <c r="AG65" i="2"/>
  <c r="F261" i="2"/>
  <c r="F217" i="2"/>
  <c r="J255" i="2"/>
  <c r="J235" i="2"/>
  <c r="J99" i="2"/>
  <c r="J98" i="2" s="1"/>
  <c r="R255" i="2"/>
  <c r="R235" i="2"/>
  <c r="R198" i="2"/>
  <c r="R197" i="2" s="1"/>
  <c r="R210" i="2"/>
  <c r="R209" i="2" s="1"/>
  <c r="Z261" i="2"/>
  <c r="Z218" i="2"/>
  <c r="Z220" i="2"/>
  <c r="AD256" i="2"/>
  <c r="C217" i="2"/>
  <c r="G260" i="2"/>
  <c r="K255" i="2"/>
  <c r="K235" i="2"/>
  <c r="S257" i="2"/>
  <c r="S218" i="2"/>
  <c r="W198" i="2"/>
  <c r="W222" i="2" s="1"/>
  <c r="W216" i="2"/>
  <c r="AE258" i="2"/>
  <c r="AE99" i="2"/>
  <c r="AE98" i="2" s="1"/>
  <c r="AI218" i="2"/>
  <c r="I198" i="2"/>
  <c r="I217" i="2"/>
  <c r="M257" i="2"/>
  <c r="M259" i="2"/>
  <c r="M210" i="2"/>
  <c r="M209" i="2" s="1"/>
  <c r="M219" i="2"/>
  <c r="AC244" i="2"/>
  <c r="AK244" i="2"/>
  <c r="AK198" i="2"/>
  <c r="AK219" i="2"/>
  <c r="AK216" i="2"/>
  <c r="N255" i="2"/>
  <c r="N235" i="2"/>
  <c r="N216" i="2"/>
  <c r="V260" i="2"/>
  <c r="V219" i="2"/>
  <c r="V223" i="2"/>
  <c r="V64" i="2"/>
  <c r="AH257" i="2"/>
  <c r="AH219" i="2"/>
  <c r="D258" i="2"/>
  <c r="D217" i="2"/>
  <c r="H64" i="2"/>
  <c r="H60" i="2"/>
  <c r="L257" i="2"/>
  <c r="L198" i="2"/>
  <c r="L197" i="2" s="1"/>
  <c r="T258" i="2"/>
  <c r="T220" i="2"/>
  <c r="T217" i="2"/>
  <c r="X257" i="2"/>
  <c r="AB60" i="2"/>
  <c r="AJ258" i="2"/>
  <c r="E261" i="2"/>
  <c r="E220" i="2"/>
  <c r="E99" i="2"/>
  <c r="E98" i="2" s="1"/>
  <c r="E219" i="2"/>
  <c r="E217" i="2"/>
  <c r="Y218" i="2"/>
  <c r="AG219" i="2"/>
  <c r="F256" i="2"/>
  <c r="J197" i="2"/>
  <c r="J60" i="2"/>
  <c r="C111" i="2"/>
  <c r="C120" i="2"/>
  <c r="Z256" i="2"/>
  <c r="Z64" i="2"/>
  <c r="AD260" i="2"/>
  <c r="AD64" i="2"/>
  <c r="C260" i="2"/>
  <c r="AD254" i="2" l="1"/>
  <c r="F222" i="2"/>
  <c r="Z222" i="2"/>
  <c r="AE254" i="2"/>
  <c r="N222" i="2"/>
  <c r="AE222" i="2"/>
  <c r="AB222" i="2"/>
  <c r="D232" i="2" s="1"/>
  <c r="J209" i="2"/>
  <c r="J221" i="2" s="1"/>
  <c r="V221" i="2"/>
  <c r="AC221" i="2"/>
  <c r="X221" i="2"/>
  <c r="I254" i="2"/>
  <c r="Z254" i="2"/>
  <c r="C222" i="2"/>
  <c r="AB254" i="2"/>
  <c r="D221" i="2"/>
  <c r="E254" i="2"/>
  <c r="P254" i="2"/>
  <c r="X222" i="2"/>
  <c r="S222" i="2"/>
  <c r="D222" i="2"/>
  <c r="AH222" i="2"/>
  <c r="Y254" i="2"/>
  <c r="AC222" i="2"/>
  <c r="C209" i="2"/>
  <c r="C221" i="2" s="1"/>
  <c r="I222" i="2"/>
  <c r="H254" i="2"/>
  <c r="AI221" i="2"/>
  <c r="M254" i="2"/>
  <c r="AD222" i="2"/>
  <c r="M222" i="2"/>
  <c r="AE221" i="2"/>
  <c r="J254" i="2"/>
  <c r="T222" i="2"/>
  <c r="V222" i="2"/>
  <c r="AK222" i="2"/>
  <c r="AG254" i="2"/>
  <c r="AA254" i="2"/>
  <c r="T254" i="2"/>
  <c r="S197" i="2"/>
  <c r="S221" i="2" s="1"/>
  <c r="N197" i="2"/>
  <c r="N221" i="2" s="1"/>
  <c r="K254" i="2"/>
  <c r="O221" i="2"/>
  <c r="W254" i="2"/>
  <c r="K222" i="2"/>
  <c r="P222" i="2"/>
  <c r="O254" i="2"/>
  <c r="U254" i="2"/>
  <c r="W197" i="2"/>
  <c r="W221" i="2" s="1"/>
  <c r="E222" i="2"/>
  <c r="N254" i="2"/>
  <c r="Y221" i="2"/>
  <c r="AI254" i="2"/>
  <c r="AH254" i="2"/>
  <c r="H221" i="2"/>
  <c r="O222" i="2"/>
  <c r="AH197" i="2"/>
  <c r="AH221" i="2" s="1"/>
  <c r="Q197" i="2"/>
  <c r="Q221" i="2" s="1"/>
  <c r="V254" i="2"/>
  <c r="E197" i="2"/>
  <c r="E221" i="2" s="1"/>
  <c r="AJ254" i="2"/>
  <c r="X254" i="2"/>
  <c r="AB197" i="2"/>
  <c r="AB221" i="2" s="1"/>
  <c r="D231" i="2" s="1"/>
  <c r="AI222" i="2"/>
  <c r="Z197" i="2"/>
  <c r="Z221" i="2" s="1"/>
  <c r="H222" i="2"/>
  <c r="AB86" i="2"/>
  <c r="D112" i="2" s="1"/>
  <c r="D113" i="2"/>
  <c r="R221" i="2"/>
  <c r="C231" i="2" s="1"/>
  <c r="R254" i="2"/>
  <c r="AF197" i="2"/>
  <c r="AF221" i="2" s="1"/>
  <c r="P221" i="2"/>
  <c r="AK197" i="2"/>
  <c r="AK221" i="2" s="1"/>
  <c r="U197" i="2"/>
  <c r="U221" i="2" s="1"/>
  <c r="T197" i="2"/>
  <c r="T221" i="2" s="1"/>
  <c r="I197" i="2"/>
  <c r="I221" i="2" s="1"/>
  <c r="D254" i="2"/>
  <c r="L254" i="2"/>
  <c r="G221" i="2"/>
  <c r="AK254" i="2"/>
  <c r="AD221" i="2"/>
  <c r="Y222" i="2"/>
  <c r="G254" i="2"/>
  <c r="AC254" i="2"/>
  <c r="AJ197" i="2"/>
  <c r="AJ221" i="2" s="1"/>
  <c r="AJ222" i="2"/>
  <c r="C113" i="2"/>
  <c r="R222" i="2"/>
  <c r="C232" i="2" s="1"/>
  <c r="R98" i="2"/>
  <c r="Q254" i="2"/>
  <c r="AF254" i="2"/>
  <c r="K221" i="2"/>
  <c r="S254" i="2"/>
  <c r="L221" i="2"/>
  <c r="L222" i="2"/>
  <c r="AA221" i="2"/>
  <c r="AG197" i="2"/>
  <c r="AG221" i="2" s="1"/>
  <c r="AA222" i="2"/>
  <c r="C254" i="2"/>
  <c r="M221" i="2"/>
  <c r="F254" i="2"/>
  <c r="F197" i="2"/>
  <c r="F221" i="2" s="1"/>
  <c r="G222" i="2"/>
  <c r="D121" i="2" l="1"/>
  <c r="C112" i="2"/>
  <c r="C121" i="2"/>
  <c r="AL198" i="2" l="1"/>
  <c r="AL87" i="2"/>
  <c r="AL259" i="2"/>
  <c r="AL447" i="2"/>
  <c r="AL460" i="2" l="1"/>
  <c r="AL474" i="2" s="1"/>
  <c r="AL216" i="2"/>
  <c r="E226" i="2" s="1"/>
  <c r="AL220" i="2"/>
  <c r="E230" i="2" s="1"/>
  <c r="AL285" i="2"/>
  <c r="E294" i="2" s="1"/>
  <c r="AL284" i="2"/>
  <c r="E293" i="2" s="1"/>
  <c r="AL99" i="2"/>
  <c r="AL98" i="2" s="1"/>
  <c r="AL218" i="2"/>
  <c r="E228" i="2" s="1"/>
  <c r="AL453" i="2"/>
  <c r="AL473" i="2"/>
  <c r="AL86" i="2"/>
  <c r="AL280" i="2"/>
  <c r="E289" i="2" s="1"/>
  <c r="AL466" i="2"/>
  <c r="AL472" i="2"/>
  <c r="AL258" i="2"/>
  <c r="E119" i="2"/>
  <c r="E110" i="2"/>
  <c r="AM65" i="2"/>
  <c r="AL65" i="2"/>
  <c r="AL509" i="2"/>
  <c r="AL257" i="2"/>
  <c r="E107" i="2"/>
  <c r="AL244" i="2"/>
  <c r="AL510" i="2"/>
  <c r="AL494" i="2"/>
  <c r="AL261" i="2"/>
  <c r="E108" i="2"/>
  <c r="E117" i="2"/>
  <c r="AL282" i="2"/>
  <c r="E291" i="2" s="1"/>
  <c r="AL283" i="2"/>
  <c r="E292" i="2" s="1"/>
  <c r="AM60" i="2"/>
  <c r="AL60" i="2"/>
  <c r="AL481" i="2"/>
  <c r="AL508" i="2" s="1"/>
  <c r="AL256" i="2"/>
  <c r="E114" i="2"/>
  <c r="E122" i="2"/>
  <c r="AL217" i="2"/>
  <c r="E227" i="2" s="1"/>
  <c r="AL475" i="2"/>
  <c r="AL500" i="2"/>
  <c r="AL506" i="2"/>
  <c r="AL260" i="2"/>
  <c r="AL197" i="2"/>
  <c r="AL487" i="2"/>
  <c r="AL507" i="2"/>
  <c r="E120" i="2"/>
  <c r="E111" i="2"/>
  <c r="AL210" i="2"/>
  <c r="AL209" i="2" s="1"/>
  <c r="AL281" i="2"/>
  <c r="E290" i="2" s="1"/>
  <c r="AL476" i="2"/>
  <c r="AL255" i="2"/>
  <c r="AL235" i="2"/>
  <c r="E118" i="2"/>
  <c r="E109" i="2"/>
  <c r="AL219" i="2"/>
  <c r="E229" i="2" s="1"/>
  <c r="AL223" i="2"/>
  <c r="E233" i="2" s="1"/>
  <c r="AL279" i="2"/>
  <c r="E288" i="2" s="1"/>
  <c r="AM64" i="2"/>
  <c r="AL64" i="2"/>
  <c r="E113" i="2" l="1"/>
  <c r="AL477" i="2"/>
  <c r="AL222" i="2"/>
  <c r="E232" i="2" s="1"/>
  <c r="AL254" i="2"/>
  <c r="AL221" i="2"/>
  <c r="E231" i="2" s="1"/>
  <c r="E121" i="2"/>
  <c r="E112" i="2"/>
  <c r="AL511" i="2"/>
</calcChain>
</file>

<file path=xl/sharedStrings.xml><?xml version="1.0" encoding="utf-8"?>
<sst xmlns="http://schemas.openxmlformats.org/spreadsheetml/2006/main" count="400" uniqueCount="106">
  <si>
    <t>Macro</t>
  </si>
  <si>
    <t>Inflation</t>
  </si>
  <si>
    <t>Emissions</t>
  </si>
  <si>
    <t>IPC</t>
  </si>
  <si>
    <t>Baseline</t>
  </si>
  <si>
    <t>Scénario 2</t>
  </si>
  <si>
    <t>NZ50</t>
  </si>
  <si>
    <t>Agriculture</t>
  </si>
  <si>
    <t>Industrie</t>
  </si>
  <si>
    <t>Transports</t>
  </si>
  <si>
    <t>Services</t>
  </si>
  <si>
    <t>Electricité</t>
  </si>
  <si>
    <t>Pétrole et gaz</t>
  </si>
  <si>
    <t>VA</t>
  </si>
  <si>
    <t>Année</t>
  </si>
  <si>
    <t>2030</t>
  </si>
  <si>
    <t>2040</t>
  </si>
  <si>
    <t>2050</t>
  </si>
  <si>
    <t>GDP</t>
  </si>
  <si>
    <t>Consumption</t>
  </si>
  <si>
    <t>Net exports</t>
  </si>
  <si>
    <t>Investment</t>
  </si>
  <si>
    <t>Exports</t>
  </si>
  <si>
    <t>Imports</t>
  </si>
  <si>
    <t>Production</t>
  </si>
  <si>
    <t>Households</t>
  </si>
  <si>
    <t>Firms</t>
  </si>
  <si>
    <t>Total</t>
  </si>
  <si>
    <t>Transport</t>
  </si>
  <si>
    <t>Oil&amp;Gas</t>
  </si>
  <si>
    <t>Industry</t>
  </si>
  <si>
    <t>Oil &amp; Gas</t>
  </si>
  <si>
    <t>Renewable Oil &amp; Gas</t>
  </si>
  <si>
    <t>Electricity</t>
  </si>
  <si>
    <t>biogas</t>
  </si>
  <si>
    <t>biofuel</t>
  </si>
  <si>
    <t>Renewable Oil&amp;Gas</t>
  </si>
  <si>
    <t>total oil&amp;gas</t>
  </si>
  <si>
    <t>baseline</t>
  </si>
  <si>
    <t>shock</t>
  </si>
  <si>
    <t>Average</t>
  </si>
  <si>
    <t>Capital</t>
  </si>
  <si>
    <t>Capital intensity</t>
  </si>
  <si>
    <t>Energy intensity</t>
  </si>
  <si>
    <t>Ménages</t>
  </si>
  <si>
    <t>Ménages (logement)</t>
  </si>
  <si>
    <t>Ménages (transport)</t>
  </si>
  <si>
    <t>Households (housing)</t>
  </si>
  <si>
    <t>Households (transport)</t>
  </si>
  <si>
    <t>Consommation</t>
  </si>
  <si>
    <t>CI</t>
  </si>
  <si>
    <t>Y</t>
  </si>
  <si>
    <t>MAT</t>
  </si>
  <si>
    <t>Fuel</t>
  </si>
  <si>
    <t>Gas</t>
  </si>
  <si>
    <t>Electric</t>
  </si>
  <si>
    <t>Vehicles</t>
  </si>
  <si>
    <t>A</t>
  </si>
  <si>
    <t>B</t>
  </si>
  <si>
    <t>C</t>
  </si>
  <si>
    <t>D</t>
  </si>
  <si>
    <t>E</t>
  </si>
  <si>
    <t>F</t>
  </si>
  <si>
    <t>G</t>
  </si>
  <si>
    <t>Food</t>
  </si>
  <si>
    <t>Glass</t>
  </si>
  <si>
    <t>Chemicals</t>
  </si>
  <si>
    <t>Metal</t>
  </si>
  <si>
    <t>Road transport</t>
  </si>
  <si>
    <t>Air transport</t>
  </si>
  <si>
    <t>Other transport</t>
  </si>
  <si>
    <t>Other industry</t>
  </si>
  <si>
    <t>2020</t>
  </si>
  <si>
    <t>CF toe</t>
  </si>
  <si>
    <t>Carburant</t>
  </si>
  <si>
    <t>Autre</t>
  </si>
  <si>
    <t>Charbon</t>
  </si>
  <si>
    <t>Consommation énergétique</t>
  </si>
  <si>
    <t>Valeur ajoutée sectorielle</t>
  </si>
  <si>
    <t>VA graphique</t>
  </si>
  <si>
    <t>%deviation</t>
  </si>
  <si>
    <t>share evolution</t>
  </si>
  <si>
    <t>Production sectorielle</t>
  </si>
  <si>
    <t>Production graphique</t>
  </si>
  <si>
    <t>%share</t>
  </si>
  <si>
    <t>%deviation from baseline</t>
  </si>
  <si>
    <t>Employment</t>
  </si>
  <si>
    <t>deviation in thousands</t>
  </si>
  <si>
    <t>%deviation + contributions</t>
  </si>
  <si>
    <t>Vehicles stock by energy</t>
  </si>
  <si>
    <t>Vehicles stock by class</t>
  </si>
  <si>
    <t>Buildings by class</t>
  </si>
  <si>
    <t>Firms' CO2 emissions</t>
  </si>
  <si>
    <t>Final energy</t>
  </si>
  <si>
    <t>Primary energy</t>
  </si>
  <si>
    <t>%deviation + contribution</t>
  </si>
  <si>
    <t>AUTO_CA_0</t>
  </si>
  <si>
    <t>AUTO_CB_0</t>
  </si>
  <si>
    <t>AUTO_CC_0</t>
  </si>
  <si>
    <t>AUTO_CD_0</t>
  </si>
  <si>
    <t>AUTO_CE_0</t>
  </si>
  <si>
    <t>AUTO_CF_0</t>
  </si>
  <si>
    <t>AUTO_CG_0</t>
  </si>
  <si>
    <t>Households' consumption</t>
  </si>
  <si>
    <t>Firms' consumption</t>
  </si>
  <si>
    <t>Net production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</si>
</sst>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.0"/>
    <numFmt numFmtId="165" formatCode="0.0%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164" fontId="0" fillId="0" borderId="0" xfId="0" applyNumberFormat="1"/>
    <xf numFmtId="14" fontId="0" fillId="0" borderId="0" xfId="0" applyNumberFormat="1"/>
    <xf numFmtId="1" fontId="0" fillId="0" borderId="0" xfId="0" applyNumberFormat="1"/>
    <xf numFmtId="165" fontId="0" fillId="0" borderId="0" xfId="0" applyNumberFormat="1"/>
    <xf numFmtId="4" fontId="0" fillId="0" borderId="0" xfId="0" applyNumberFormat="1"/>
    <xf numFmtId="3" fontId="0" fillId="0" borderId="0" xfId="0" applyNumberFormat="1"/>
    <xf numFmtId="0" fontId="0" fillId="0" borderId="0" xfId="0" quotePrefix="1"/>
    <xf numFmtId="0" fontId="0" fillId="0" borderId="0" xfId="0" applyAlignment="1">
      <alignment horizontal="center" vertical="center"/>
    </xf>
    <xf numFmtId="9" fontId="0" fillId="0" borderId="0" xfId="0" applyNumberFormat="1"/>
    <xf numFmtId="165" fontId="0" fillId="0" borderId="0" xfId="0" quotePrefix="1" applyNumberFormat="1"/>
    <xf numFmtId="0" fontId="0" fillId="0" borderId="0" xfId="0" applyAlignment="1">
      <alignment vertical="center"/>
    </xf>
    <xf numFmtId="0" fontId="1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hartsheet" Target="chartsheets/sheet7.xml"/><Relationship Id="rId13" Type="http://schemas.openxmlformats.org/officeDocument/2006/relationships/chartsheet" Target="chartsheets/sheet12.xml"/><Relationship Id="rId18" Type="http://schemas.openxmlformats.org/officeDocument/2006/relationships/chartsheet" Target="chartsheets/sheet17.xml"/><Relationship Id="rId26" Type="http://schemas.openxmlformats.org/officeDocument/2006/relationships/sharedStrings" Target="sharedStrings.xml"/><Relationship Id="rId3" Type="http://schemas.openxmlformats.org/officeDocument/2006/relationships/chartsheet" Target="chartsheets/sheet2.xml"/><Relationship Id="rId21" Type="http://schemas.openxmlformats.org/officeDocument/2006/relationships/chartsheet" Target="chartsheets/sheet20.xml"/><Relationship Id="rId7" Type="http://schemas.openxmlformats.org/officeDocument/2006/relationships/chartsheet" Target="chartsheets/sheet6.xml"/><Relationship Id="rId12" Type="http://schemas.openxmlformats.org/officeDocument/2006/relationships/chartsheet" Target="chartsheets/sheet11.xml"/><Relationship Id="rId17" Type="http://schemas.openxmlformats.org/officeDocument/2006/relationships/chartsheet" Target="chartsheets/sheet16.xml"/><Relationship Id="rId25" Type="http://schemas.openxmlformats.org/officeDocument/2006/relationships/styles" Target="styles.xml"/><Relationship Id="rId2" Type="http://schemas.openxmlformats.org/officeDocument/2006/relationships/chartsheet" Target="chartsheets/sheet1.xml"/><Relationship Id="rId16" Type="http://schemas.openxmlformats.org/officeDocument/2006/relationships/chartsheet" Target="chartsheets/sheet15.xml"/><Relationship Id="rId20" Type="http://schemas.openxmlformats.org/officeDocument/2006/relationships/chartsheet" Target="chartsheets/sheet19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5.xml"/><Relationship Id="rId11" Type="http://schemas.openxmlformats.org/officeDocument/2006/relationships/chartsheet" Target="chartsheets/sheet10.xml"/><Relationship Id="rId24" Type="http://schemas.openxmlformats.org/officeDocument/2006/relationships/theme" Target="theme/theme1.xml"/><Relationship Id="rId5" Type="http://schemas.openxmlformats.org/officeDocument/2006/relationships/chartsheet" Target="chartsheets/sheet4.xml"/><Relationship Id="rId15" Type="http://schemas.openxmlformats.org/officeDocument/2006/relationships/chartsheet" Target="chartsheets/sheet14.xml"/><Relationship Id="rId23" Type="http://schemas.openxmlformats.org/officeDocument/2006/relationships/externalLink" Target="externalLinks/externalLink1.xml"/><Relationship Id="rId10" Type="http://schemas.openxmlformats.org/officeDocument/2006/relationships/chartsheet" Target="chartsheets/sheet9.xml"/><Relationship Id="rId19" Type="http://schemas.openxmlformats.org/officeDocument/2006/relationships/chartsheet" Target="chartsheets/sheet18.xml"/><Relationship Id="rId4" Type="http://schemas.openxmlformats.org/officeDocument/2006/relationships/chartsheet" Target="chartsheets/sheet3.xml"/><Relationship Id="rId9" Type="http://schemas.openxmlformats.org/officeDocument/2006/relationships/chartsheet" Target="chartsheets/sheet8.xml"/><Relationship Id="rId14" Type="http://schemas.openxmlformats.org/officeDocument/2006/relationships/chartsheet" Target="chartsheets/sheet13.xml"/><Relationship Id="rId22" Type="http://schemas.openxmlformats.org/officeDocument/2006/relationships/chartsheet" Target="chartsheets/sheet21.xml"/><Relationship Id="rId27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1.xml"/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Impact</a:t>
            </a:r>
            <a:r>
              <a:rPr lang="fr-FR" sz="2400" baseline="0"/>
              <a:t> on GDP - </a:t>
            </a:r>
            <a:r>
              <a:rPr lang="fr-FR" sz="2400" b="1" u="sng" baseline="0"/>
              <a:t>Physical damages of a 3°C Scenario </a:t>
            </a:r>
            <a:r>
              <a:rPr lang="fr-FR" sz="1600" baseline="0"/>
              <a:t>(% deviation from status quo)</a:t>
            </a:r>
            <a:endParaRPr lang="fr-FR" sz="1600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5947418400168892E-2"/>
          <c:y val="0.1493210735688186"/>
          <c:w val="0.91901351933111586"/>
          <c:h val="0.67157921974535428"/>
        </c:manualLayout>
      </c:layout>
      <c:barChart>
        <c:barDir val="col"/>
        <c:grouping val="stacked"/>
        <c:varyColors val="0"/>
        <c:ser>
          <c:idx val="2"/>
          <c:order val="2"/>
          <c:tx>
            <c:strRef>
              <c:f>Données!$B$7</c:f>
              <c:strCache>
                <c:ptCount val="1"/>
                <c:pt idx="0">
                  <c:v>Consumption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Données!$C$4:$BF$4</c:f>
              <c:numCache>
                <c:formatCode>m/d/yyyy</c:formatCode>
                <c:ptCount val="5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</c:numCache>
            </c:numRef>
          </c:cat>
          <c:val>
            <c:numRef>
              <c:f>Données!$C$7:$BF$7</c:f>
              <c:numCache>
                <c:formatCode>#\ ##0.0</c:formatCode>
                <c:ptCount val="56"/>
                <c:pt idx="0">
                  <c:v>-0.26084051361275862</c:v>
                </c:pt>
                <c:pt idx="1">
                  <c:v>-0.56986654690874505</c:v>
                </c:pt>
                <c:pt idx="2">
                  <c:v>-0.85535180629911833</c:v>
                </c:pt>
                <c:pt idx="3">
                  <c:v>-1.1010415435942271</c:v>
                </c:pt>
                <c:pt idx="4">
                  <c:v>-1.3077706265025109</c:v>
                </c:pt>
                <c:pt idx="5">
                  <c:v>-1.4808348172615882</c:v>
                </c:pt>
                <c:pt idx="6">
                  <c:v>-1.6270032227517983</c:v>
                </c:pt>
                <c:pt idx="7">
                  <c:v>-1.7506739022224129</c:v>
                </c:pt>
                <c:pt idx="8">
                  <c:v>-1.856221762569048</c:v>
                </c:pt>
                <c:pt idx="9">
                  <c:v>-1.9474083846869799</c:v>
                </c:pt>
                <c:pt idx="10">
                  <c:v>-2.0422783141977896</c:v>
                </c:pt>
                <c:pt idx="11">
                  <c:v>-2.1227808240604373</c:v>
                </c:pt>
                <c:pt idx="12">
                  <c:v>-2.1829428978910967</c:v>
                </c:pt>
                <c:pt idx="13">
                  <c:v>-2.2238482021034591</c:v>
                </c:pt>
                <c:pt idx="14">
                  <c:v>-2.2482338369962251</c:v>
                </c:pt>
                <c:pt idx="15">
                  <c:v>-2.2592596570673265</c:v>
                </c:pt>
                <c:pt idx="16">
                  <c:v>-2.2610197524325812</c:v>
                </c:pt>
                <c:pt idx="17">
                  <c:v>-2.2565153824835931</c:v>
                </c:pt>
                <c:pt idx="18">
                  <c:v>-2.2481370449722631</c:v>
                </c:pt>
                <c:pt idx="19">
                  <c:v>-2.2378459791117549</c:v>
                </c:pt>
                <c:pt idx="20">
                  <c:v>-2.2279453916319967</c:v>
                </c:pt>
                <c:pt idx="21">
                  <c:v>-2.217764918075809</c:v>
                </c:pt>
                <c:pt idx="22">
                  <c:v>-2.2094213088036239</c:v>
                </c:pt>
                <c:pt idx="23">
                  <c:v>-2.2036419992038971</c:v>
                </c:pt>
                <c:pt idx="24">
                  <c:v>-2.2008803701924382</c:v>
                </c:pt>
                <c:pt idx="25">
                  <c:v>-2.2032338554309039</c:v>
                </c:pt>
                <c:pt idx="26">
                  <c:v>-2.2062323165924851</c:v>
                </c:pt>
                <c:pt idx="27">
                  <c:v>-2.2115352268055983</c:v>
                </c:pt>
                <c:pt idx="28">
                  <c:v>-2.2193841977120234</c:v>
                </c:pt>
                <c:pt idx="29">
                  <c:v>-2.2299171803824134</c:v>
                </c:pt>
                <c:pt idx="30">
                  <c:v>-2.243141443758744</c:v>
                </c:pt>
                <c:pt idx="31">
                  <c:v>-2.2587346826782104</c:v>
                </c:pt>
                <c:pt idx="32">
                  <c:v>-2.2765400250558145</c:v>
                </c:pt>
                <c:pt idx="33">
                  <c:v>-2.2964355593146908</c:v>
                </c:pt>
                <c:pt idx="34">
                  <c:v>-2.3182869371577293</c:v>
                </c:pt>
                <c:pt idx="35">
                  <c:v>-2.3419425011084631</c:v>
                </c:pt>
                <c:pt idx="36">
                  <c:v>-2.365575008311211</c:v>
                </c:pt>
                <c:pt idx="37">
                  <c:v>-2.3882937084663567</c:v>
                </c:pt>
                <c:pt idx="38">
                  <c:v>-2.4105032417867553</c:v>
                </c:pt>
                <c:pt idx="39">
                  <c:v>-2.432662208873114</c:v>
                </c:pt>
                <c:pt idx="40">
                  <c:v>-2.4551016549178271</c:v>
                </c:pt>
                <c:pt idx="41">
                  <c:v>-2.4776972547052969</c:v>
                </c:pt>
                <c:pt idx="42">
                  <c:v>-2.500567477422865</c:v>
                </c:pt>
                <c:pt idx="43">
                  <c:v>-2.523883809162236</c:v>
                </c:pt>
                <c:pt idx="44">
                  <c:v>-2.5477973993989123</c:v>
                </c:pt>
                <c:pt idx="45">
                  <c:v>-2.5724247330777339</c:v>
                </c:pt>
                <c:pt idx="46">
                  <c:v>-2.5967203869770881</c:v>
                </c:pt>
                <c:pt idx="47">
                  <c:v>-2.6208059576648419</c:v>
                </c:pt>
                <c:pt idx="48">
                  <c:v>-2.6450429433361533</c:v>
                </c:pt>
                <c:pt idx="49">
                  <c:v>-2.6697551253873284</c:v>
                </c:pt>
                <c:pt idx="50">
                  <c:v>-2.6951516976946661</c:v>
                </c:pt>
                <c:pt idx="51">
                  <c:v>2.4627260846567238E-2</c:v>
                </c:pt>
                <c:pt idx="52">
                  <c:v>2.6598171712759654E-2</c:v>
                </c:pt>
                <c:pt idx="53">
                  <c:v>2.8484324639781216E-2</c:v>
                </c:pt>
                <c:pt idx="54">
                  <c:v>3.0234981441569546E-2</c:v>
                </c:pt>
                <c:pt idx="55">
                  <c:v>3.1819722090826522E-2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4DF-4FA2-B0C9-EB7B6F86A366}"/>
            </c:ext>
          </c:extLst>
        </c:ser>
        <c:ser>
          <c:idx val="5"/>
          <c:order val="5"/>
          <c:tx>
            <c:strRef>
              <c:f>Données!$B$10</c:f>
              <c:strCache>
                <c:ptCount val="1"/>
                <c:pt idx="0">
                  <c:v>Investment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Données!$C$4:$BF$4</c:f>
              <c:numCache>
                <c:formatCode>m/d/yyyy</c:formatCode>
                <c:ptCount val="5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</c:numCache>
            </c:numRef>
          </c:cat>
          <c:val>
            <c:numRef>
              <c:f>Données!$C$10:$BF$10</c:f>
              <c:numCache>
                <c:formatCode>#\ ##0.0</c:formatCode>
                <c:ptCount val="56"/>
                <c:pt idx="0">
                  <c:v>-0.20720769836062941</c:v>
                </c:pt>
                <c:pt idx="1">
                  <c:v>-0.34975774694658385</c:v>
                </c:pt>
                <c:pt idx="2">
                  <c:v>-0.45567748225170496</c:v>
                </c:pt>
                <c:pt idx="3">
                  <c:v>-0.54323470445198629</c:v>
                </c:pt>
                <c:pt idx="4">
                  <c:v>-0.62139902432301153</c:v>
                </c:pt>
                <c:pt idx="5">
                  <c:v>-0.69469958891119155</c:v>
                </c:pt>
                <c:pt idx="6">
                  <c:v>-0.76598034574279872</c:v>
                </c:pt>
                <c:pt idx="7">
                  <c:v>-0.83603609047494776</c:v>
                </c:pt>
                <c:pt idx="8">
                  <c:v>-0.90539543848295378</c:v>
                </c:pt>
                <c:pt idx="9">
                  <c:v>-0.97433643723151309</c:v>
                </c:pt>
                <c:pt idx="10">
                  <c:v>-1.056704165432385</c:v>
                </c:pt>
                <c:pt idx="11">
                  <c:v>-1.1247289715919171</c:v>
                </c:pt>
                <c:pt idx="12">
                  <c:v>-1.1844958939778991</c:v>
                </c:pt>
                <c:pt idx="13">
                  <c:v>-1.2397864182881038</c:v>
                </c:pt>
                <c:pt idx="14">
                  <c:v>-1.2922338537059626</c:v>
                </c:pt>
                <c:pt idx="15">
                  <c:v>-1.3425152740808974</c:v>
                </c:pt>
                <c:pt idx="16">
                  <c:v>-1.3915905760590102</c:v>
                </c:pt>
                <c:pt idx="17">
                  <c:v>-1.439382464778032</c:v>
                </c:pt>
                <c:pt idx="18">
                  <c:v>-1.4858517492713768</c:v>
                </c:pt>
                <c:pt idx="19">
                  <c:v>-1.5309944427713542</c:v>
                </c:pt>
                <c:pt idx="20">
                  <c:v>-1.5753163852542686</c:v>
                </c:pt>
                <c:pt idx="21">
                  <c:v>-1.6176674266682081</c:v>
                </c:pt>
                <c:pt idx="22">
                  <c:v>-1.6587325838919365</c:v>
                </c:pt>
                <c:pt idx="23">
                  <c:v>-1.6984840421365215</c:v>
                </c:pt>
                <c:pt idx="24">
                  <c:v>-1.7369054940588644</c:v>
                </c:pt>
                <c:pt idx="25">
                  <c:v>-1.7754662742539971</c:v>
                </c:pt>
                <c:pt idx="26">
                  <c:v>-1.8110815589888145</c:v>
                </c:pt>
                <c:pt idx="27">
                  <c:v>-1.8449566410766833</c:v>
                </c:pt>
                <c:pt idx="28">
                  <c:v>-1.8770932353679117</c:v>
                </c:pt>
                <c:pt idx="29">
                  <c:v>-1.9075103686820365</c:v>
                </c:pt>
                <c:pt idx="30">
                  <c:v>-1.9362340137388641</c:v>
                </c:pt>
                <c:pt idx="31">
                  <c:v>-1.9631286075313708</c:v>
                </c:pt>
                <c:pt idx="32">
                  <c:v>-1.9882791098915256</c:v>
                </c:pt>
                <c:pt idx="33">
                  <c:v>-2.0117595559710346</c:v>
                </c:pt>
                <c:pt idx="34">
                  <c:v>-2.0336398060792513</c:v>
                </c:pt>
                <c:pt idx="35">
                  <c:v>-2.053990237591711</c:v>
                </c:pt>
                <c:pt idx="36">
                  <c:v>-2.0717644705002374</c:v>
                </c:pt>
                <c:pt idx="37">
                  <c:v>-2.0870275780305314</c:v>
                </c:pt>
                <c:pt idx="38">
                  <c:v>-2.1002023493702571</c:v>
                </c:pt>
                <c:pt idx="39">
                  <c:v>-2.1115936081285489</c:v>
                </c:pt>
                <c:pt idx="40">
                  <c:v>-2.1214390053444814</c:v>
                </c:pt>
                <c:pt idx="41">
                  <c:v>-2.1296918774897895</c:v>
                </c:pt>
                <c:pt idx="42">
                  <c:v>-2.1365814928239235</c:v>
                </c:pt>
                <c:pt idx="43">
                  <c:v>-2.1422962373718235</c:v>
                </c:pt>
                <c:pt idx="44">
                  <c:v>-2.1469987775805306</c:v>
                </c:pt>
                <c:pt idx="45">
                  <c:v>-2.1508363900945753</c:v>
                </c:pt>
                <c:pt idx="46">
                  <c:v>-2.1531193604149159</c:v>
                </c:pt>
                <c:pt idx="47">
                  <c:v>-2.1542591609890271</c:v>
                </c:pt>
                <c:pt idx="48">
                  <c:v>-2.1545534434144331</c:v>
                </c:pt>
                <c:pt idx="49">
                  <c:v>-2.1542386781009903</c:v>
                </c:pt>
                <c:pt idx="50">
                  <c:v>-2.1535062417026385</c:v>
                </c:pt>
                <c:pt idx="51">
                  <c:v>-4.521236430945175E-3</c:v>
                </c:pt>
                <c:pt idx="52">
                  <c:v>7.2949558812879342E-4</c:v>
                </c:pt>
                <c:pt idx="53">
                  <c:v>6.3874356486643144E-3</c:v>
                </c:pt>
                <c:pt idx="54">
                  <c:v>1.2419202628000638E-2</c:v>
                </c:pt>
                <c:pt idx="55">
                  <c:v>1.8789179124359609E-2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4DF-4FA2-B0C9-EB7B6F86A366}"/>
            </c:ext>
          </c:extLst>
        </c:ser>
        <c:ser>
          <c:idx val="7"/>
          <c:order val="7"/>
          <c:tx>
            <c:strRef>
              <c:f>Données!$B$12</c:f>
              <c:strCache>
                <c:ptCount val="1"/>
                <c:pt idx="0">
                  <c:v>Net exports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Données!$C$4:$BF$4</c:f>
              <c:numCache>
                <c:formatCode>m/d/yyyy</c:formatCode>
                <c:ptCount val="5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</c:numCache>
            </c:numRef>
          </c:cat>
          <c:val>
            <c:numRef>
              <c:f>Données!$C$12:$BF$12</c:f>
              <c:numCache>
                <c:formatCode>#\ ##0.0</c:formatCode>
                <c:ptCount val="56"/>
                <c:pt idx="0">
                  <c:v>-0.91255396321157756</c:v>
                </c:pt>
                <c:pt idx="1">
                  <c:v>-0.82842433930079273</c:v>
                </c:pt>
                <c:pt idx="2">
                  <c:v>-0.77813688085920707</c:v>
                </c:pt>
                <c:pt idx="3">
                  <c:v>-0.74030304270378444</c:v>
                </c:pt>
                <c:pt idx="4">
                  <c:v>-0.71191068565072557</c:v>
                </c:pt>
                <c:pt idx="5">
                  <c:v>-0.69190747112889084</c:v>
                </c:pt>
                <c:pt idx="6">
                  <c:v>-0.68022134217879859</c:v>
                </c:pt>
                <c:pt idx="7">
                  <c:v>-0.67533967600157818</c:v>
                </c:pt>
                <c:pt idx="8">
                  <c:v>-0.67662762538387211</c:v>
                </c:pt>
                <c:pt idx="9">
                  <c:v>-0.68356435578025887</c:v>
                </c:pt>
                <c:pt idx="10">
                  <c:v>-0.76155081625124699</c:v>
                </c:pt>
                <c:pt idx="11">
                  <c:v>-0.72548337544394204</c:v>
                </c:pt>
                <c:pt idx="12">
                  <c:v>-0.70562580499412442</c:v>
                </c:pt>
                <c:pt idx="13">
                  <c:v>-0.6976496678331563</c:v>
                </c:pt>
                <c:pt idx="14">
                  <c:v>-0.70012135974598166</c:v>
                </c:pt>
                <c:pt idx="15">
                  <c:v>-0.7119786538875732</c:v>
                </c:pt>
                <c:pt idx="16">
                  <c:v>-0.73519927211288927</c:v>
                </c:pt>
                <c:pt idx="17">
                  <c:v>-0.76520845443353736</c:v>
                </c:pt>
                <c:pt idx="18">
                  <c:v>-0.80111977810716972</c:v>
                </c:pt>
                <c:pt idx="19">
                  <c:v>-0.84200894468374088</c:v>
                </c:pt>
                <c:pt idx="20">
                  <c:v>-0.88601203290618025</c:v>
                </c:pt>
                <c:pt idx="21">
                  <c:v>-0.93477770196652132</c:v>
                </c:pt>
                <c:pt idx="22">
                  <c:v>-0.98596118078897144</c:v>
                </c:pt>
                <c:pt idx="23">
                  <c:v>-1.0389641656587449</c:v>
                </c:pt>
                <c:pt idx="24">
                  <c:v>-1.0932294444328301</c:v>
                </c:pt>
                <c:pt idx="25">
                  <c:v>-1.1453633175416118</c:v>
                </c:pt>
                <c:pt idx="26">
                  <c:v>-1.1996936223461909</c:v>
                </c:pt>
                <c:pt idx="27">
                  <c:v>-1.254706916103447</c:v>
                </c:pt>
                <c:pt idx="28">
                  <c:v>-1.310019721568255</c:v>
                </c:pt>
                <c:pt idx="29">
                  <c:v>-1.3653153752856091</c:v>
                </c:pt>
                <c:pt idx="30">
                  <c:v>-1.4203589266595644</c:v>
                </c:pt>
                <c:pt idx="31">
                  <c:v>-1.4742655562229601</c:v>
                </c:pt>
                <c:pt idx="32">
                  <c:v>-1.5277510247998092</c:v>
                </c:pt>
                <c:pt idx="33">
                  <c:v>-1.58071105308021</c:v>
                </c:pt>
                <c:pt idx="34">
                  <c:v>-1.6331006687140834</c:v>
                </c:pt>
                <c:pt idx="35">
                  <c:v>-1.6849112375189121</c:v>
                </c:pt>
                <c:pt idx="36">
                  <c:v>-1.7290667041026904</c:v>
                </c:pt>
                <c:pt idx="37">
                  <c:v>-1.7740510617559466</c:v>
                </c:pt>
                <c:pt idx="38">
                  <c:v>-1.8194179684081004</c:v>
                </c:pt>
                <c:pt idx="39">
                  <c:v>-1.8649911528153051</c:v>
                </c:pt>
                <c:pt idx="40">
                  <c:v>-1.9106870281884061</c:v>
                </c:pt>
                <c:pt idx="41">
                  <c:v>-1.9554460844778627</c:v>
                </c:pt>
                <c:pt idx="42">
                  <c:v>-2.0003985834340172</c:v>
                </c:pt>
                <c:pt idx="43">
                  <c:v>-2.0454653609366327</c:v>
                </c:pt>
                <c:pt idx="44">
                  <c:v>-2.0906009614281338</c:v>
                </c:pt>
                <c:pt idx="45">
                  <c:v>-2.1357685968379521</c:v>
                </c:pt>
                <c:pt idx="46">
                  <c:v>-2.1775690047726166</c:v>
                </c:pt>
                <c:pt idx="47">
                  <c:v>-2.2197264932485905</c:v>
                </c:pt>
                <c:pt idx="48">
                  <c:v>-2.2620146062032211</c:v>
                </c:pt>
                <c:pt idx="49">
                  <c:v>-2.3043080399575824</c:v>
                </c:pt>
                <c:pt idx="50">
                  <c:v>-2.3465300093050678</c:v>
                </c:pt>
                <c:pt idx="51">
                  <c:v>-0.19320109391079338</c:v>
                </c:pt>
                <c:pt idx="52">
                  <c:v>-0.20237502709255517</c:v>
                </c:pt>
                <c:pt idx="53">
                  <c:v>-0.21158891458899307</c:v>
                </c:pt>
                <c:pt idx="54">
                  <c:v>-0.22082829874555396</c:v>
                </c:pt>
                <c:pt idx="55">
                  <c:v>-0.23008438738529277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4DF-4FA2-B0C9-EB7B6F86A3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98260000"/>
        <c:axId val="698260984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Données!$B$6</c15:sqref>
                        </c15:formulaRef>
                      </c:ext>
                    </c:extLst>
                    <c:strCache>
                      <c:ptCount val="1"/>
                      <c:pt idx="0">
                        <c:v>VA du secteur marchand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Données!$C$4:$BF$4</c15:sqref>
                        </c15:formulaRef>
                      </c:ext>
                    </c:extLst>
                    <c:numCache>
                      <c:formatCode>m/d/yyyy</c:formatCode>
                      <c:ptCount val="5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Données!$C$6:$BF$6</c15:sqref>
                        </c15:formulaRef>
                      </c:ext>
                    </c:extLst>
                    <c:numCache>
                      <c:formatCode>#\ ##0.0</c:formatCode>
                      <c:ptCount val="56"/>
                      <c:pt idx="0">
                        <c:v>-1.7289580780226022</c:v>
                      </c:pt>
                      <c:pt idx="1">
                        <c:v>-2.1327121367738844</c:v>
                      </c:pt>
                      <c:pt idx="2">
                        <c:v>-2.5154357591840593</c:v>
                      </c:pt>
                      <c:pt idx="3">
                        <c:v>-2.8478509097257354</c:v>
                      </c:pt>
                      <c:pt idx="4">
                        <c:v>-3.1376248570160747</c:v>
                      </c:pt>
                      <c:pt idx="5">
                        <c:v>-3.3948313604399982</c:v>
                      </c:pt>
                      <c:pt idx="6">
                        <c:v>-3.6303249428897288</c:v>
                      </c:pt>
                      <c:pt idx="7">
                        <c:v>-3.848165286735572</c:v>
                      </c:pt>
                      <c:pt idx="8">
                        <c:v>-4.0530379633150204</c:v>
                      </c:pt>
                      <c:pt idx="9">
                        <c:v>-4.2487671080824407</c:v>
                      </c:pt>
                      <c:pt idx="10">
                        <c:v>-4.5574485297263152</c:v>
                      </c:pt>
                      <c:pt idx="11">
                        <c:v>-4.6837028241965335</c:v>
                      </c:pt>
                      <c:pt idx="12">
                        <c:v>-4.7993751030252385</c:v>
                      </c:pt>
                      <c:pt idx="13">
                        <c:v>-4.9038139263515301</c:v>
                      </c:pt>
                      <c:pt idx="14">
                        <c:v>-5.0000864824296221</c:v>
                      </c:pt>
                      <c:pt idx="15">
                        <c:v>-5.0911169279335367</c:v>
                      </c:pt>
                      <c:pt idx="16">
                        <c:v>-5.1852272012558593</c:v>
                      </c:pt>
                      <c:pt idx="17">
                        <c:v>-5.2796121868738721</c:v>
                      </c:pt>
                      <c:pt idx="18">
                        <c:v>-5.3757150201156678</c:v>
                      </c:pt>
                      <c:pt idx="19">
                        <c:v>-5.4744849437697969</c:v>
                      </c:pt>
                      <c:pt idx="20">
                        <c:v>-5.5764817647154015</c:v>
                      </c:pt>
                      <c:pt idx="21">
                        <c:v>-5.6821245158808598</c:v>
                      </c:pt>
                      <c:pt idx="22">
                        <c:v>-5.7912371277814128</c:v>
                      </c:pt>
                      <c:pt idx="23">
                        <c:v>-5.9038304422447947</c:v>
                      </c:pt>
                      <c:pt idx="24">
                        <c:v>-6.0196616431063443</c:v>
                      </c:pt>
                      <c:pt idx="25">
                        <c:v>-6.1379223519360426</c:v>
                      </c:pt>
                      <c:pt idx="26">
                        <c:v>-6.2565471760378299</c:v>
                      </c:pt>
                      <c:pt idx="27">
                        <c:v>-6.3763813296935261</c:v>
                      </c:pt>
                      <c:pt idx="28">
                        <c:v>-6.4972115262962316</c:v>
                      </c:pt>
                      <c:pt idx="29">
                        <c:v>-6.6188011006556025</c:v>
                      </c:pt>
                      <c:pt idx="30">
                        <c:v>-6.7408841882241166</c:v>
                      </c:pt>
                      <c:pt idx="31">
                        <c:v>-6.8617754912128071</c:v>
                      </c:pt>
                      <c:pt idx="32">
                        <c:v>-6.9823551224675651</c:v>
                      </c:pt>
                      <c:pt idx="33">
                        <c:v>-7.1024474215318651</c:v>
                      </c:pt>
                      <c:pt idx="34">
                        <c:v>-7.221940717503772</c:v>
                      </c:pt>
                      <c:pt idx="35">
                        <c:v>-7.3407539022667496</c:v>
                      </c:pt>
                      <c:pt idx="36">
                        <c:v>-7.4461443702983132</c:v>
                      </c:pt>
                      <c:pt idx="37">
                        <c:v>-7.5485748789418388</c:v>
                      </c:pt>
                      <c:pt idx="38">
                        <c:v>-7.6483881184838731</c:v>
                      </c:pt>
                      <c:pt idx="39">
                        <c:v>-7.7462436421412706</c:v>
                      </c:pt>
                      <c:pt idx="40">
                        <c:v>-7.8426992115223193</c:v>
                      </c:pt>
                      <c:pt idx="41">
                        <c:v>-7.9361704898806895</c:v>
                      </c:pt>
                      <c:pt idx="42">
                        <c:v>-8.0285613576037136</c:v>
                      </c:pt>
                      <c:pt idx="43">
                        <c:v>-8.1201884281905894</c:v>
                      </c:pt>
                      <c:pt idx="44">
                        <c:v>-8.2113635882205323</c:v>
                      </c:pt>
                      <c:pt idx="45">
                        <c:v>-8.3023541832075942</c:v>
                      </c:pt>
                      <c:pt idx="46">
                        <c:v>-8.3867004684735953</c:v>
                      </c:pt>
                      <c:pt idx="47">
                        <c:v>-8.4699262073786308</c:v>
                      </c:pt>
                      <c:pt idx="48">
                        <c:v>-8.5524997136118728</c:v>
                      </c:pt>
                      <c:pt idx="49">
                        <c:v>-8.6349052827492283</c:v>
                      </c:pt>
                      <c:pt idx="50">
                        <c:v>-8.7175100997931469</c:v>
                      </c:pt>
                      <c:pt idx="51">
                        <c:v>-0.23572931163051702</c:v>
                      </c:pt>
                      <c:pt idx="52">
                        <c:v>-0.23913277799035848</c:v>
                      </c:pt>
                      <c:pt idx="53">
                        <c:v>-0.24217281316902817</c:v>
                      </c:pt>
                      <c:pt idx="54">
                        <c:v>-0.24492995704027409</c:v>
                      </c:pt>
                      <c:pt idx="55">
                        <c:v>-0.24747210843392153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64DF-4FA2-B0C9-EB7B6F86A366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Données!$B$8</c15:sqref>
                        </c15:formulaRef>
                      </c:ext>
                    </c:extLst>
                    <c:strCache>
                      <c:ptCount val="1"/>
                      <c:pt idx="0">
                        <c:v>Consommation des ménages automobile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Données!$C$4:$BF$4</c15:sqref>
                        </c15:formulaRef>
                      </c:ext>
                    </c:extLst>
                    <c:numCache>
                      <c:formatCode>m/d/yyyy</c:formatCode>
                      <c:ptCount val="5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Données!$C$8:$BF$8</c15:sqref>
                        </c15:formulaRef>
                      </c:ext>
                    </c:extLst>
                    <c:numCache>
                      <c:formatCode>#\ ##0.0</c:formatCode>
                      <c:ptCount val="56"/>
                      <c:pt idx="0">
                        <c:v>-2.246902256306718E-4</c:v>
                      </c:pt>
                      <c:pt idx="1">
                        <c:v>-2.0313643083955116E-2</c:v>
                      </c:pt>
                      <c:pt idx="2">
                        <c:v>-4.3962160632031046E-2</c:v>
                      </c:pt>
                      <c:pt idx="3">
                        <c:v>-6.3559479076297346E-2</c:v>
                      </c:pt>
                      <c:pt idx="4">
                        <c:v>-7.7337656280045131E-2</c:v>
                      </c:pt>
                      <c:pt idx="5">
                        <c:v>-8.5887527134391142E-2</c:v>
                      </c:pt>
                      <c:pt idx="6">
                        <c:v>-9.0600147337455972E-2</c:v>
                      </c:pt>
                      <c:pt idx="7">
                        <c:v>-9.2715750863766128E-2</c:v>
                      </c:pt>
                      <c:pt idx="8">
                        <c:v>-9.3251667513658223E-2</c:v>
                      </c:pt>
                      <c:pt idx="9">
                        <c:v>-9.292576363281066E-2</c:v>
                      </c:pt>
                      <c:pt idx="10">
                        <c:v>-9.4073317533274622E-2</c:v>
                      </c:pt>
                      <c:pt idx="11">
                        <c:v>-9.3713840578852833E-2</c:v>
                      </c:pt>
                      <c:pt idx="12">
                        <c:v>-9.1696813659736712E-2</c:v>
                      </c:pt>
                      <c:pt idx="13">
                        <c:v>-8.8502864386049707E-2</c:v>
                      </c:pt>
                      <c:pt idx="14">
                        <c:v>-8.4602375517199041E-2</c:v>
                      </c:pt>
                      <c:pt idx="15">
                        <c:v>-8.0375595840023809E-2</c:v>
                      </c:pt>
                      <c:pt idx="16">
                        <c:v>-7.6198611804836336E-2</c:v>
                      </c:pt>
                      <c:pt idx="17">
                        <c:v>-7.2273085331644518E-2</c:v>
                      </c:pt>
                      <c:pt idx="18">
                        <c:v>-6.8702786653007775E-2</c:v>
                      </c:pt>
                      <c:pt idx="19">
                        <c:v>-6.5541541236898981E-2</c:v>
                      </c:pt>
                      <c:pt idx="20">
                        <c:v>-6.2822437667118813E-2</c:v>
                      </c:pt>
                      <c:pt idx="21">
                        <c:v>-6.0483452983500101E-2</c:v>
                      </c:pt>
                      <c:pt idx="22">
                        <c:v>-5.8551193893869508E-2</c:v>
                      </c:pt>
                      <c:pt idx="23">
                        <c:v>-5.6994691706826986E-2</c:v>
                      </c:pt>
                      <c:pt idx="24">
                        <c:v>-5.5771542339132694E-2</c:v>
                      </c:pt>
                      <c:pt idx="25">
                        <c:v>-5.4870964968379544E-2</c:v>
                      </c:pt>
                      <c:pt idx="26">
                        <c:v>-5.4086223258403461E-2</c:v>
                      </c:pt>
                      <c:pt idx="27">
                        <c:v>-5.3464892376374612E-2</c:v>
                      </c:pt>
                      <c:pt idx="28">
                        <c:v>-5.3011513077419352E-2</c:v>
                      </c:pt>
                      <c:pt idx="29">
                        <c:v>-5.2712224342529215E-2</c:v>
                      </c:pt>
                      <c:pt idx="30">
                        <c:v>-5.2541028126644157E-2</c:v>
                      </c:pt>
                      <c:pt idx="31">
                        <c:v>-5.2449674311959751E-2</c:v>
                      </c:pt>
                      <c:pt idx="32">
                        <c:v>-5.2413171044165846E-2</c:v>
                      </c:pt>
                      <c:pt idx="33">
                        <c:v>-5.2415661880932822E-2</c:v>
                      </c:pt>
                      <c:pt idx="34">
                        <c:v>-5.2441508842183127E-2</c:v>
                      </c:pt>
                      <c:pt idx="35">
                        <c:v>-5.2474773265788248E-2</c:v>
                      </c:pt>
                      <c:pt idx="36">
                        <c:v>-5.2349863944310064E-2</c:v>
                      </c:pt>
                      <c:pt idx="37">
                        <c:v>-5.2060653329629836E-2</c:v>
                      </c:pt>
                      <c:pt idx="38">
                        <c:v>-5.1681512363426427E-2</c:v>
                      </c:pt>
                      <c:pt idx="39">
                        <c:v>-5.1260413694624314E-2</c:v>
                      </c:pt>
                      <c:pt idx="40">
                        <c:v>-5.0812991500870805E-2</c:v>
                      </c:pt>
                      <c:pt idx="41">
                        <c:v>-5.0312866410764143E-2</c:v>
                      </c:pt>
                      <c:pt idx="42">
                        <c:v>-4.9757542721447091E-2</c:v>
                      </c:pt>
                      <c:pt idx="43">
                        <c:v>-4.9152953504381813E-2</c:v>
                      </c:pt>
                      <c:pt idx="44">
                        <c:v>-4.8502043375904226E-2</c:v>
                      </c:pt>
                      <c:pt idx="45">
                        <c:v>-4.7804063918067206E-2</c:v>
                      </c:pt>
                      <c:pt idx="46">
                        <c:v>-4.6976737681631124E-2</c:v>
                      </c:pt>
                      <c:pt idx="47">
                        <c:v>-4.6034514960923693E-2</c:v>
                      </c:pt>
                      <c:pt idx="48">
                        <c:v>-4.5014782661684273E-2</c:v>
                      </c:pt>
                      <c:pt idx="49">
                        <c:v>-4.3935767884013273E-2</c:v>
                      </c:pt>
                      <c:pt idx="50">
                        <c:v>-4.2797247730576735E-2</c:v>
                      </c:pt>
                      <c:pt idx="51">
                        <c:v>6.2562576488679683E-3</c:v>
                      </c:pt>
                      <c:pt idx="52">
                        <c:v>6.4977563843595931E-3</c:v>
                      </c:pt>
                      <c:pt idx="53">
                        <c:v>6.7405093711651069E-3</c:v>
                      </c:pt>
                      <c:pt idx="54">
                        <c:v>6.9831096687923509E-3</c:v>
                      </c:pt>
                      <c:pt idx="55">
                        <c:v>7.2267607524996134E-3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64DF-4FA2-B0C9-EB7B6F86A366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Données!$B$9</c15:sqref>
                        </c15:formulaRef>
                      </c:ext>
                    </c:extLst>
                    <c:strCache>
                      <c:ptCount val="1"/>
                      <c:pt idx="0">
                        <c:v>Dépenses publiques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Données!$C$4:$BF$4</c15:sqref>
                        </c15:formulaRef>
                      </c:ext>
                    </c:extLst>
                    <c:numCache>
                      <c:formatCode>m/d/yyyy</c:formatCode>
                      <c:ptCount val="5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Données!$C$9:$BF$9</c15:sqref>
                        </c15:formulaRef>
                      </c:ext>
                    </c:extLst>
                    <c:numCache>
                      <c:formatCode>#\ ##0.0</c:formatCode>
                      <c:ptCount val="5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4DF-4FA2-B0C9-EB7B6F86A366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Données!$B$11</c15:sqref>
                        </c15:formulaRef>
                      </c:ext>
                    </c:extLst>
                    <c:strCache>
                      <c:ptCount val="1"/>
                      <c:pt idx="0">
                        <c:v>Variations de stocks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Données!$C$4:$BF$4</c15:sqref>
                        </c15:formulaRef>
                      </c:ext>
                    </c:extLst>
                    <c:numCache>
                      <c:formatCode>m/d/yyyy</c:formatCode>
                      <c:ptCount val="5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Données!$C$11:$BF$11</c15:sqref>
                        </c15:formulaRef>
                      </c:ext>
                    </c:extLst>
                    <c:numCache>
                      <c:formatCode>#\ ##0.0</c:formatCode>
                      <c:ptCount val="5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64DF-4FA2-B0C9-EB7B6F86A366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0"/>
          <c:order val="0"/>
          <c:tx>
            <c:strRef>
              <c:f>Données!$B$5</c:f>
              <c:strCache>
                <c:ptCount val="1"/>
                <c:pt idx="0">
                  <c:v>GDP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Données!$C$4:$BF$4</c:f>
              <c:numCache>
                <c:formatCode>m/d/yyyy</c:formatCode>
                <c:ptCount val="5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</c:numCache>
            </c:numRef>
          </c:cat>
          <c:val>
            <c:numRef>
              <c:f>Données!$C$5:$BF$5</c:f>
              <c:numCache>
                <c:formatCode>#\ ##0.0</c:formatCode>
                <c:ptCount val="56"/>
                <c:pt idx="0">
                  <c:v>-1.3806021979057337</c:v>
                </c:pt>
                <c:pt idx="1">
                  <c:v>-1.7480486286687191</c:v>
                </c:pt>
                <c:pt idx="2">
                  <c:v>-2.0891661472786871</c:v>
                </c:pt>
                <c:pt idx="3">
                  <c:v>-2.3845793038393404</c:v>
                </c:pt>
                <c:pt idx="4">
                  <c:v>-2.641080340774693</c:v>
                </c:pt>
                <c:pt idx="5">
                  <c:v>-2.8674419026982645</c:v>
                </c:pt>
                <c:pt idx="6">
                  <c:v>-3.0732049106733994</c:v>
                </c:pt>
                <c:pt idx="7">
                  <c:v>-3.2620496645927366</c:v>
                </c:pt>
                <c:pt idx="8">
                  <c:v>-3.4382447698241725</c:v>
                </c:pt>
                <c:pt idx="9">
                  <c:v>-3.6053091816805383</c:v>
                </c:pt>
                <c:pt idx="10">
                  <c:v>-3.8605332841323614</c:v>
                </c:pt>
                <c:pt idx="11">
                  <c:v>-3.9729931402567087</c:v>
                </c:pt>
                <c:pt idx="12">
                  <c:v>-4.0730645930684206</c:v>
                </c:pt>
                <c:pt idx="13">
                  <c:v>-4.1612842658112159</c:v>
                </c:pt>
                <c:pt idx="14">
                  <c:v>-4.2405890614810922</c:v>
                </c:pt>
                <c:pt idx="15">
                  <c:v>-4.3137536103815766</c:v>
                </c:pt>
                <c:pt idx="16">
                  <c:v>-4.3878096041695898</c:v>
                </c:pt>
                <c:pt idx="17">
                  <c:v>-4.4611063157367408</c:v>
                </c:pt>
                <c:pt idx="18">
                  <c:v>-4.5351085377838496</c:v>
                </c:pt>
                <c:pt idx="19">
                  <c:v>-4.6108494006062202</c:v>
                </c:pt>
                <c:pt idx="20">
                  <c:v>-4.6892738198556883</c:v>
                </c:pt>
                <c:pt idx="21">
                  <c:v>-4.7702100401025511</c:v>
                </c:pt>
                <c:pt idx="22">
                  <c:v>-4.8541150572132157</c:v>
                </c:pt>
                <c:pt idx="23">
                  <c:v>-4.9410902134095718</c:v>
                </c:pt>
                <c:pt idx="24">
                  <c:v>-5.0310152897432463</c:v>
                </c:pt>
                <c:pt idx="25">
                  <c:v>-5.1240634534562846</c:v>
                </c:pt>
                <c:pt idx="26">
                  <c:v>-5.2170075163591401</c:v>
                </c:pt>
                <c:pt idx="27">
                  <c:v>-5.3111987688361122</c:v>
                </c:pt>
                <c:pt idx="28">
                  <c:v>-5.4064971725801936</c:v>
                </c:pt>
                <c:pt idx="29">
                  <c:v>-5.5027429449865277</c:v>
                </c:pt>
                <c:pt idx="30">
                  <c:v>-5.5997344016054162</c:v>
                </c:pt>
                <c:pt idx="31">
                  <c:v>-5.6961288349583583</c:v>
                </c:pt>
                <c:pt idx="32">
                  <c:v>-5.7925701399403451</c:v>
                </c:pt>
                <c:pt idx="33">
                  <c:v>-5.8889061572018235</c:v>
                </c:pt>
                <c:pt idx="34">
                  <c:v>-5.9850274064450755</c:v>
                </c:pt>
                <c:pt idx="35">
                  <c:v>-6.0808439463491348</c:v>
                </c:pt>
                <c:pt idx="36">
                  <c:v>-6.1664061587992425</c:v>
                </c:pt>
                <c:pt idx="37">
                  <c:v>-6.24937237998261</c:v>
                </c:pt>
                <c:pt idx="38">
                  <c:v>-6.3301235386888592</c:v>
                </c:pt>
                <c:pt idx="39">
                  <c:v>-6.4092469543638781</c:v>
                </c:pt>
                <c:pt idx="40">
                  <c:v>-6.487227670656404</c:v>
                </c:pt>
                <c:pt idx="41">
                  <c:v>-6.5628351790368082</c:v>
                </c:pt>
                <c:pt idx="42">
                  <c:v>-6.6375475313916299</c:v>
                </c:pt>
                <c:pt idx="43">
                  <c:v>-6.7116454172487572</c:v>
                </c:pt>
                <c:pt idx="44">
                  <c:v>-6.7853971166916498</c:v>
                </c:pt>
                <c:pt idx="45">
                  <c:v>-6.859029758116808</c:v>
                </c:pt>
                <c:pt idx="46">
                  <c:v>-6.9274087709707661</c:v>
                </c:pt>
                <c:pt idx="47">
                  <c:v>-6.9947916420658558</c:v>
                </c:pt>
                <c:pt idx="48">
                  <c:v>-7.0616110227255451</c:v>
                </c:pt>
                <c:pt idx="49">
                  <c:v>-7.1283018366647184</c:v>
                </c:pt>
                <c:pt idx="50">
                  <c:v>-7.1951879397782914</c:v>
                </c:pt>
                <c:pt idx="51">
                  <c:v>-0.17309504926293906</c:v>
                </c:pt>
                <c:pt idx="52">
                  <c:v>-0.17504737969170625</c:v>
                </c:pt>
                <c:pt idx="53">
                  <c:v>-0.17671713472687811</c:v>
                </c:pt>
                <c:pt idx="54">
                  <c:v>-0.17817411467598854</c:v>
                </c:pt>
                <c:pt idx="55">
                  <c:v>-0.17947550510799548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DF-4FA2-B0C9-EB7B6F86A3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8260000"/>
        <c:axId val="698260984"/>
      </c:lineChart>
      <c:dateAx>
        <c:axId val="698260000"/>
        <c:scaling>
          <c:orientation val="minMax"/>
          <c:max val="62094"/>
          <c:min val="42005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5"/>
        <c:majorTimeUnit val="years"/>
      </c:dateAx>
      <c:valAx>
        <c:axId val="698260984"/>
        <c:scaling>
          <c:orientation val="minMax"/>
          <c:min val="-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\ ##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  <c:majorUnit val="1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2558026074095319"/>
          <c:y val="0.92307178193558292"/>
          <c:w val="0.7488393708655362"/>
          <c:h val="5.8065941725962647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400">
          <a:latin typeface="Marianne Light" panose="02000000000000000000" pitchFamily="50" charset="0"/>
        </a:defRPr>
      </a:pPr>
      <a:endParaRPr lang="fr-FR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ysClr val="windowText" lastClr="000000"/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Inflation (%)</a:t>
            </a:r>
          </a:p>
        </c:rich>
      </c:tx>
      <c:layout>
        <c:manualLayout>
          <c:xMode val="edge"/>
          <c:yMode val="edge"/>
          <c:x val="0.4109619154318111"/>
          <c:y val="2.51497017846056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ysClr val="windowText" lastClr="000000"/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5537262156476636E-2"/>
          <c:y val="0.12992444857958643"/>
          <c:w val="0.91942367557480809"/>
          <c:h val="0.68678422777048564"/>
        </c:manualLayout>
      </c:layout>
      <c:lineChart>
        <c:grouping val="standard"/>
        <c:varyColors val="0"/>
        <c:ser>
          <c:idx val="0"/>
          <c:order val="0"/>
          <c:tx>
            <c:v>Constant 1 degree scenario</c:v>
          </c:tx>
          <c:spPr>
            <a:ln w="444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Données!$C$64:$AL$64</c:f>
              <c:numCache>
                <c:formatCode>#\ ##0.0</c:formatCode>
                <c:ptCount val="36"/>
                <c:pt idx="1">
                  <c:v>1.8719265438425836</c:v>
                </c:pt>
                <c:pt idx="2">
                  <c:v>1.8515359276547461</c:v>
                </c:pt>
                <c:pt idx="3">
                  <c:v>1.8599594700459576</c:v>
                </c:pt>
                <c:pt idx="4">
                  <c:v>1.8864125886808081</c:v>
                </c:pt>
                <c:pt idx="5">
                  <c:v>1.9215293597287575</c:v>
                </c:pt>
                <c:pt idx="6">
                  <c:v>1.9564068058866457</c:v>
                </c:pt>
                <c:pt idx="7">
                  <c:v>1.9891644464678837</c:v>
                </c:pt>
                <c:pt idx="8">
                  <c:v>2.0189656562267233</c:v>
                </c:pt>
                <c:pt idx="9">
                  <c:v>2.045442304380396</c:v>
                </c:pt>
                <c:pt idx="10">
                  <c:v>2.0729335522107872</c:v>
                </c:pt>
                <c:pt idx="11">
                  <c:v>2.0943680280928412</c:v>
                </c:pt>
                <c:pt idx="12">
                  <c:v>2.1109108400304555</c:v>
                </c:pt>
                <c:pt idx="13">
                  <c:v>2.1232535149552811</c:v>
                </c:pt>
                <c:pt idx="14">
                  <c:v>2.1317418486203721</c:v>
                </c:pt>
                <c:pt idx="15">
                  <c:v>2.1366040113667495</c:v>
                </c:pt>
                <c:pt idx="16">
                  <c:v>2.1380948136489941</c:v>
                </c:pt>
                <c:pt idx="17">
                  <c:v>2.1365432948004637</c:v>
                </c:pt>
                <c:pt idx="18">
                  <c:v>2.1323448586699323</c:v>
                </c:pt>
                <c:pt idx="19">
                  <c:v>2.1259323957138809</c:v>
                </c:pt>
                <c:pt idx="20">
                  <c:v>2.1149343560306288</c:v>
                </c:pt>
                <c:pt idx="21">
                  <c:v>2.1040530639883315</c:v>
                </c:pt>
                <c:pt idx="22">
                  <c:v>2.0930088447644435</c:v>
                </c:pt>
                <c:pt idx="23">
                  <c:v>2.0817488033760601</c:v>
                </c:pt>
                <c:pt idx="24">
                  <c:v>2.0704218453334367</c:v>
                </c:pt>
                <c:pt idx="25">
                  <c:v>2.0517694090861793</c:v>
                </c:pt>
                <c:pt idx="26">
                  <c:v>2.0338125648229788</c:v>
                </c:pt>
                <c:pt idx="27">
                  <c:v>2.016806320016129</c:v>
                </c:pt>
                <c:pt idx="28">
                  <c:v>2.0007831147561328</c:v>
                </c:pt>
                <c:pt idx="29">
                  <c:v>1.9858795091345804</c:v>
                </c:pt>
                <c:pt idx="30">
                  <c:v>1.9722988381696283</c:v>
                </c:pt>
                <c:pt idx="31">
                  <c:v>1.9602320262245732</c:v>
                </c:pt>
                <c:pt idx="32">
                  <c:v>1.9498047527503948</c:v>
                </c:pt>
                <c:pt idx="33">
                  <c:v>1.9410601819815909</c:v>
                </c:pt>
                <c:pt idx="34">
                  <c:v>1.9339652356008763</c:v>
                </c:pt>
                <c:pt idx="35">
                  <c:v>1.9284275686784591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BB1-4F3D-B713-AB83A709E486}"/>
            </c:ext>
          </c:extLst>
        </c:ser>
        <c:ser>
          <c:idx val="1"/>
          <c:order val="1"/>
          <c:tx>
            <c:v>3 degrees scenario</c:v>
          </c:tx>
          <c:spPr>
            <a:ln w="444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Données!$C$65:$AL$65</c:f>
              <c:numCache>
                <c:formatCode>#\ ##0.0</c:formatCode>
                <c:ptCount val="36"/>
                <c:pt idx="1">
                  <c:v>1.6782638443835651</c:v>
                </c:pt>
                <c:pt idx="2">
                  <c:v>1.6069992725599391</c:v>
                </c:pt>
                <c:pt idx="3">
                  <c:v>1.598610052704319</c:v>
                </c:pt>
                <c:pt idx="4">
                  <c:v>1.626086189062792</c:v>
                </c:pt>
                <c:pt idx="5">
                  <c:v>1.6705735369842101</c:v>
                </c:pt>
                <c:pt idx="6">
                  <c:v>1.718428984535425</c:v>
                </c:pt>
                <c:pt idx="7">
                  <c:v>1.7658589978549522</c:v>
                </c:pt>
                <c:pt idx="8">
                  <c:v>1.8115273479948346</c:v>
                </c:pt>
                <c:pt idx="9">
                  <c:v>1.8548446203621616</c:v>
                </c:pt>
                <c:pt idx="10">
                  <c:v>1.8854058245109773</c:v>
                </c:pt>
                <c:pt idx="11">
                  <c:v>1.9302539989656475</c:v>
                </c:pt>
                <c:pt idx="12">
                  <c:v>1.9772253446625143</c:v>
                </c:pt>
                <c:pt idx="13">
                  <c:v>2.0209233502028079</c:v>
                </c:pt>
                <c:pt idx="14">
                  <c:v>2.0590661383135478</c:v>
                </c:pt>
                <c:pt idx="15">
                  <c:v>2.0909709155866318</c:v>
                </c:pt>
                <c:pt idx="16">
                  <c:v>2.1173829753606821</c:v>
                </c:pt>
                <c:pt idx="17">
                  <c:v>2.1374009200280542</c:v>
                </c:pt>
                <c:pt idx="18">
                  <c:v>2.1516080740832111</c:v>
                </c:pt>
                <c:pt idx="19">
                  <c:v>2.1606195815709217</c:v>
                </c:pt>
                <c:pt idx="20">
                  <c:v>2.1620362847564856</c:v>
                </c:pt>
                <c:pt idx="21">
                  <c:v>2.1610650531746378</c:v>
                </c:pt>
                <c:pt idx="22">
                  <c:v>2.157474048834751</c:v>
                </c:pt>
                <c:pt idx="23">
                  <c:v>2.1513669483980591</c:v>
                </c:pt>
                <c:pt idx="24">
                  <c:v>2.1430967969291448</c:v>
                </c:pt>
                <c:pt idx="25">
                  <c:v>2.1252026722751616</c:v>
                </c:pt>
                <c:pt idx="26">
                  <c:v>2.1062906124209135</c:v>
                </c:pt>
                <c:pt idx="27">
                  <c:v>2.0874879070307717</c:v>
                </c:pt>
                <c:pt idx="28">
                  <c:v>2.0689789004570303</c:v>
                </c:pt>
                <c:pt idx="29">
                  <c:v>2.051007757233636</c:v>
                </c:pt>
                <c:pt idx="30">
                  <c:v>2.0338942305039298</c:v>
                </c:pt>
                <c:pt idx="31">
                  <c:v>2.0177334903644484</c:v>
                </c:pt>
                <c:pt idx="32">
                  <c:v>2.003168812426992</c:v>
                </c:pt>
                <c:pt idx="33">
                  <c:v>1.9903384305210325</c:v>
                </c:pt>
                <c:pt idx="34">
                  <c:v>1.9792826063138591</c:v>
                </c:pt>
                <c:pt idx="35">
                  <c:v>1.9699725674312107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BB1-4F3D-B713-AB83A709E4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8260000"/>
        <c:axId val="698260984"/>
      </c:lineChart>
      <c:dateAx>
        <c:axId val="698260000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10"/>
        <c:majorTimeUnit val="years"/>
      </c:dateAx>
      <c:valAx>
        <c:axId val="6982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ysClr val="windowText" lastClr="000000"/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solidFill>
            <a:sysClr val="windowText" lastClr="000000"/>
          </a:solidFill>
          <a:latin typeface="Marianne Light" panose="02000000000000000000" pitchFamily="50" charset="0"/>
        </a:defRPr>
      </a:pPr>
      <a:endParaRPr lang="fr-FR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CO2 emissions (MtCO2/y)</a:t>
            </a:r>
          </a:p>
        </c:rich>
      </c:tx>
      <c:layout>
        <c:manualLayout>
          <c:xMode val="edge"/>
          <c:yMode val="edge"/>
          <c:x val="0.2902562701424663"/>
          <c:y val="2.724551026665614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6296873672845803E-2"/>
          <c:y val="0.12425008837050726"/>
          <c:w val="0.90139843901638717"/>
          <c:h val="0.70629059391251803"/>
        </c:manualLayout>
      </c:layout>
      <c:lineChart>
        <c:grouping val="standard"/>
        <c:varyColors val="0"/>
        <c:ser>
          <c:idx val="0"/>
          <c:order val="0"/>
          <c:tx>
            <c:strRef>
              <c:f>Données!$B$67</c:f>
              <c:strCache>
                <c:ptCount val="1"/>
                <c:pt idx="0">
                  <c:v>Baseline</c:v>
                </c:pt>
              </c:strCache>
            </c:strRef>
          </c:tx>
          <c:spPr>
            <a:ln w="444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Données!$C$67:$AL$67</c:f>
              <c:numCache>
                <c:formatCode>#,##0</c:formatCode>
                <c:ptCount val="36"/>
                <c:pt idx="0">
                  <c:v>350.5914343</c:v>
                </c:pt>
                <c:pt idx="1">
                  <c:v>352.95918829999999</c:v>
                </c:pt>
                <c:pt idx="2">
                  <c:v>355.1013524</c:v>
                </c:pt>
                <c:pt idx="3">
                  <c:v>357.50077909999999</c:v>
                </c:pt>
                <c:pt idx="4">
                  <c:v>360.28418240000002</c:v>
                </c:pt>
                <c:pt idx="5">
                  <c:v>363.50913209999999</c:v>
                </c:pt>
                <c:pt idx="6">
                  <c:v>366.97360429999998</c:v>
                </c:pt>
                <c:pt idx="7">
                  <c:v>370.70665639999999</c:v>
                </c:pt>
                <c:pt idx="8">
                  <c:v>374.66677679999998</c:v>
                </c:pt>
                <c:pt idx="9">
                  <c:v>378.8064996</c:v>
                </c:pt>
                <c:pt idx="10">
                  <c:v>383.39145619999999</c:v>
                </c:pt>
                <c:pt idx="11">
                  <c:v>387.92491530000001</c:v>
                </c:pt>
                <c:pt idx="12">
                  <c:v>392.50193359999997</c:v>
                </c:pt>
                <c:pt idx="13">
                  <c:v>397.13402430000002</c:v>
                </c:pt>
                <c:pt idx="14">
                  <c:v>401.81830129999997</c:v>
                </c:pt>
                <c:pt idx="15">
                  <c:v>406.5509735</c:v>
                </c:pt>
                <c:pt idx="16">
                  <c:v>411.32977260000001</c:v>
                </c:pt>
                <c:pt idx="17">
                  <c:v>416.15408650000001</c:v>
                </c:pt>
                <c:pt idx="18">
                  <c:v>421.02463849999998</c:v>
                </c:pt>
                <c:pt idx="19">
                  <c:v>425.94312500000001</c:v>
                </c:pt>
                <c:pt idx="20">
                  <c:v>430.68878210000003</c:v>
                </c:pt>
                <c:pt idx="21">
                  <c:v>435.60816010000002</c:v>
                </c:pt>
                <c:pt idx="22">
                  <c:v>440.61967620000001</c:v>
                </c:pt>
                <c:pt idx="23">
                  <c:v>445.7078927</c:v>
                </c:pt>
                <c:pt idx="24">
                  <c:v>450.87080839999999</c:v>
                </c:pt>
                <c:pt idx="25">
                  <c:v>455.46838910000002</c:v>
                </c:pt>
                <c:pt idx="26">
                  <c:v>460.18464970000002</c:v>
                </c:pt>
                <c:pt idx="27">
                  <c:v>464.93809160000001</c:v>
                </c:pt>
                <c:pt idx="28">
                  <c:v>469.72401280000003</c:v>
                </c:pt>
                <c:pt idx="29">
                  <c:v>474.5509515</c:v>
                </c:pt>
                <c:pt idx="30">
                  <c:v>479.42876669999998</c:v>
                </c:pt>
                <c:pt idx="31">
                  <c:v>484.3659571</c:v>
                </c:pt>
                <c:pt idx="32">
                  <c:v>489.36906750000003</c:v>
                </c:pt>
                <c:pt idx="33">
                  <c:v>494.4427627</c:v>
                </c:pt>
                <c:pt idx="34">
                  <c:v>499.59011659999999</c:v>
                </c:pt>
                <c:pt idx="35">
                  <c:v>504.81296229999998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C8-4867-AD43-ECA314AA01DF}"/>
            </c:ext>
          </c:extLst>
        </c:ser>
        <c:ser>
          <c:idx val="1"/>
          <c:order val="1"/>
          <c:tx>
            <c:strRef>
              <c:f>Données!$B$73</c:f>
              <c:strCache>
                <c:ptCount val="1"/>
                <c:pt idx="0">
                  <c:v>NZ50</c:v>
                </c:pt>
              </c:strCache>
            </c:strRef>
          </c:tx>
          <c:spPr>
            <a:ln w="444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Données!$C$73:$AL$73</c:f>
              <c:numCache>
                <c:formatCode>#,##0</c:formatCode>
                <c:ptCount val="36"/>
                <c:pt idx="0">
                  <c:v>347.39432770000002</c:v>
                </c:pt>
                <c:pt idx="1">
                  <c:v>348.38399600000002</c:v>
                </c:pt>
                <c:pt idx="2">
                  <c:v>349.35901200000001</c:v>
                </c:pt>
                <c:pt idx="3">
                  <c:v>350.66368640000002</c:v>
                </c:pt>
                <c:pt idx="4">
                  <c:v>352.4599096</c:v>
                </c:pt>
                <c:pt idx="5">
                  <c:v>354.76237559999998</c:v>
                </c:pt>
                <c:pt idx="6">
                  <c:v>357.34011939999999</c:v>
                </c:pt>
                <c:pt idx="7">
                  <c:v>360.2059959</c:v>
                </c:pt>
                <c:pt idx="8">
                  <c:v>363.30291549999998</c:v>
                </c:pt>
                <c:pt idx="9">
                  <c:v>366.56002810000001</c:v>
                </c:pt>
                <c:pt idx="10">
                  <c:v>369.88266540000001</c:v>
                </c:pt>
                <c:pt idx="11">
                  <c:v>373.5652015</c:v>
                </c:pt>
                <c:pt idx="12">
                  <c:v>377.38852659999998</c:v>
                </c:pt>
                <c:pt idx="13">
                  <c:v>381.31355139999999</c:v>
                </c:pt>
                <c:pt idx="14">
                  <c:v>385.32641360000002</c:v>
                </c:pt>
                <c:pt idx="15">
                  <c:v>389.41678109999998</c:v>
                </c:pt>
                <c:pt idx="16">
                  <c:v>393.56457369999998</c:v>
                </c:pt>
                <c:pt idx="17">
                  <c:v>397.76568850000001</c:v>
                </c:pt>
                <c:pt idx="18">
                  <c:v>402.01519480000002</c:v>
                </c:pt>
                <c:pt idx="19">
                  <c:v>406.30878589999998</c:v>
                </c:pt>
                <c:pt idx="20">
                  <c:v>410.43165010000001</c:v>
                </c:pt>
                <c:pt idx="21">
                  <c:v>414.70833249999998</c:v>
                </c:pt>
                <c:pt idx="22">
                  <c:v>419.05979070000001</c:v>
                </c:pt>
                <c:pt idx="23">
                  <c:v>423.46940590000003</c:v>
                </c:pt>
                <c:pt idx="24">
                  <c:v>427.93424229999999</c:v>
                </c:pt>
                <c:pt idx="25">
                  <c:v>431.8495704</c:v>
                </c:pt>
                <c:pt idx="26">
                  <c:v>435.86451269999998</c:v>
                </c:pt>
                <c:pt idx="27">
                  <c:v>439.90454019999999</c:v>
                </c:pt>
                <c:pt idx="28">
                  <c:v>443.96628500000003</c:v>
                </c:pt>
                <c:pt idx="29">
                  <c:v>448.05964829999999</c:v>
                </c:pt>
                <c:pt idx="30">
                  <c:v>452.19570279999999</c:v>
                </c:pt>
                <c:pt idx="31">
                  <c:v>456.38669119999997</c:v>
                </c:pt>
                <c:pt idx="32">
                  <c:v>460.63916219999999</c:v>
                </c:pt>
                <c:pt idx="33">
                  <c:v>464.9581159</c:v>
                </c:pt>
                <c:pt idx="34">
                  <c:v>469.34710639999997</c:v>
                </c:pt>
                <c:pt idx="35">
                  <c:v>473.80870069999997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C8-4867-AD43-ECA314AA01DF}"/>
            </c:ext>
          </c:extLst>
        </c:ser>
        <c:ser>
          <c:idx val="4"/>
          <c:order val="2"/>
          <c:tx>
            <c:v>Baseline - Households</c:v>
          </c:tx>
          <c:spPr>
            <a:ln w="38100" cap="rnd">
              <a:solidFill>
                <a:schemeClr val="accent5"/>
              </a:solidFill>
              <a:prstDash val="sysDash"/>
              <a:round/>
            </a:ln>
            <a:effectLst/>
          </c:spPr>
          <c:marker>
            <c:symbol val="none"/>
          </c:marker>
          <c:val>
            <c:numRef>
              <c:f>Données!$C$68:$AL$68</c:f>
              <c:numCache>
                <c:formatCode>#,##0</c:formatCode>
                <c:ptCount val="36"/>
                <c:pt idx="0">
                  <c:v>119.490486</c:v>
                </c:pt>
                <c:pt idx="1">
                  <c:v>119.269642</c:v>
                </c:pt>
                <c:pt idx="2">
                  <c:v>118.66364110000001</c:v>
                </c:pt>
                <c:pt idx="3">
                  <c:v>118.0860905</c:v>
                </c:pt>
                <c:pt idx="4">
                  <c:v>117.6365855</c:v>
                </c:pt>
                <c:pt idx="5">
                  <c:v>117.3825183</c:v>
                </c:pt>
                <c:pt idx="6">
                  <c:v>117.2909868</c:v>
                </c:pt>
                <c:pt idx="7">
                  <c:v>117.33631509999999</c:v>
                </c:pt>
                <c:pt idx="8">
                  <c:v>117.4824589</c:v>
                </c:pt>
                <c:pt idx="9">
                  <c:v>117.69769460000001</c:v>
                </c:pt>
                <c:pt idx="10">
                  <c:v>118.0047015</c:v>
                </c:pt>
                <c:pt idx="11">
                  <c:v>118.3229046</c:v>
                </c:pt>
                <c:pt idx="12">
                  <c:v>118.6525498</c:v>
                </c:pt>
                <c:pt idx="13">
                  <c:v>118.991722</c:v>
                </c:pt>
                <c:pt idx="14">
                  <c:v>119.33808260000001</c:v>
                </c:pt>
                <c:pt idx="15">
                  <c:v>119.6895107</c:v>
                </c:pt>
                <c:pt idx="16">
                  <c:v>120.044274</c:v>
                </c:pt>
                <c:pt idx="17">
                  <c:v>120.4010181</c:v>
                </c:pt>
                <c:pt idx="18">
                  <c:v>120.7587013</c:v>
                </c:pt>
                <c:pt idx="19">
                  <c:v>121.116527</c:v>
                </c:pt>
                <c:pt idx="20">
                  <c:v>121.44341180000001</c:v>
                </c:pt>
                <c:pt idx="21">
                  <c:v>121.7824782</c:v>
                </c:pt>
                <c:pt idx="22">
                  <c:v>122.1267635</c:v>
                </c:pt>
                <c:pt idx="23">
                  <c:v>122.473063</c:v>
                </c:pt>
                <c:pt idx="24">
                  <c:v>122.81994</c:v>
                </c:pt>
                <c:pt idx="25">
                  <c:v>123.0831451</c:v>
                </c:pt>
                <c:pt idx="26">
                  <c:v>123.3424019</c:v>
                </c:pt>
                <c:pt idx="27">
                  <c:v>123.596227</c:v>
                </c:pt>
                <c:pt idx="28">
                  <c:v>123.844695</c:v>
                </c:pt>
                <c:pt idx="29">
                  <c:v>124.0881737</c:v>
                </c:pt>
                <c:pt idx="30">
                  <c:v>124.3275402</c:v>
                </c:pt>
                <c:pt idx="31">
                  <c:v>124.5639111</c:v>
                </c:pt>
                <c:pt idx="32">
                  <c:v>124.7983826</c:v>
                </c:pt>
                <c:pt idx="33">
                  <c:v>125.03192749999999</c:v>
                </c:pt>
                <c:pt idx="34">
                  <c:v>125.26537140000001</c:v>
                </c:pt>
                <c:pt idx="35">
                  <c:v>125.49940530000001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75-4A82-96A0-76304CD4EC78}"/>
            </c:ext>
          </c:extLst>
        </c:ser>
        <c:ser>
          <c:idx val="2"/>
          <c:order val="3"/>
          <c:tx>
            <c:v>NZ50 - Households</c:v>
          </c:tx>
          <c:spPr>
            <a:ln w="38100" cap="rnd">
              <a:solidFill>
                <a:srgbClr val="FF000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Données!$C$74:$AL$74</c:f>
              <c:numCache>
                <c:formatCode>#,##0</c:formatCode>
                <c:ptCount val="36"/>
                <c:pt idx="0">
                  <c:v>119.490486</c:v>
                </c:pt>
                <c:pt idx="1">
                  <c:v>119.30773379999999</c:v>
                </c:pt>
                <c:pt idx="2">
                  <c:v>118.6240696</c:v>
                </c:pt>
                <c:pt idx="3">
                  <c:v>117.93744649999999</c:v>
                </c:pt>
                <c:pt idx="4">
                  <c:v>117.4021671</c:v>
                </c:pt>
                <c:pt idx="5">
                  <c:v>117.04244389999999</c:v>
                </c:pt>
                <c:pt idx="6">
                  <c:v>116.8074774</c:v>
                </c:pt>
                <c:pt idx="7">
                  <c:v>116.6736008</c:v>
                </c:pt>
                <c:pt idx="8">
                  <c:v>116.60649069999999</c:v>
                </c:pt>
                <c:pt idx="9">
                  <c:v>116.5667383</c:v>
                </c:pt>
                <c:pt idx="10">
                  <c:v>116.5788749</c:v>
                </c:pt>
                <c:pt idx="11">
                  <c:v>116.57234099999999</c:v>
                </c:pt>
                <c:pt idx="12">
                  <c:v>116.5639255</c:v>
                </c:pt>
                <c:pt idx="13">
                  <c:v>116.5633996</c:v>
                </c:pt>
                <c:pt idx="14">
                  <c:v>116.5758532</c:v>
                </c:pt>
                <c:pt idx="15">
                  <c:v>116.6043279</c:v>
                </c:pt>
                <c:pt idx="16">
                  <c:v>116.6443493</c:v>
                </c:pt>
                <c:pt idx="17">
                  <c:v>116.6988557</c:v>
                </c:pt>
                <c:pt idx="18">
                  <c:v>116.76796160000001</c:v>
                </c:pt>
                <c:pt idx="19">
                  <c:v>116.85044569999999</c:v>
                </c:pt>
                <c:pt idx="20">
                  <c:v>116.91507249999999</c:v>
                </c:pt>
                <c:pt idx="21">
                  <c:v>117.0024492</c:v>
                </c:pt>
                <c:pt idx="22">
                  <c:v>117.1043166</c:v>
                </c:pt>
                <c:pt idx="23">
                  <c:v>117.2163079</c:v>
                </c:pt>
                <c:pt idx="24">
                  <c:v>117.3359955</c:v>
                </c:pt>
                <c:pt idx="25">
                  <c:v>117.38163110000001</c:v>
                </c:pt>
                <c:pt idx="26">
                  <c:v>117.4318226</c:v>
                </c:pt>
                <c:pt idx="27">
                  <c:v>117.4829368</c:v>
                </c:pt>
                <c:pt idx="28">
                  <c:v>117.5339051</c:v>
                </c:pt>
                <c:pt idx="29">
                  <c:v>117.5849612</c:v>
                </c:pt>
                <c:pt idx="30">
                  <c:v>117.6369165</c:v>
                </c:pt>
                <c:pt idx="31">
                  <c:v>117.692042</c:v>
                </c:pt>
                <c:pt idx="32">
                  <c:v>117.75059419999999</c:v>
                </c:pt>
                <c:pt idx="33">
                  <c:v>117.8129398</c:v>
                </c:pt>
                <c:pt idx="34">
                  <c:v>117.87946770000001</c:v>
                </c:pt>
                <c:pt idx="35">
                  <c:v>117.9508091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7F9-419D-90DC-C3E392523E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8260000"/>
        <c:axId val="698260984"/>
        <c:extLst>
          <c:ext xmlns:c15="http://schemas.microsoft.com/office/drawing/2012/chart" uri="{02D57815-91ED-43cb-92C2-25804820EDAC}">
            <c15:filteredLineSeries>
              <c15:ser>
                <c:idx val="3"/>
                <c:order val="4"/>
                <c:tx>
                  <c:strRef>
                    <c:extLst>
                      <c:ext uri="{02D57815-91ED-43cb-92C2-25804820EDAC}">
                        <c15:formulaRef>
                          <c15:sqref>Données!$B$75</c15:sqref>
                        </c15:formulaRef>
                      </c:ext>
                    </c:extLst>
                    <c:strCache>
                      <c:ptCount val="1"/>
                      <c:pt idx="0">
                        <c:v>Firms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75000"/>
                      </a:schemeClr>
                    </a:solidFill>
                    <a:prstDash val="sysDash"/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Données!$C$4:$AL$4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Données!$C$75:$AL$75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227.90384176900002</c:v>
                      </c:pt>
                      <c:pt idx="1">
                        <c:v>229.07626220450001</c:v>
                      </c:pt>
                      <c:pt idx="2">
                        <c:v>230.73494237310001</c:v>
                      </c:pt>
                      <c:pt idx="3">
                        <c:v>232.72623986369999</c:v>
                      </c:pt>
                      <c:pt idx="4">
                        <c:v>235.05774251310001</c:v>
                      </c:pt>
                      <c:pt idx="5">
                        <c:v>237.7199316862</c:v>
                      </c:pt>
                      <c:pt idx="6">
                        <c:v>240.53264196910001</c:v>
                      </c:pt>
                      <c:pt idx="7">
                        <c:v>243.5323950877</c:v>
                      </c:pt>
                      <c:pt idx="8">
                        <c:v>246.69642485899999</c:v>
                      </c:pt>
                      <c:pt idx="9">
                        <c:v>249.99328981970001</c:v>
                      </c:pt>
                      <c:pt idx="10">
                        <c:v>253.30379046819999</c:v>
                      </c:pt>
                      <c:pt idx="11">
                        <c:v>256.99286044849998</c:v>
                      </c:pt>
                      <c:pt idx="12">
                        <c:v>260.8246010638</c:v>
                      </c:pt>
                      <c:pt idx="13">
                        <c:v>264.75015177170002</c:v>
                      </c:pt>
                      <c:pt idx="14">
                        <c:v>268.75056037069999</c:v>
                      </c:pt>
                      <c:pt idx="15">
                        <c:v>272.81245320689999</c:v>
                      </c:pt>
                      <c:pt idx="16">
                        <c:v>276.92022440760002</c:v>
                      </c:pt>
                      <c:pt idx="17">
                        <c:v>281.06683282409995</c:v>
                      </c:pt>
                      <c:pt idx="18">
                        <c:v>285.24723322849997</c:v>
                      </c:pt>
                      <c:pt idx="19">
                        <c:v>289.45834014709999</c:v>
                      </c:pt>
                      <c:pt idx="20">
                        <c:v>293.51657767099999</c:v>
                      </c:pt>
                      <c:pt idx="21">
                        <c:v>297.70588322089998</c:v>
                      </c:pt>
                      <c:pt idx="22">
                        <c:v>301.95547402950001</c:v>
                      </c:pt>
                      <c:pt idx="23">
                        <c:v>306.25309806580003</c:v>
                      </c:pt>
                      <c:pt idx="24">
                        <c:v>310.59824672299999</c:v>
                      </c:pt>
                      <c:pt idx="25">
                        <c:v>314.46793934169995</c:v>
                      </c:pt>
                      <c:pt idx="26">
                        <c:v>318.43269017100005</c:v>
                      </c:pt>
                      <c:pt idx="27">
                        <c:v>322.42160341210001</c:v>
                      </c:pt>
                      <c:pt idx="28">
                        <c:v>326.43237991400002</c:v>
                      </c:pt>
                      <c:pt idx="29">
                        <c:v>330.47468718139999</c:v>
                      </c:pt>
                      <c:pt idx="30">
                        <c:v>334.55878623530003</c:v>
                      </c:pt>
                      <c:pt idx="31">
                        <c:v>338.69464921220003</c:v>
                      </c:pt>
                      <c:pt idx="32">
                        <c:v>342.88856802579994</c:v>
                      </c:pt>
                      <c:pt idx="33">
                        <c:v>347.14517605700001</c:v>
                      </c:pt>
                      <c:pt idx="34">
                        <c:v>351.46763866470002</c:v>
                      </c:pt>
                      <c:pt idx="35">
                        <c:v>355.8578916134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27F9-419D-90DC-C3E392523E46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Données!$B$69</c15:sqref>
                        </c15:formulaRef>
                      </c:ext>
                    </c:extLst>
                    <c:strCache>
                      <c:ptCount val="1"/>
                      <c:pt idx="0">
                        <c:v>Firms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Données!$C$69:$AL$69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231.10094830930001</c:v>
                      </c:pt>
                      <c:pt idx="1">
                        <c:v>233.68954631899999</c:v>
                      </c:pt>
                      <c:pt idx="2">
                        <c:v>236.43771130190001</c:v>
                      </c:pt>
                      <c:pt idx="3">
                        <c:v>239.4146885342</c:v>
                      </c:pt>
                      <c:pt idx="4">
                        <c:v>242.6475969331</c:v>
                      </c:pt>
                      <c:pt idx="5">
                        <c:v>246.1266137824</c:v>
                      </c:pt>
                      <c:pt idx="6">
                        <c:v>249.68261749519999</c:v>
                      </c:pt>
                      <c:pt idx="7">
                        <c:v>253.37034122989999</c:v>
                      </c:pt>
                      <c:pt idx="8">
                        <c:v>257.18431786310003</c:v>
                      </c:pt>
                      <c:pt idx="9">
                        <c:v>261.1088048954</c:v>
                      </c:pt>
                      <c:pt idx="10">
                        <c:v>265.38675468010001</c:v>
                      </c:pt>
                      <c:pt idx="11">
                        <c:v>269.60201067650002</c:v>
                      </c:pt>
                      <c:pt idx="12">
                        <c:v>273.8493838096</c:v>
                      </c:pt>
                      <c:pt idx="13">
                        <c:v>278.14230224260001</c:v>
                      </c:pt>
                      <c:pt idx="14">
                        <c:v>282.48021868180001</c:v>
                      </c:pt>
                      <c:pt idx="15">
                        <c:v>286.86146275389996</c:v>
                      </c:pt>
                      <c:pt idx="16">
                        <c:v>291.28549857120004</c:v>
                      </c:pt>
                      <c:pt idx="17">
                        <c:v>295.75306840999997</c:v>
                      </c:pt>
                      <c:pt idx="18">
                        <c:v>300.26593725250001</c:v>
                      </c:pt>
                      <c:pt idx="19">
                        <c:v>304.82659795640001</c:v>
                      </c:pt>
                      <c:pt idx="20">
                        <c:v>309.24537039289999</c:v>
                      </c:pt>
                      <c:pt idx="21">
                        <c:v>313.82568193860004</c:v>
                      </c:pt>
                      <c:pt idx="22">
                        <c:v>318.49291275360002</c:v>
                      </c:pt>
                      <c:pt idx="23">
                        <c:v>323.2348296367</c:v>
                      </c:pt>
                      <c:pt idx="24">
                        <c:v>328.05086847910002</c:v>
                      </c:pt>
                      <c:pt idx="25">
                        <c:v>332.38524392089994</c:v>
                      </c:pt>
                      <c:pt idx="26">
                        <c:v>336.84224782339999</c:v>
                      </c:pt>
                      <c:pt idx="27">
                        <c:v>341.34186467080002</c:v>
                      </c:pt>
                      <c:pt idx="28">
                        <c:v>345.87931781980001</c:v>
                      </c:pt>
                      <c:pt idx="29">
                        <c:v>350.46277778370001</c:v>
                      </c:pt>
                      <c:pt idx="30">
                        <c:v>355.10122642369998</c:v>
                      </c:pt>
                      <c:pt idx="31">
                        <c:v>359.80204595799995</c:v>
                      </c:pt>
                      <c:pt idx="32">
                        <c:v>364.57068488809995</c:v>
                      </c:pt>
                      <c:pt idx="33">
                        <c:v>369.41083521390004</c:v>
                      </c:pt>
                      <c:pt idx="34">
                        <c:v>374.32474522200005</c:v>
                      </c:pt>
                      <c:pt idx="35">
                        <c:v>379.3135570526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3775-4A82-96A0-76304CD4EC78}"/>
                  </c:ext>
                </c:extLst>
              </c15:ser>
            </c15:filteredLineSeries>
          </c:ext>
        </c:extLst>
      </c:lineChart>
      <c:dateAx>
        <c:axId val="698260000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10"/>
        <c:majorTimeUnit val="years"/>
      </c:dateAx>
      <c:valAx>
        <c:axId val="6982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Consommation énergétique (Mtep)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Données!$B$473</c:f>
              <c:strCache>
                <c:ptCount val="1"/>
                <c:pt idx="0">
                  <c:v>Charbon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Données!$C$473:$AL$473</c:f>
              <c:numCache>
                <c:formatCode>0.0%</c:formatCode>
                <c:ptCount val="36"/>
                <c:pt idx="0">
                  <c:v>-8.2960706868283449E-4</c:v>
                </c:pt>
                <c:pt idx="1">
                  <c:v>-1.0773034333517427E-3</c:v>
                </c:pt>
                <c:pt idx="2">
                  <c:v>-1.2212595449907191E-3</c:v>
                </c:pt>
                <c:pt idx="3">
                  <c:v>-1.3435639605218362E-3</c:v>
                </c:pt>
                <c:pt idx="4">
                  <c:v>-1.4584518447544772E-3</c:v>
                </c:pt>
                <c:pt idx="5">
                  <c:v>-1.5686711181858734E-3</c:v>
                </c:pt>
                <c:pt idx="6">
                  <c:v>-1.6759163470958431E-3</c:v>
                </c:pt>
                <c:pt idx="7">
                  <c:v>-1.7801817973791799E-3</c:v>
                </c:pt>
                <c:pt idx="8">
                  <c:v>-1.8821728065940495E-3</c:v>
                </c:pt>
                <c:pt idx="9">
                  <c:v>-1.9828518544631945E-3</c:v>
                </c:pt>
                <c:pt idx="10">
                  <c:v>-2.1480084478455938E-3</c:v>
                </c:pt>
                <c:pt idx="11">
                  <c:v>-2.2220706740604243E-3</c:v>
                </c:pt>
                <c:pt idx="12">
                  <c:v>-2.2778552640348379E-3</c:v>
                </c:pt>
                <c:pt idx="13">
                  <c:v>-2.3297732192447498E-3</c:v>
                </c:pt>
                <c:pt idx="14">
                  <c:v>-2.3813131315221577E-3</c:v>
                </c:pt>
                <c:pt idx="15">
                  <c:v>-2.4337190013111729E-3</c:v>
                </c:pt>
                <c:pt idx="16">
                  <c:v>-2.4903070137964971E-3</c:v>
                </c:pt>
                <c:pt idx="17">
                  <c:v>-2.5493068777464145E-3</c:v>
                </c:pt>
                <c:pt idx="18">
                  <c:v>-2.6106116715869819E-3</c:v>
                </c:pt>
                <c:pt idx="19">
                  <c:v>-2.6743079375766213E-3</c:v>
                </c:pt>
                <c:pt idx="20">
                  <c:v>-2.7399555609816891E-3</c:v>
                </c:pt>
                <c:pt idx="21">
                  <c:v>-2.8084147142047582E-3</c:v>
                </c:pt>
                <c:pt idx="22">
                  <c:v>-2.8790547438210632E-3</c:v>
                </c:pt>
                <c:pt idx="23">
                  <c:v>-2.9516004631007522E-3</c:v>
                </c:pt>
                <c:pt idx="24">
                  <c:v>-3.0257895167508822E-3</c:v>
                </c:pt>
                <c:pt idx="25">
                  <c:v>-3.0999233940376294E-3</c:v>
                </c:pt>
                <c:pt idx="26">
                  <c:v>-3.1748098155113947E-3</c:v>
                </c:pt>
                <c:pt idx="27">
                  <c:v>-3.2504300596635912E-3</c:v>
                </c:pt>
                <c:pt idx="28">
                  <c:v>-3.3265188160602433E-3</c:v>
                </c:pt>
                <c:pt idx="29">
                  <c:v>-3.4028064958289668E-3</c:v>
                </c:pt>
                <c:pt idx="30">
                  <c:v>-3.479054716790725E-3</c:v>
                </c:pt>
                <c:pt idx="31">
                  <c:v>-3.554383376968044E-3</c:v>
                </c:pt>
                <c:pt idx="32">
                  <c:v>-3.6291737649612834E-3</c:v>
                </c:pt>
                <c:pt idx="33">
                  <c:v>-3.7033831411551997E-3</c:v>
                </c:pt>
                <c:pt idx="34">
                  <c:v>-3.7769241385845168E-3</c:v>
                </c:pt>
                <c:pt idx="35">
                  <c:v>-3.8497294327291091E-3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74-494A-BB6C-F115A0D57B8C}"/>
            </c:ext>
          </c:extLst>
        </c:ser>
        <c:ser>
          <c:idx val="2"/>
          <c:order val="2"/>
          <c:tx>
            <c:strRef>
              <c:f>Données!$B$474</c:f>
              <c:strCache>
                <c:ptCount val="1"/>
                <c:pt idx="0">
                  <c:v>Carburant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Données!$C$474:$AL$474</c:f>
              <c:numCache>
                <c:formatCode>0.0%</c:formatCode>
                <c:ptCount val="36"/>
                <c:pt idx="0">
                  <c:v>-3.1766953163514166E-3</c:v>
                </c:pt>
                <c:pt idx="1">
                  <c:v>-4.325389648978651E-3</c:v>
                </c:pt>
                <c:pt idx="2">
                  <c:v>-5.3428350348563207E-3</c:v>
                </c:pt>
                <c:pt idx="3">
                  <c:v>-6.3456272965093747E-3</c:v>
                </c:pt>
                <c:pt idx="4">
                  <c:v>-7.2796972276798723E-3</c:v>
                </c:pt>
                <c:pt idx="5">
                  <c:v>-8.1535694700653871E-3</c:v>
                </c:pt>
                <c:pt idx="6">
                  <c:v>-8.9764519997755851E-3</c:v>
                </c:pt>
                <c:pt idx="7">
                  <c:v>-9.748799379844823E-3</c:v>
                </c:pt>
                <c:pt idx="8">
                  <c:v>-1.0477040828810211E-2</c:v>
                </c:pt>
                <c:pt idx="9">
                  <c:v>-1.1176523793382227E-2</c:v>
                </c:pt>
                <c:pt idx="10">
                  <c:v>-1.2122782591359189E-2</c:v>
                </c:pt>
                <c:pt idx="11">
                  <c:v>-1.2696624258350043E-2</c:v>
                </c:pt>
                <c:pt idx="12">
                  <c:v>-1.3153858093379158E-2</c:v>
                </c:pt>
                <c:pt idx="13">
                  <c:v>-1.3540974759396043E-2</c:v>
                </c:pt>
                <c:pt idx="14">
                  <c:v>-1.3873290281088642E-2</c:v>
                </c:pt>
                <c:pt idx="15">
                  <c:v>-1.4161399995468435E-2</c:v>
                </c:pt>
                <c:pt idx="16">
                  <c:v>-1.4424838422907699E-2</c:v>
                </c:pt>
                <c:pt idx="17">
                  <c:v>-1.466751162250356E-2</c:v>
                </c:pt>
                <c:pt idx="18">
                  <c:v>-1.489661921333362E-2</c:v>
                </c:pt>
                <c:pt idx="19">
                  <c:v>-1.511896107937653E-2</c:v>
                </c:pt>
                <c:pt idx="20">
                  <c:v>-1.5340174943323072E-2</c:v>
                </c:pt>
                <c:pt idx="21">
                  <c:v>-1.55643227057819E-2</c:v>
                </c:pt>
                <c:pt idx="22">
                  <c:v>-1.5793718096960129E-2</c:v>
                </c:pt>
                <c:pt idx="23">
                  <c:v>-1.6030332125946848E-2</c:v>
                </c:pt>
                <c:pt idx="24">
                  <c:v>-1.6275166642598218E-2</c:v>
                </c:pt>
                <c:pt idx="25">
                  <c:v>-1.6528028154773184E-2</c:v>
                </c:pt>
                <c:pt idx="26">
                  <c:v>-1.6785793196349888E-2</c:v>
                </c:pt>
                <c:pt idx="27">
                  <c:v>-1.7048235089696533E-2</c:v>
                </c:pt>
                <c:pt idx="28">
                  <c:v>-1.7314632997666543E-2</c:v>
                </c:pt>
                <c:pt idx="29">
                  <c:v>-1.758371474498633E-2</c:v>
                </c:pt>
                <c:pt idx="30">
                  <c:v>-1.7854147303745641E-2</c:v>
                </c:pt>
                <c:pt idx="31">
                  <c:v>-1.8122475860601648E-2</c:v>
                </c:pt>
                <c:pt idx="32">
                  <c:v>-1.8388810217537098E-2</c:v>
                </c:pt>
                <c:pt idx="33">
                  <c:v>-1.8652427722231364E-2</c:v>
                </c:pt>
                <c:pt idx="34">
                  <c:v>-1.8912603080760107E-2</c:v>
                </c:pt>
                <c:pt idx="35">
                  <c:v>-1.9168489115659649E-2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074-494A-BB6C-F115A0D57B8C}"/>
            </c:ext>
          </c:extLst>
        </c:ser>
        <c:ser>
          <c:idx val="3"/>
          <c:order val="3"/>
          <c:tx>
            <c:strRef>
              <c:f>Données!$B$475</c:f>
              <c:strCache>
                <c:ptCount val="1"/>
                <c:pt idx="0">
                  <c:v>Gas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Données!$C$475:$AL$475</c:f>
              <c:numCache>
                <c:formatCode>0.0%</c:formatCode>
                <c:ptCount val="36"/>
                <c:pt idx="0">
                  <c:v>-2.2932257655331714E-3</c:v>
                </c:pt>
                <c:pt idx="1">
                  <c:v>-2.8131983207953311E-3</c:v>
                </c:pt>
                <c:pt idx="2">
                  <c:v>-3.3612968316841319E-3</c:v>
                </c:pt>
                <c:pt idx="3">
                  <c:v>-3.9492810389435279E-3</c:v>
                </c:pt>
                <c:pt idx="4">
                  <c:v>-4.4836068129798382E-3</c:v>
                </c:pt>
                <c:pt idx="5">
                  <c:v>-4.9977828755073863E-3</c:v>
                </c:pt>
                <c:pt idx="6">
                  <c:v>-5.5109380136045662E-3</c:v>
                </c:pt>
                <c:pt idx="7">
                  <c:v>-6.0222271691929216E-3</c:v>
                </c:pt>
                <c:pt idx="8">
                  <c:v>-6.534289427391515E-3</c:v>
                </c:pt>
                <c:pt idx="9">
                  <c:v>-7.0688521570261955E-3</c:v>
                </c:pt>
                <c:pt idx="10">
                  <c:v>-7.842010451375411E-3</c:v>
                </c:pt>
                <c:pt idx="11">
                  <c:v>-8.4164800729264379E-3</c:v>
                </c:pt>
                <c:pt idx="12">
                  <c:v>-8.9590045602666816E-3</c:v>
                </c:pt>
                <c:pt idx="13">
                  <c:v>-9.4837299899220226E-3</c:v>
                </c:pt>
                <c:pt idx="14">
                  <c:v>-9.9868999243903356E-3</c:v>
                </c:pt>
                <c:pt idx="15">
                  <c:v>-1.046509830190692E-2</c:v>
                </c:pt>
                <c:pt idx="16">
                  <c:v>-1.0926804129828131E-2</c:v>
                </c:pt>
                <c:pt idx="17">
                  <c:v>-1.1368086366064184E-2</c:v>
                </c:pt>
                <c:pt idx="18">
                  <c:v>-1.1790697570535844E-2</c:v>
                </c:pt>
                <c:pt idx="19">
                  <c:v>-1.2197885199083656E-2</c:v>
                </c:pt>
                <c:pt idx="20">
                  <c:v>-1.2592755574149725E-2</c:v>
                </c:pt>
                <c:pt idx="21">
                  <c:v>-1.2978617360762479E-2</c:v>
                </c:pt>
                <c:pt idx="22">
                  <c:v>-1.335676239707958E-2</c:v>
                </c:pt>
                <c:pt idx="23">
                  <c:v>-1.3728575533929272E-2</c:v>
                </c:pt>
                <c:pt idx="24">
                  <c:v>-1.4094910422379609E-2</c:v>
                </c:pt>
                <c:pt idx="25">
                  <c:v>-1.4456716718633949E-2</c:v>
                </c:pt>
                <c:pt idx="26">
                  <c:v>-1.4811709502319277E-2</c:v>
                </c:pt>
                <c:pt idx="27">
                  <c:v>-1.5160936407846654E-2</c:v>
                </c:pt>
                <c:pt idx="28">
                  <c:v>-1.5504341197785539E-2</c:v>
                </c:pt>
                <c:pt idx="29">
                  <c:v>-1.5840568103086344E-2</c:v>
                </c:pt>
                <c:pt idx="30">
                  <c:v>-1.6168654673409701E-2</c:v>
                </c:pt>
                <c:pt idx="31">
                  <c:v>-1.6486167594700799E-2</c:v>
                </c:pt>
                <c:pt idx="32">
                  <c:v>-1.6794075294337789E-2</c:v>
                </c:pt>
                <c:pt idx="33">
                  <c:v>-1.7092880585585262E-2</c:v>
                </c:pt>
                <c:pt idx="34">
                  <c:v>-1.7382916836312844E-2</c:v>
                </c:pt>
                <c:pt idx="35">
                  <c:v>-1.7664205049610589E-2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074-494A-BB6C-F115A0D57B8C}"/>
            </c:ext>
          </c:extLst>
        </c:ser>
        <c:ser>
          <c:idx val="4"/>
          <c:order val="4"/>
          <c:tx>
            <c:strRef>
              <c:f>Données!$B$476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Données!$C$476:$AL$476</c:f>
              <c:numCache>
                <c:formatCode>0.0%</c:formatCode>
                <c:ptCount val="36"/>
                <c:pt idx="0">
                  <c:v>-2.6546192897366513E-3</c:v>
                </c:pt>
                <c:pt idx="1">
                  <c:v>-3.8440749399097276E-3</c:v>
                </c:pt>
                <c:pt idx="2">
                  <c:v>-4.8525932785350116E-3</c:v>
                </c:pt>
                <c:pt idx="3">
                  <c:v>-5.708713237416097E-3</c:v>
                </c:pt>
                <c:pt idx="4">
                  <c:v>-6.3745408783756593E-3</c:v>
                </c:pt>
                <c:pt idx="5">
                  <c:v>-6.9072596457395918E-3</c:v>
                </c:pt>
                <c:pt idx="6">
                  <c:v>-7.3614049428874992E-3</c:v>
                </c:pt>
                <c:pt idx="7">
                  <c:v>-7.7739613542767228E-3</c:v>
                </c:pt>
                <c:pt idx="8">
                  <c:v>-8.1731421946219136E-3</c:v>
                </c:pt>
                <c:pt idx="9">
                  <c:v>-8.5858166926398947E-3</c:v>
                </c:pt>
                <c:pt idx="10">
                  <c:v>-9.2236897382739196E-3</c:v>
                </c:pt>
                <c:pt idx="11">
                  <c:v>-9.6242267748257535E-3</c:v>
                </c:pt>
                <c:pt idx="12">
                  <c:v>-9.9736765024402638E-3</c:v>
                </c:pt>
                <c:pt idx="13">
                  <c:v>-1.03051803217531E-2</c:v>
                </c:pt>
                <c:pt idx="14">
                  <c:v>-1.0628221666127736E-2</c:v>
                </c:pt>
                <c:pt idx="15">
                  <c:v>-1.0949115614078962E-2</c:v>
                </c:pt>
                <c:pt idx="16">
                  <c:v>-1.1283157972258184E-2</c:v>
                </c:pt>
                <c:pt idx="17">
                  <c:v>-1.1632265649677431E-2</c:v>
                </c:pt>
                <c:pt idx="18">
                  <c:v>-1.1997758500531395E-2</c:v>
                </c:pt>
                <c:pt idx="19">
                  <c:v>-1.2380477536734078E-2</c:v>
                </c:pt>
                <c:pt idx="20">
                  <c:v>-1.2780226118234431E-2</c:v>
                </c:pt>
                <c:pt idx="21">
                  <c:v>-1.319718407910354E-2</c:v>
                </c:pt>
                <c:pt idx="22">
                  <c:v>-1.3629559107328396E-2</c:v>
                </c:pt>
                <c:pt idx="23">
                  <c:v>-1.4076011466553262E-2</c:v>
                </c:pt>
                <c:pt idx="24">
                  <c:v>-1.4534893135542303E-2</c:v>
                </c:pt>
                <c:pt idx="25">
                  <c:v>-1.5003277022298582E-2</c:v>
                </c:pt>
                <c:pt idx="26">
                  <c:v>-1.5477065178910211E-2</c:v>
                </c:pt>
                <c:pt idx="27">
                  <c:v>-1.5953493065288829E-2</c:v>
                </c:pt>
                <c:pt idx="28">
                  <c:v>-1.64313750976137E-2</c:v>
                </c:pt>
                <c:pt idx="29">
                  <c:v>-1.6909725815488458E-2</c:v>
                </c:pt>
                <c:pt idx="30">
                  <c:v>-1.7387612903752216E-2</c:v>
                </c:pt>
                <c:pt idx="31">
                  <c:v>-1.7862095207879056E-2</c:v>
                </c:pt>
                <c:pt idx="32">
                  <c:v>-1.8332792076396098E-2</c:v>
                </c:pt>
                <c:pt idx="33">
                  <c:v>-1.8799448761388931E-2</c:v>
                </c:pt>
                <c:pt idx="34">
                  <c:v>-1.9261848841921038E-2</c:v>
                </c:pt>
                <c:pt idx="35">
                  <c:v>-1.9719860964479818E-2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074-494A-BB6C-F115A0D57B8C}"/>
            </c:ext>
          </c:extLst>
        </c:ser>
        <c:ser>
          <c:idx val="5"/>
          <c:order val="5"/>
          <c:tx>
            <c:strRef>
              <c:f>Données!$B$477</c:f>
              <c:strCache>
                <c:ptCount val="1"/>
                <c:pt idx="0">
                  <c:v>Autre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Données!$C$477:$AL$477</c:f>
              <c:numCache>
                <c:formatCode>0.0%</c:formatCode>
                <c:ptCount val="36"/>
                <c:pt idx="0">
                  <c:v>-1.9583469758117891E-3</c:v>
                </c:pt>
                <c:pt idx="1">
                  <c:v>-2.8298214616473559E-3</c:v>
                </c:pt>
                <c:pt idx="2">
                  <c:v>-3.4343004541613213E-3</c:v>
                </c:pt>
                <c:pt idx="3">
                  <c:v>-3.9156366929029938E-3</c:v>
                </c:pt>
                <c:pt idx="4">
                  <c:v>-4.3128857409029542E-3</c:v>
                </c:pt>
                <c:pt idx="5">
                  <c:v>-4.6334658377174881E-3</c:v>
                </c:pt>
                <c:pt idx="6">
                  <c:v>-4.9084997365793324E-3</c:v>
                </c:pt>
                <c:pt idx="7">
                  <c:v>-5.1608004124641367E-3</c:v>
                </c:pt>
                <c:pt idx="8">
                  <c:v>-5.4086433128931813E-3</c:v>
                </c:pt>
                <c:pt idx="9">
                  <c:v>-5.6640242435921145E-3</c:v>
                </c:pt>
                <c:pt idx="10">
                  <c:v>-6.1033380974550543E-3</c:v>
                </c:pt>
                <c:pt idx="11">
                  <c:v>-6.3632709157540653E-3</c:v>
                </c:pt>
                <c:pt idx="12">
                  <c:v>-6.6036848450492522E-3</c:v>
                </c:pt>
                <c:pt idx="13">
                  <c:v>-6.8439821631864888E-3</c:v>
                </c:pt>
                <c:pt idx="14">
                  <c:v>-7.0852428689337776E-3</c:v>
                </c:pt>
                <c:pt idx="15">
                  <c:v>-7.3273585282162736E-3</c:v>
                </c:pt>
                <c:pt idx="16">
                  <c:v>-7.582080076410644E-3</c:v>
                </c:pt>
                <c:pt idx="17">
                  <c:v>-7.8429963327247814E-3</c:v>
                </c:pt>
                <c:pt idx="18">
                  <c:v>-8.1087070887335064E-3</c:v>
                </c:pt>
                <c:pt idx="19">
                  <c:v>-8.3788940776423747E-3</c:v>
                </c:pt>
                <c:pt idx="20">
                  <c:v>-8.6519913694548152E-3</c:v>
                </c:pt>
                <c:pt idx="21">
                  <c:v>-8.9305400914234442E-3</c:v>
                </c:pt>
                <c:pt idx="22">
                  <c:v>-9.2130789377267257E-3</c:v>
                </c:pt>
                <c:pt idx="23">
                  <c:v>-9.499032518411164E-3</c:v>
                </c:pt>
                <c:pt idx="24">
                  <c:v>-9.787785472440403E-3</c:v>
                </c:pt>
                <c:pt idx="25">
                  <c:v>-1.0074140668630877E-2</c:v>
                </c:pt>
                <c:pt idx="26">
                  <c:v>-1.0359305181285796E-2</c:v>
                </c:pt>
                <c:pt idx="27">
                  <c:v>-1.0644139096551866E-2</c:v>
                </c:pt>
                <c:pt idx="28">
                  <c:v>-1.0928730874600159E-2</c:v>
                </c:pt>
                <c:pt idx="29">
                  <c:v>-1.1212771236502661E-2</c:v>
                </c:pt>
                <c:pt idx="30">
                  <c:v>-1.1495858544575778E-2</c:v>
                </c:pt>
                <c:pt idx="31">
                  <c:v>-1.1774968497743548E-2</c:v>
                </c:pt>
                <c:pt idx="32">
                  <c:v>-1.2051367072963471E-2</c:v>
                </c:pt>
                <c:pt idx="33">
                  <c:v>-1.2325203298807113E-2</c:v>
                </c:pt>
                <c:pt idx="34">
                  <c:v>-1.2596428429850441E-2</c:v>
                </c:pt>
                <c:pt idx="35">
                  <c:v>-1.2864973440173736E-2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074-494A-BB6C-F115A0D57B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24799288"/>
        <c:axId val="724799616"/>
      </c:barChart>
      <c:lineChart>
        <c:grouping val="standard"/>
        <c:varyColors val="0"/>
        <c:ser>
          <c:idx val="0"/>
          <c:order val="0"/>
          <c:tx>
            <c:strRef>
              <c:f>Données!$B$472</c:f>
              <c:strCache>
                <c:ptCount val="1"/>
                <c:pt idx="0">
                  <c:v>Consommation énergétique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Données!$C$472:$AL$472</c:f>
              <c:numCache>
                <c:formatCode>0.0%</c:formatCode>
                <c:ptCount val="36"/>
                <c:pt idx="0">
                  <c:v>-1.0912494599697786E-2</c:v>
                </c:pt>
                <c:pt idx="1">
                  <c:v>-1.4889787661489629E-2</c:v>
                </c:pt>
                <c:pt idx="2">
                  <c:v>-1.8212285139361462E-2</c:v>
                </c:pt>
                <c:pt idx="3">
                  <c:v>-2.1262822499417022E-2</c:v>
                </c:pt>
                <c:pt idx="4">
                  <c:v>-2.3909182181444777E-2</c:v>
                </c:pt>
                <c:pt idx="5">
                  <c:v>-2.6260748665972167E-2</c:v>
                </c:pt>
                <c:pt idx="6">
                  <c:v>-2.8433211224373922E-2</c:v>
                </c:pt>
                <c:pt idx="7">
                  <c:v>-3.0485969837699134E-2</c:v>
                </c:pt>
                <c:pt idx="8">
                  <c:v>-3.2475288803146984E-2</c:v>
                </c:pt>
                <c:pt idx="9">
                  <c:v>-3.4478068679921647E-2</c:v>
                </c:pt>
                <c:pt idx="10">
                  <c:v>-3.7439829805704705E-2</c:v>
                </c:pt>
                <c:pt idx="11">
                  <c:v>-3.9322672816125337E-2</c:v>
                </c:pt>
                <c:pt idx="12">
                  <c:v>-4.0968079129685919E-2</c:v>
                </c:pt>
                <c:pt idx="13">
                  <c:v>-4.2503640409198518E-2</c:v>
                </c:pt>
                <c:pt idx="14">
                  <c:v>-4.3954967846094428E-2</c:v>
                </c:pt>
                <c:pt idx="15">
                  <c:v>-4.5336691690351039E-2</c:v>
                </c:pt>
                <c:pt idx="16">
                  <c:v>-4.6707187603555855E-2</c:v>
                </c:pt>
                <c:pt idx="17">
                  <c:v>-4.8060167262370168E-2</c:v>
                </c:pt>
                <c:pt idx="18">
                  <c:v>-4.9404393655209211E-2</c:v>
                </c:pt>
                <c:pt idx="19">
                  <c:v>-5.0750525492233245E-2</c:v>
                </c:pt>
                <c:pt idx="20">
                  <c:v>-5.2105103415013287E-2</c:v>
                </c:pt>
                <c:pt idx="21">
                  <c:v>-5.3479078849408945E-2</c:v>
                </c:pt>
                <c:pt idx="22">
                  <c:v>-5.4872172985526713E-2</c:v>
                </c:pt>
                <c:pt idx="23">
                  <c:v>-5.6285552151164375E-2</c:v>
                </c:pt>
                <c:pt idx="24">
                  <c:v>-5.7718545162500856E-2</c:v>
                </c:pt>
                <c:pt idx="25">
                  <c:v>-5.9162086085930321E-2</c:v>
                </c:pt>
                <c:pt idx="26">
                  <c:v>-6.0608682430536409E-2</c:v>
                </c:pt>
                <c:pt idx="27">
                  <c:v>-6.2057233588729832E-2</c:v>
                </c:pt>
                <c:pt idx="28">
                  <c:v>-6.35055992128708E-2</c:v>
                </c:pt>
                <c:pt idx="29">
                  <c:v>-6.4949586507050072E-2</c:v>
                </c:pt>
                <c:pt idx="30">
                  <c:v>-6.6385328242269948E-2</c:v>
                </c:pt>
                <c:pt idx="31">
                  <c:v>-6.7800090522902368E-2</c:v>
                </c:pt>
                <c:pt idx="32">
                  <c:v>-6.9196218625925399E-2</c:v>
                </c:pt>
                <c:pt idx="33">
                  <c:v>-7.0573343845027892E-2</c:v>
                </c:pt>
                <c:pt idx="34">
                  <c:v>-7.1930721063681924E-2</c:v>
                </c:pt>
                <c:pt idx="35">
                  <c:v>-7.3267257961168841E-2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74-494A-BB6C-F115A0D57B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4799288"/>
        <c:axId val="724799616"/>
      </c:lineChart>
      <c:dateAx>
        <c:axId val="724799288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616"/>
        <c:crosses val="autoZero"/>
        <c:auto val="1"/>
        <c:lblOffset val="100"/>
        <c:baseTimeUnit val="years"/>
        <c:majorUnit val="5"/>
        <c:majorTimeUnit val="years"/>
      </c:dateAx>
      <c:valAx>
        <c:axId val="724799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288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5.9274551549754362E-2"/>
          <c:y val="0.83157658690065972"/>
          <c:w val="0.91015582410303764"/>
          <c:h val="0.1558498839423657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>
          <a:latin typeface="Marianne Light" panose="02000000000000000000" pitchFamily="50" charset="0"/>
        </a:defRPr>
      </a:pPr>
      <a:endParaRPr lang="fr-FR"/>
    </a:p>
  </c:tx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Net energy production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Données!$B$527</c:f>
              <c:strCache>
                <c:ptCount val="1"/>
                <c:pt idx="0">
                  <c:v>Households' consumption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cat>
            <c:numRef>
              <c:f>Données!$C$525:$AL$525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Données!$C$527:$AL$527</c:f>
              <c:numCache>
                <c:formatCode>0%</c:formatCode>
                <c:ptCount val="36"/>
                <c:pt idx="0">
                  <c:v>7.1630427074844798E-11</c:v>
                </c:pt>
                <c:pt idx="1">
                  <c:v>4.7692047124840383E-4</c:v>
                </c:pt>
                <c:pt idx="2">
                  <c:v>2.9950285563136187E-4</c:v>
                </c:pt>
                <c:pt idx="3">
                  <c:v>-1.1431634627441616E-4</c:v>
                </c:pt>
                <c:pt idx="4">
                  <c:v>-4.8758906824170018E-4</c:v>
                </c:pt>
                <c:pt idx="5">
                  <c:v>-8.9410542878148858E-4</c:v>
                </c:pt>
                <c:pt idx="6">
                  <c:v>-1.3885997856978819E-3</c:v>
                </c:pt>
                <c:pt idx="7">
                  <c:v>-1.9727883862805423E-3</c:v>
                </c:pt>
                <c:pt idx="8">
                  <c:v>-2.6466958642893759E-3</c:v>
                </c:pt>
                <c:pt idx="9">
                  <c:v>-3.4445802843001043E-3</c:v>
                </c:pt>
                <c:pt idx="10">
                  <c:v>-4.4089271779425227E-3</c:v>
                </c:pt>
                <c:pt idx="11">
                  <c:v>-5.5129289935327676E-3</c:v>
                </c:pt>
                <c:pt idx="12">
                  <c:v>-6.6820871319548097E-3</c:v>
                </c:pt>
                <c:pt idx="13">
                  <c:v>-7.8617479829450332E-3</c:v>
                </c:pt>
                <c:pt idx="14">
                  <c:v>-9.0158937233455715E-3</c:v>
                </c:pt>
                <c:pt idx="15">
                  <c:v>-1.012066118679854E-2</c:v>
                </c:pt>
                <c:pt idx="16">
                  <c:v>-1.1184783746721204E-2</c:v>
                </c:pt>
                <c:pt idx="17">
                  <c:v>-1.218996031410634E-2</c:v>
                </c:pt>
                <c:pt idx="18">
                  <c:v>-1.3131139791026284E-2</c:v>
                </c:pt>
                <c:pt idx="19">
                  <c:v>-1.400972070017064E-2</c:v>
                </c:pt>
                <c:pt idx="20">
                  <c:v>-1.4834895423476631E-2</c:v>
                </c:pt>
                <c:pt idx="21">
                  <c:v>-1.5602003972081845E-2</c:v>
                </c:pt>
                <c:pt idx="22">
                  <c:v>-1.6320449558082515E-2</c:v>
                </c:pt>
                <c:pt idx="23">
                  <c:v>-1.6995055319514885E-2</c:v>
                </c:pt>
                <c:pt idx="24">
                  <c:v>-1.762972229941126E-2</c:v>
                </c:pt>
                <c:pt idx="25">
                  <c:v>-1.824479338584006E-2</c:v>
                </c:pt>
                <c:pt idx="26">
                  <c:v>-1.881117546631075E-2</c:v>
                </c:pt>
                <c:pt idx="27">
                  <c:v>-1.9344376438064474E-2</c:v>
                </c:pt>
                <c:pt idx="28">
                  <c:v>-1.9849231291531353E-2</c:v>
                </c:pt>
                <c:pt idx="29">
                  <c:v>-2.0326930083580948E-2</c:v>
                </c:pt>
                <c:pt idx="30">
                  <c:v>-2.0778344913561252E-2</c:v>
                </c:pt>
                <c:pt idx="31">
                  <c:v>-2.120030456037959E-2</c:v>
                </c:pt>
                <c:pt idx="32">
                  <c:v>-2.1596420050601882E-2</c:v>
                </c:pt>
                <c:pt idx="33">
                  <c:v>-2.1969322855395011E-2</c:v>
                </c:pt>
                <c:pt idx="34">
                  <c:v>-2.2321044233943325E-2</c:v>
                </c:pt>
                <c:pt idx="35">
                  <c:v>-2.2652663448908882E-2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2D-49AA-BF88-C168E58AAE98}"/>
            </c:ext>
          </c:extLst>
        </c:ser>
        <c:ser>
          <c:idx val="2"/>
          <c:order val="2"/>
          <c:tx>
            <c:strRef>
              <c:f>Données!$B$528</c:f>
              <c:strCache>
                <c:ptCount val="1"/>
                <c:pt idx="0">
                  <c:v>Firms' consumption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Données!$C$525:$AL$525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Données!$C$528:$AL$528</c:f>
              <c:numCache>
                <c:formatCode>0%</c:formatCode>
                <c:ptCount val="36"/>
                <c:pt idx="0">
                  <c:v>-2.3258402812014231E-2</c:v>
                </c:pt>
                <c:pt idx="1">
                  <c:v>-3.1824138004523342E-2</c:v>
                </c:pt>
                <c:pt idx="2">
                  <c:v>-3.7683669609181035E-2</c:v>
                </c:pt>
                <c:pt idx="3">
                  <c:v>-4.2732619197985655E-2</c:v>
                </c:pt>
                <c:pt idx="4">
                  <c:v>-4.7179615265320836E-2</c:v>
                </c:pt>
                <c:pt idx="5">
                  <c:v>-5.1080658656692042E-2</c:v>
                </c:pt>
                <c:pt idx="6">
                  <c:v>-5.4561471786080402E-2</c:v>
                </c:pt>
                <c:pt idx="7">
                  <c:v>-5.7721028586763264E-2</c:v>
                </c:pt>
                <c:pt idx="8">
                  <c:v>-6.0659869759861047E-2</c:v>
                </c:pt>
                <c:pt idx="9">
                  <c:v>-6.3470603445472437E-2</c:v>
                </c:pt>
                <c:pt idx="10">
                  <c:v>-6.8125830043970423E-2</c:v>
                </c:pt>
                <c:pt idx="11">
                  <c:v>-7.0241555651778947E-2</c:v>
                </c:pt>
                <c:pt idx="12">
                  <c:v>-7.1763636529303065E-2</c:v>
                </c:pt>
                <c:pt idx="13">
                  <c:v>-7.307845468374867E-2</c:v>
                </c:pt>
                <c:pt idx="14">
                  <c:v>-7.4286641592572311E-2</c:v>
                </c:pt>
                <c:pt idx="15">
                  <c:v>-7.5439578875058824E-2</c:v>
                </c:pt>
                <c:pt idx="16">
                  <c:v>-7.6622954748626543E-2</c:v>
                </c:pt>
                <c:pt idx="17">
                  <c:v>-7.7848837686913253E-2</c:v>
                </c:pt>
                <c:pt idx="18">
                  <c:v>-7.9136218763744687E-2</c:v>
                </c:pt>
                <c:pt idx="19">
                  <c:v>-8.0500684389855817E-2</c:v>
                </c:pt>
                <c:pt idx="20">
                  <c:v>-8.1945004992471676E-2</c:v>
                </c:pt>
                <c:pt idx="21">
                  <c:v>-8.3484963911473309E-2</c:v>
                </c:pt>
                <c:pt idx="22">
                  <c:v>-8.5116578099607987E-2</c:v>
                </c:pt>
                <c:pt idx="23">
                  <c:v>-8.683465394786069E-2</c:v>
                </c:pt>
                <c:pt idx="24">
                  <c:v>-8.8633508458841131E-2</c:v>
                </c:pt>
                <c:pt idx="25">
                  <c:v>-9.0482327186643757E-2</c:v>
                </c:pt>
                <c:pt idx="26">
                  <c:v>-9.2380471692512262E-2</c:v>
                </c:pt>
                <c:pt idx="27">
                  <c:v>-9.4321716117323387E-2</c:v>
                </c:pt>
                <c:pt idx="28">
                  <c:v>-9.6294632212972436E-2</c:v>
                </c:pt>
                <c:pt idx="29">
                  <c:v>-9.8290821030569256E-2</c:v>
                </c:pt>
                <c:pt idx="30">
                  <c:v>-0.1003029271037429</c:v>
                </c:pt>
                <c:pt idx="31">
                  <c:v>-0.10231307229804279</c:v>
                </c:pt>
                <c:pt idx="32">
                  <c:v>-0.10432067236634231</c:v>
                </c:pt>
                <c:pt idx="33">
                  <c:v>-0.1063222726997754</c:v>
                </c:pt>
                <c:pt idx="34">
                  <c:v>-0.10831440048149463</c:v>
                </c:pt>
                <c:pt idx="35">
                  <c:v>-0.11029405487079548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02D-49AA-BF88-C168E58AAE98}"/>
            </c:ext>
          </c:extLst>
        </c:ser>
        <c:ser>
          <c:idx val="3"/>
          <c:order val="3"/>
          <c:tx>
            <c:strRef>
              <c:f>Données!$B$529</c:f>
              <c:strCache>
                <c:ptCount val="1"/>
                <c:pt idx="0">
                  <c:v>Net exports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Données!$C$525:$AL$525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Données!$C$529:$AL$529</c:f>
              <c:numCache>
                <c:formatCode>0%</c:formatCode>
                <c:ptCount val="36"/>
                <c:pt idx="0">
                  <c:v>5.3480407091044393E-3</c:v>
                </c:pt>
                <c:pt idx="1">
                  <c:v>8.9871590034801552E-3</c:v>
                </c:pt>
                <c:pt idx="2">
                  <c:v>1.1406829809681877E-2</c:v>
                </c:pt>
                <c:pt idx="3">
                  <c:v>1.3651931174899261E-2</c:v>
                </c:pt>
                <c:pt idx="4">
                  <c:v>1.5692535705479217E-2</c:v>
                </c:pt>
                <c:pt idx="5">
                  <c:v>1.7554490615673986E-2</c:v>
                </c:pt>
                <c:pt idx="6">
                  <c:v>1.9274416324807912E-2</c:v>
                </c:pt>
                <c:pt idx="7">
                  <c:v>2.08696395179724E-2</c:v>
                </c:pt>
                <c:pt idx="8">
                  <c:v>2.2367927723977287E-2</c:v>
                </c:pt>
                <c:pt idx="9">
                  <c:v>2.3823528598734302E-2</c:v>
                </c:pt>
                <c:pt idx="10">
                  <c:v>2.5881422633388402E-2</c:v>
                </c:pt>
                <c:pt idx="11">
                  <c:v>2.7337919054479222E-2</c:v>
                </c:pt>
                <c:pt idx="12">
                  <c:v>2.8414894231788446E-2</c:v>
                </c:pt>
                <c:pt idx="13">
                  <c:v>2.9338344695898449E-2</c:v>
                </c:pt>
                <c:pt idx="14">
                  <c:v>3.0153179508310056E-2</c:v>
                </c:pt>
                <c:pt idx="15">
                  <c:v>3.0877872077740655E-2</c:v>
                </c:pt>
                <c:pt idx="16">
                  <c:v>3.1539175004053316E-2</c:v>
                </c:pt>
                <c:pt idx="17">
                  <c:v>3.215951427261584E-2</c:v>
                </c:pt>
                <c:pt idx="18">
                  <c:v>3.2750651046679249E-2</c:v>
                </c:pt>
                <c:pt idx="19">
                  <c:v>3.3326622753191891E-2</c:v>
                </c:pt>
                <c:pt idx="20">
                  <c:v>3.3905186627287247E-2</c:v>
                </c:pt>
                <c:pt idx="21">
                  <c:v>3.4479950779087436E-2</c:v>
                </c:pt>
                <c:pt idx="22">
                  <c:v>3.5068215240429863E-2</c:v>
                </c:pt>
                <c:pt idx="23">
                  <c:v>3.5671193096681063E-2</c:v>
                </c:pt>
                <c:pt idx="24">
                  <c:v>3.628996348069663E-2</c:v>
                </c:pt>
                <c:pt idx="25">
                  <c:v>3.6941511122198997E-2</c:v>
                </c:pt>
                <c:pt idx="26">
                  <c:v>3.7583474952076666E-2</c:v>
                </c:pt>
                <c:pt idx="27">
                  <c:v>3.8232058350358471E-2</c:v>
                </c:pt>
                <c:pt idx="28">
                  <c:v>3.8882841703437594E-2</c:v>
                </c:pt>
                <c:pt idx="29">
                  <c:v>3.9531552617364227E-2</c:v>
                </c:pt>
                <c:pt idx="30">
                  <c:v>4.017459743173353E-2</c:v>
                </c:pt>
                <c:pt idx="31">
                  <c:v>4.0807299710415447E-2</c:v>
                </c:pt>
                <c:pt idx="32">
                  <c:v>4.1425885248037031E-2</c:v>
                </c:pt>
                <c:pt idx="33">
                  <c:v>4.2029956091415334E-2</c:v>
                </c:pt>
                <c:pt idx="34">
                  <c:v>4.2618521291792395E-2</c:v>
                </c:pt>
                <c:pt idx="35">
                  <c:v>4.319019525354173E-2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2D-49AA-BF88-C168E58AA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78449744"/>
        <c:axId val="778454336"/>
      </c:barChart>
      <c:lineChart>
        <c:grouping val="standard"/>
        <c:varyColors val="0"/>
        <c:ser>
          <c:idx val="0"/>
          <c:order val="0"/>
          <c:tx>
            <c:strRef>
              <c:f>Données!$B$526</c:f>
              <c:strCache>
                <c:ptCount val="1"/>
                <c:pt idx="0">
                  <c:v>Net production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Données!$C$525:$AL$525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Données!$C$526:$AL$526</c:f>
              <c:numCache>
                <c:formatCode>0%</c:formatCode>
                <c:ptCount val="36"/>
                <c:pt idx="0">
                  <c:v>-1.7910362174540118E-2</c:v>
                </c:pt>
                <c:pt idx="1">
                  <c:v>-2.2360057748078144E-2</c:v>
                </c:pt>
                <c:pt idx="2">
                  <c:v>-2.5977337578785953E-2</c:v>
                </c:pt>
                <c:pt idx="3">
                  <c:v>-2.919500394935981E-2</c:v>
                </c:pt>
                <c:pt idx="4">
                  <c:v>-3.1974668836301512E-2</c:v>
                </c:pt>
                <c:pt idx="5">
                  <c:v>-3.4420273744842911E-2</c:v>
                </c:pt>
                <c:pt idx="6">
                  <c:v>-3.6675654838314697E-2</c:v>
                </c:pt>
                <c:pt idx="7">
                  <c:v>-3.8824177455071274E-2</c:v>
                </c:pt>
                <c:pt idx="8">
                  <c:v>-4.0938637432935687E-2</c:v>
                </c:pt>
                <c:pt idx="9">
                  <c:v>-4.309165493288003E-2</c:v>
                </c:pt>
                <c:pt idx="10">
                  <c:v>-4.6653333870272484E-2</c:v>
                </c:pt>
                <c:pt idx="11">
                  <c:v>-4.8416565074166473E-2</c:v>
                </c:pt>
                <c:pt idx="12">
                  <c:v>-5.0030829046170067E-2</c:v>
                </c:pt>
                <c:pt idx="13">
                  <c:v>-5.1601857654831162E-2</c:v>
                </c:pt>
                <c:pt idx="14">
                  <c:v>-5.3149355495050288E-2</c:v>
                </c:pt>
                <c:pt idx="15">
                  <c:v>-5.468236847882979E-2</c:v>
                </c:pt>
                <c:pt idx="16">
                  <c:v>-5.6268564103046925E-2</c:v>
                </c:pt>
                <c:pt idx="17">
                  <c:v>-5.7879284212559168E-2</c:v>
                </c:pt>
                <c:pt idx="18">
                  <c:v>-5.9516707208735919E-2</c:v>
                </c:pt>
                <c:pt idx="19">
                  <c:v>-6.1183782751443316E-2</c:v>
                </c:pt>
                <c:pt idx="20">
                  <c:v>-6.2874713319621911E-2</c:v>
                </c:pt>
                <c:pt idx="21">
                  <c:v>-6.4607017046456994E-2</c:v>
                </c:pt>
                <c:pt idx="22">
                  <c:v>-6.6368812187693194E-2</c:v>
                </c:pt>
                <c:pt idx="23">
                  <c:v>-6.8158515830040178E-2</c:v>
                </c:pt>
                <c:pt idx="24">
                  <c:v>-6.9973267165230224E-2</c:v>
                </c:pt>
                <c:pt idx="25">
                  <c:v>-7.1785609338998135E-2</c:v>
                </c:pt>
                <c:pt idx="26">
                  <c:v>-7.3608172427162111E-2</c:v>
                </c:pt>
                <c:pt idx="27">
                  <c:v>-7.5434034314164289E-2</c:v>
                </c:pt>
                <c:pt idx="28">
                  <c:v>-7.7261021963168863E-2</c:v>
                </c:pt>
                <c:pt idx="29">
                  <c:v>-7.908619849678622E-2</c:v>
                </c:pt>
                <c:pt idx="30">
                  <c:v>-8.0906674585570437E-2</c:v>
                </c:pt>
                <c:pt idx="31">
                  <c:v>-8.2706077515148468E-2</c:v>
                </c:pt>
                <c:pt idx="32">
                  <c:v>-8.44912076362202E-2</c:v>
                </c:pt>
                <c:pt idx="33">
                  <c:v>-8.6261639515155086E-2</c:v>
                </c:pt>
                <c:pt idx="34">
                  <c:v>-8.8016923423645643E-2</c:v>
                </c:pt>
                <c:pt idx="35">
                  <c:v>-8.9756523569735513E-2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2D-49AA-BF88-C168E58AA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8449744"/>
        <c:axId val="778454336"/>
      </c:lineChart>
      <c:dateAx>
        <c:axId val="77844974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78454336"/>
        <c:crosses val="autoZero"/>
        <c:auto val="1"/>
        <c:lblOffset val="100"/>
        <c:baseTimeUnit val="years"/>
        <c:majorUnit val="5"/>
        <c:majorTimeUnit val="years"/>
      </c:dateAx>
      <c:valAx>
        <c:axId val="778454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78449744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Primary energy (Mtep)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Données!$B$507</c:f>
              <c:strCache>
                <c:ptCount val="1"/>
                <c:pt idx="0">
                  <c:v>Charbon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Données!$C$507:$AL$507</c:f>
              <c:numCache>
                <c:formatCode>0.0%</c:formatCode>
                <c:ptCount val="36"/>
                <c:pt idx="0">
                  <c:v>-4.7100222945343259E-4</c:v>
                </c:pt>
                <c:pt idx="1">
                  <c:v>-5.9036757615270937E-4</c:v>
                </c:pt>
                <c:pt idx="2">
                  <c:v>-6.5384130501665273E-4</c:v>
                </c:pt>
                <c:pt idx="3">
                  <c:v>-7.0994147662877666E-4</c:v>
                </c:pt>
                <c:pt idx="4">
                  <c:v>-7.6623769821058171E-4</c:v>
                </c:pt>
                <c:pt idx="5">
                  <c:v>-8.2382457514576101E-4</c:v>
                </c:pt>
                <c:pt idx="6">
                  <c:v>-8.8280385052924278E-4</c:v>
                </c:pt>
                <c:pt idx="7">
                  <c:v>-9.4199928878758825E-4</c:v>
                </c:pt>
                <c:pt idx="8">
                  <c:v>-1.0009727205964425E-3</c:v>
                </c:pt>
                <c:pt idx="9">
                  <c:v>-1.0596581923130093E-3</c:v>
                </c:pt>
                <c:pt idx="10">
                  <c:v>-1.1496285416259808E-3</c:v>
                </c:pt>
                <c:pt idx="11">
                  <c:v>-1.1942699030668999E-3</c:v>
                </c:pt>
                <c:pt idx="12">
                  <c:v>-1.2296721927848818E-3</c:v>
                </c:pt>
                <c:pt idx="13">
                  <c:v>-1.263130069346989E-3</c:v>
                </c:pt>
                <c:pt idx="14">
                  <c:v>-1.2962509548231837E-3</c:v>
                </c:pt>
                <c:pt idx="15">
                  <c:v>-1.3294784169524533E-3</c:v>
                </c:pt>
                <c:pt idx="16">
                  <c:v>-1.3647570087824783E-3</c:v>
                </c:pt>
                <c:pt idx="17">
                  <c:v>-1.4006420390306534E-3</c:v>
                </c:pt>
                <c:pt idx="18">
                  <c:v>-1.4369862621441795E-3</c:v>
                </c:pt>
                <c:pt idx="19">
                  <c:v>-1.4738318731200449E-3</c:v>
                </c:pt>
                <c:pt idx="20">
                  <c:v>-1.511064768719847E-3</c:v>
                </c:pt>
                <c:pt idx="21">
                  <c:v>-1.548933858403419E-3</c:v>
                </c:pt>
                <c:pt idx="22">
                  <c:v>-1.5873692966824739E-3</c:v>
                </c:pt>
                <c:pt idx="23">
                  <c:v>-1.6262746004519759E-3</c:v>
                </c:pt>
                <c:pt idx="24">
                  <c:v>-1.665582634654234E-3</c:v>
                </c:pt>
                <c:pt idx="25">
                  <c:v>-1.704747842068125E-3</c:v>
                </c:pt>
                <c:pt idx="26">
                  <c:v>-1.7434658478015801E-3</c:v>
                </c:pt>
                <c:pt idx="27">
                  <c:v>-1.7823704774286972E-3</c:v>
                </c:pt>
                <c:pt idx="28">
                  <c:v>-1.8213787059154537E-3</c:v>
                </c:pt>
                <c:pt idx="29">
                  <c:v>-1.8603886364874124E-3</c:v>
                </c:pt>
                <c:pt idx="30">
                  <c:v>-1.8993108774907632E-3</c:v>
                </c:pt>
                <c:pt idx="31">
                  <c:v>-1.9376252800681331E-3</c:v>
                </c:pt>
                <c:pt idx="32">
                  <c:v>-1.9756644772367677E-3</c:v>
                </c:pt>
                <c:pt idx="33">
                  <c:v>-2.0134417966706248E-3</c:v>
                </c:pt>
                <c:pt idx="34">
                  <c:v>-2.050929884316554E-3</c:v>
                </c:pt>
                <c:pt idx="35">
                  <c:v>-2.088101724453876E-3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DB-4269-9B2A-85A0A366EDCC}"/>
            </c:ext>
          </c:extLst>
        </c:ser>
        <c:ser>
          <c:idx val="2"/>
          <c:order val="2"/>
          <c:tx>
            <c:strRef>
              <c:f>Données!$B$508</c:f>
              <c:strCache>
                <c:ptCount val="1"/>
                <c:pt idx="0">
                  <c:v>Carburant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Données!$C$508:$AL$508</c:f>
              <c:numCache>
                <c:formatCode>0.0%</c:formatCode>
                <c:ptCount val="36"/>
                <c:pt idx="0">
                  <c:v>-0.34521150155261715</c:v>
                </c:pt>
                <c:pt idx="1">
                  <c:v>-6.7747427478491466E-3</c:v>
                </c:pt>
                <c:pt idx="2">
                  <c:v>-7.8199795701360125E-3</c:v>
                </c:pt>
                <c:pt idx="3">
                  <c:v>-8.8381796800141056E-3</c:v>
                </c:pt>
                <c:pt idx="4">
                  <c:v>-9.8113403629587533E-3</c:v>
                </c:pt>
                <c:pt idx="5">
                  <c:v>-1.0743073216654393E-2</c:v>
                </c:pt>
                <c:pt idx="6">
                  <c:v>-1.1642499376239068E-2</c:v>
                </c:pt>
                <c:pt idx="7">
                  <c:v>-1.2507539266678667E-2</c:v>
                </c:pt>
                <c:pt idx="8">
                  <c:v>-1.3343056701116898E-2</c:v>
                </c:pt>
                <c:pt idx="9">
                  <c:v>-1.4159179187542247E-2</c:v>
                </c:pt>
                <c:pt idx="10">
                  <c:v>-1.54060202590894E-2</c:v>
                </c:pt>
                <c:pt idx="11">
                  <c:v>-1.5986588134116641E-2</c:v>
                </c:pt>
                <c:pt idx="12">
                  <c:v>-1.6480483172414861E-2</c:v>
                </c:pt>
                <c:pt idx="13">
                  <c:v>-1.6928662051094862E-2</c:v>
                </c:pt>
                <c:pt idx="14">
                  <c:v>-1.7343160504610045E-2</c:v>
                </c:pt>
                <c:pt idx="15">
                  <c:v>-1.7731278002149679E-2</c:v>
                </c:pt>
                <c:pt idx="16">
                  <c:v>-1.8117167343619352E-2</c:v>
                </c:pt>
                <c:pt idx="17">
                  <c:v>-1.8492531812480666E-2</c:v>
                </c:pt>
                <c:pt idx="18">
                  <c:v>-1.8861901440567663E-2</c:v>
                </c:pt>
                <c:pt idx="19">
                  <c:v>-1.9229628446408898E-2</c:v>
                </c:pt>
                <c:pt idx="20">
                  <c:v>-1.9596539267152199E-2</c:v>
                </c:pt>
                <c:pt idx="21">
                  <c:v>-1.9971229106845231E-2</c:v>
                </c:pt>
                <c:pt idx="22">
                  <c:v>-2.0351402601468116E-2</c:v>
                </c:pt>
                <c:pt idx="23">
                  <c:v>-2.0738371229178737E-2</c:v>
                </c:pt>
                <c:pt idx="24">
                  <c:v>-2.1132739674953792E-2</c:v>
                </c:pt>
                <c:pt idx="25">
                  <c:v>-2.1525907477002153E-2</c:v>
                </c:pt>
                <c:pt idx="26">
                  <c:v>-2.1925332609804345E-2</c:v>
                </c:pt>
                <c:pt idx="27">
                  <c:v>-2.2329469998493143E-2</c:v>
                </c:pt>
                <c:pt idx="28">
                  <c:v>-2.2737711163066294E-2</c:v>
                </c:pt>
                <c:pt idx="29">
                  <c:v>-2.3149101914491727E-2</c:v>
                </c:pt>
                <c:pt idx="30">
                  <c:v>-2.3562630633723328E-2</c:v>
                </c:pt>
                <c:pt idx="31">
                  <c:v>-2.3972968766309923E-2</c:v>
                </c:pt>
                <c:pt idx="32">
                  <c:v>-2.438286317592327E-2</c:v>
                </c:pt>
                <c:pt idx="33">
                  <c:v>-2.4791768634887957E-2</c:v>
                </c:pt>
                <c:pt idx="34">
                  <c:v>-2.5199118103703021E-2</c:v>
                </c:pt>
                <c:pt idx="35">
                  <c:v>-2.5604304283801681E-2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EDB-4269-9B2A-85A0A366EDCC}"/>
            </c:ext>
          </c:extLst>
        </c:ser>
        <c:ser>
          <c:idx val="3"/>
          <c:order val="3"/>
          <c:tx>
            <c:strRef>
              <c:f>Données!$B$509</c:f>
              <c:strCache>
                <c:ptCount val="1"/>
                <c:pt idx="0">
                  <c:v>Gas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Données!$C$509:$AL$509</c:f>
              <c:numCache>
                <c:formatCode>0.0%</c:formatCode>
                <c:ptCount val="36"/>
                <c:pt idx="0">
                  <c:v>-1.2600354148287224E-3</c:v>
                </c:pt>
                <c:pt idx="1">
                  <c:v>-9.8810956032533261E-4</c:v>
                </c:pt>
                <c:pt idx="2">
                  <c:v>-9.3728365434110671E-4</c:v>
                </c:pt>
                <c:pt idx="3">
                  <c:v>-9.6377755505051464E-4</c:v>
                </c:pt>
                <c:pt idx="4">
                  <c:v>-1.005287285369018E-3</c:v>
                </c:pt>
                <c:pt idx="5">
                  <c:v>-1.0845930386414316E-3</c:v>
                </c:pt>
                <c:pt idx="6">
                  <c:v>-1.2097810316720537E-3</c:v>
                </c:pt>
                <c:pt idx="7">
                  <c:v>-1.3734259749935724E-3</c:v>
                </c:pt>
                <c:pt idx="8">
                  <c:v>-1.5694116991501602E-3</c:v>
                </c:pt>
                <c:pt idx="9">
                  <c:v>-1.8022686559964192E-3</c:v>
                </c:pt>
                <c:pt idx="10">
                  <c:v>-2.1661067605452306E-3</c:v>
                </c:pt>
                <c:pt idx="11">
                  <c:v>-2.4083907301675617E-3</c:v>
                </c:pt>
                <c:pt idx="12">
                  <c:v>-2.6945045676188919E-3</c:v>
                </c:pt>
                <c:pt idx="13">
                  <c:v>-3.0008789237089407E-3</c:v>
                </c:pt>
                <c:pt idx="14">
                  <c:v>-3.3162301148419657E-3</c:v>
                </c:pt>
                <c:pt idx="15">
                  <c:v>-3.6324883971980966E-3</c:v>
                </c:pt>
                <c:pt idx="16">
                  <c:v>-3.9519322213641675E-3</c:v>
                </c:pt>
                <c:pt idx="17">
                  <c:v>-4.2634406891046538E-3</c:v>
                </c:pt>
                <c:pt idx="18">
                  <c:v>-4.5645723160958303E-3</c:v>
                </c:pt>
                <c:pt idx="19">
                  <c:v>-4.8542244082323497E-3</c:v>
                </c:pt>
                <c:pt idx="20">
                  <c:v>-5.1310332403485997E-3</c:v>
                </c:pt>
                <c:pt idx="21">
                  <c:v>-5.3980636588709394E-3</c:v>
                </c:pt>
                <c:pt idx="22">
                  <c:v>-5.6533492840229946E-3</c:v>
                </c:pt>
                <c:pt idx="23">
                  <c:v>-5.8976778893142876E-3</c:v>
                </c:pt>
                <c:pt idx="24">
                  <c:v>-6.1316326713725484E-3</c:v>
                </c:pt>
                <c:pt idx="25">
                  <c:v>-6.3534297607035174E-3</c:v>
                </c:pt>
                <c:pt idx="26">
                  <c:v>-6.5668766103037582E-3</c:v>
                </c:pt>
                <c:pt idx="27">
                  <c:v>-6.772022787289474E-3</c:v>
                </c:pt>
                <c:pt idx="28">
                  <c:v>-6.9699346893082863E-3</c:v>
                </c:pt>
                <c:pt idx="29">
                  <c:v>-7.1606954630925382E-3</c:v>
                </c:pt>
                <c:pt idx="30">
                  <c:v>-7.3444865260875441E-3</c:v>
                </c:pt>
                <c:pt idx="31">
                  <c:v>-7.5197835856048775E-3</c:v>
                </c:pt>
                <c:pt idx="32">
                  <c:v>-7.6888228953874522E-3</c:v>
                </c:pt>
                <c:pt idx="33">
                  <c:v>-7.8523212758675725E-3</c:v>
                </c:pt>
                <c:pt idx="34">
                  <c:v>-8.0109373887095169E-3</c:v>
                </c:pt>
                <c:pt idx="35">
                  <c:v>-8.1651017466361792E-3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EDB-4269-9B2A-85A0A366EDCC}"/>
            </c:ext>
          </c:extLst>
        </c:ser>
        <c:ser>
          <c:idx val="4"/>
          <c:order val="4"/>
          <c:tx>
            <c:strRef>
              <c:f>Données!$B$510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Données!$C$510:$AL$510</c:f>
              <c:numCache>
                <c:formatCode>0.0%</c:formatCode>
                <c:ptCount val="36"/>
                <c:pt idx="0">
                  <c:v>-0.479708086331957</c:v>
                </c:pt>
                <c:pt idx="1">
                  <c:v>-9.8768743494842895E-3</c:v>
                </c:pt>
                <c:pt idx="2">
                  <c:v>-1.1521720253074009E-2</c:v>
                </c:pt>
                <c:pt idx="3">
                  <c:v>-1.2881733574632894E-2</c:v>
                </c:pt>
                <c:pt idx="4">
                  <c:v>-1.3937469686035443E-2</c:v>
                </c:pt>
                <c:pt idx="5">
                  <c:v>-1.4784075155863611E-2</c:v>
                </c:pt>
                <c:pt idx="6">
                  <c:v>-1.5514027653223694E-2</c:v>
                </c:pt>
                <c:pt idx="7">
                  <c:v>-1.618753713855773E-2</c:v>
                </c:pt>
                <c:pt idx="8">
                  <c:v>-1.6850729345069957E-2</c:v>
                </c:pt>
                <c:pt idx="9">
                  <c:v>-1.7545093431188472E-2</c:v>
                </c:pt>
                <c:pt idx="10">
                  <c:v>-1.8750503400244797E-2</c:v>
                </c:pt>
                <c:pt idx="11">
                  <c:v>-1.9342195479603256E-2</c:v>
                </c:pt>
                <c:pt idx="12">
                  <c:v>-1.9871067655144799E-2</c:v>
                </c:pt>
                <c:pt idx="13">
                  <c:v>-2.0389679121618126E-2</c:v>
                </c:pt>
                <c:pt idx="14">
                  <c:v>-2.0912456591262434E-2</c:v>
                </c:pt>
                <c:pt idx="15">
                  <c:v>-2.1447631664363552E-2</c:v>
                </c:pt>
                <c:pt idx="16">
                  <c:v>-2.2019732809555687E-2</c:v>
                </c:pt>
                <c:pt idx="17">
                  <c:v>-2.2626879074369086E-2</c:v>
                </c:pt>
                <c:pt idx="18">
                  <c:v>-2.3269779748447017E-2</c:v>
                </c:pt>
                <c:pt idx="19">
                  <c:v>-2.3947867351709434E-2</c:v>
                </c:pt>
                <c:pt idx="20">
                  <c:v>-2.4658124425685116E-2</c:v>
                </c:pt>
                <c:pt idx="21">
                  <c:v>-2.5401421816382788E-2</c:v>
                </c:pt>
                <c:pt idx="22">
                  <c:v>-2.6172653784475381E-2</c:v>
                </c:pt>
                <c:pt idx="23">
                  <c:v>-2.6968772600118211E-2</c:v>
                </c:pt>
                <c:pt idx="24">
                  <c:v>-2.7786448592171602E-2</c:v>
                </c:pt>
                <c:pt idx="25">
                  <c:v>-2.8617464893560578E-2</c:v>
                </c:pt>
                <c:pt idx="26">
                  <c:v>-2.9458598665573803E-2</c:v>
                </c:pt>
                <c:pt idx="27">
                  <c:v>-3.0304604471149084E-2</c:v>
                </c:pt>
                <c:pt idx="28">
                  <c:v>-3.1153138922366486E-2</c:v>
                </c:pt>
                <c:pt idx="29">
                  <c:v>-3.2002619120463524E-2</c:v>
                </c:pt>
                <c:pt idx="30">
                  <c:v>-3.2851611294489172E-2</c:v>
                </c:pt>
                <c:pt idx="31">
                  <c:v>-3.3694773003031517E-2</c:v>
                </c:pt>
                <c:pt idx="32">
                  <c:v>-3.4532294305107014E-2</c:v>
                </c:pt>
                <c:pt idx="33">
                  <c:v>-3.5363652091911224E-2</c:v>
                </c:pt>
                <c:pt idx="34">
                  <c:v>-3.6188554217390347E-2</c:v>
                </c:pt>
                <c:pt idx="35">
                  <c:v>-3.7006853148495993E-2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EDB-4269-9B2A-85A0A366EDCC}"/>
            </c:ext>
          </c:extLst>
        </c:ser>
        <c:ser>
          <c:idx val="5"/>
          <c:order val="5"/>
          <c:tx>
            <c:strRef>
              <c:f>Données!$B$511</c:f>
              <c:strCache>
                <c:ptCount val="1"/>
                <c:pt idx="0">
                  <c:v>Autre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Données!$C$511:$AL$511</c:f>
              <c:numCache>
                <c:formatCode>0.0%</c:formatCode>
                <c:ptCount val="36"/>
                <c:pt idx="0">
                  <c:v>-9.0575803365296973E-3</c:v>
                </c:pt>
                <c:pt idx="1">
                  <c:v>-4.2474996647719754E-3</c:v>
                </c:pt>
                <c:pt idx="2">
                  <c:v>-5.1171370529527593E-3</c:v>
                </c:pt>
                <c:pt idx="3">
                  <c:v>-5.853171262124225E-3</c:v>
                </c:pt>
                <c:pt idx="4">
                  <c:v>-6.4884069263054407E-3</c:v>
                </c:pt>
                <c:pt idx="5">
                  <c:v>-7.0091276635142951E-3</c:v>
                </c:pt>
                <c:pt idx="6">
                  <c:v>-7.4526790206413994E-3</c:v>
                </c:pt>
                <c:pt idx="7">
                  <c:v>-7.8523744057314611E-3</c:v>
                </c:pt>
                <c:pt idx="8">
                  <c:v>-8.2358911265266975E-3</c:v>
                </c:pt>
                <c:pt idx="9">
                  <c:v>-8.6219747536874121E-3</c:v>
                </c:pt>
                <c:pt idx="10">
                  <c:v>-9.3372616563582866E-3</c:v>
                </c:pt>
                <c:pt idx="11">
                  <c:v>-9.6959875988892642E-3</c:v>
                </c:pt>
                <c:pt idx="12">
                  <c:v>-1.0039448981595925E-2</c:v>
                </c:pt>
                <c:pt idx="13">
                  <c:v>-1.0387057782603192E-2</c:v>
                </c:pt>
                <c:pt idx="14">
                  <c:v>-1.0737695933541375E-2</c:v>
                </c:pt>
                <c:pt idx="15">
                  <c:v>-1.108971871701808E-2</c:v>
                </c:pt>
                <c:pt idx="16">
                  <c:v>-1.1457544352577165E-2</c:v>
                </c:pt>
                <c:pt idx="17">
                  <c:v>-1.1832495771478397E-2</c:v>
                </c:pt>
                <c:pt idx="18">
                  <c:v>-1.2213131212392122E-2</c:v>
                </c:pt>
                <c:pt idx="19">
                  <c:v>-1.2599051776900613E-2</c:v>
                </c:pt>
                <c:pt idx="20">
                  <c:v>-1.2987823873154569E-2</c:v>
                </c:pt>
                <c:pt idx="21">
                  <c:v>-1.338390039917404E-2</c:v>
                </c:pt>
                <c:pt idx="22">
                  <c:v>-1.3784663241323084E-2</c:v>
                </c:pt>
                <c:pt idx="23">
                  <c:v>-1.4189602098806021E-2</c:v>
                </c:pt>
                <c:pt idx="24">
                  <c:v>-1.4598091845490048E-2</c:v>
                </c:pt>
                <c:pt idx="25">
                  <c:v>-1.5002373182820161E-2</c:v>
                </c:pt>
                <c:pt idx="26">
                  <c:v>-1.5406210969932187E-2</c:v>
                </c:pt>
                <c:pt idx="27">
                  <c:v>-1.5809433903478727E-2</c:v>
                </c:pt>
                <c:pt idx="28">
                  <c:v>-1.6212067233055145E-2</c:v>
                </c:pt>
                <c:pt idx="29">
                  <c:v>-1.661378544183963E-2</c:v>
                </c:pt>
                <c:pt idx="30">
                  <c:v>-1.7014152431267096E-2</c:v>
                </c:pt>
                <c:pt idx="31">
                  <c:v>-1.7409263907479478E-2</c:v>
                </c:pt>
                <c:pt idx="32">
                  <c:v>-1.7800906224818797E-2</c:v>
                </c:pt>
                <c:pt idx="33">
                  <c:v>-1.8189221216104116E-2</c:v>
                </c:pt>
                <c:pt idx="34">
                  <c:v>-1.8574209631867161E-2</c:v>
                </c:pt>
                <c:pt idx="35">
                  <c:v>-1.895584277352666E-2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EDB-4269-9B2A-85A0A366ED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24799288"/>
        <c:axId val="724799616"/>
      </c:barChart>
      <c:lineChart>
        <c:grouping val="standard"/>
        <c:varyColors val="0"/>
        <c:ser>
          <c:idx val="0"/>
          <c:order val="0"/>
          <c:tx>
            <c:strRef>
              <c:f>Données!$B$506</c:f>
              <c:strCache>
                <c:ptCount val="1"/>
                <c:pt idx="0">
                  <c:v>Primary energy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Données!$C$506:$AL$506</c:f>
              <c:numCache>
                <c:formatCode>0.0%</c:formatCode>
                <c:ptCount val="36"/>
                <c:pt idx="0">
                  <c:v>-1.814671577515059E-2</c:v>
                </c:pt>
                <c:pt idx="1">
                  <c:v>-2.2477594091992459E-2</c:v>
                </c:pt>
                <c:pt idx="2">
                  <c:v>-2.6049962133447679E-2</c:v>
                </c:pt>
                <c:pt idx="3">
                  <c:v>-2.9246803417057876E-2</c:v>
                </c:pt>
                <c:pt idx="4">
                  <c:v>-3.2008742102197063E-2</c:v>
                </c:pt>
                <c:pt idx="5">
                  <c:v>-3.444469366272862E-2</c:v>
                </c:pt>
                <c:pt idx="6">
                  <c:v>-3.670179088754566E-2</c:v>
                </c:pt>
                <c:pt idx="7">
                  <c:v>-3.886287601776206E-2</c:v>
                </c:pt>
                <c:pt idx="8">
                  <c:v>-4.1000061598728155E-2</c:v>
                </c:pt>
                <c:pt idx="9">
                  <c:v>-4.3188174208320329E-2</c:v>
                </c:pt>
                <c:pt idx="10">
                  <c:v>-4.6809520679197303E-2</c:v>
                </c:pt>
                <c:pt idx="11">
                  <c:v>-4.8627432434373841E-2</c:v>
                </c:pt>
                <c:pt idx="12">
                  <c:v>-5.0315176521539939E-2</c:v>
                </c:pt>
                <c:pt idx="13">
                  <c:v>-5.1969407942433654E-2</c:v>
                </c:pt>
                <c:pt idx="14">
                  <c:v>-5.3605793799443413E-2</c:v>
                </c:pt>
                <c:pt idx="15">
                  <c:v>-5.5230595709210073E-2</c:v>
                </c:pt>
                <c:pt idx="16">
                  <c:v>-5.6911134000454444E-2</c:v>
                </c:pt>
                <c:pt idx="17">
                  <c:v>-5.8615989079186082E-2</c:v>
                </c:pt>
                <c:pt idx="18">
                  <c:v>-6.0346371013427547E-2</c:v>
                </c:pt>
                <c:pt idx="19">
                  <c:v>-6.2104603622409216E-2</c:v>
                </c:pt>
                <c:pt idx="20">
                  <c:v>-6.3884585437189778E-2</c:v>
                </c:pt>
                <c:pt idx="21">
                  <c:v>-6.5703548845133519E-2</c:v>
                </c:pt>
                <c:pt idx="22">
                  <c:v>-6.7549438078379875E-2</c:v>
                </c:pt>
                <c:pt idx="23">
                  <c:v>-6.9420698022535698E-2</c:v>
                </c:pt>
                <c:pt idx="24">
                  <c:v>-7.1314495667049949E-2</c:v>
                </c:pt>
                <c:pt idx="25">
                  <c:v>-7.3203922925724529E-2</c:v>
                </c:pt>
                <c:pt idx="26">
                  <c:v>-7.5100484345522633E-2</c:v>
                </c:pt>
                <c:pt idx="27">
                  <c:v>-7.699790169434495E-2</c:v>
                </c:pt>
                <c:pt idx="28">
                  <c:v>-7.889423057126943E-2</c:v>
                </c:pt>
                <c:pt idx="29">
                  <c:v>-8.078659074765937E-2</c:v>
                </c:pt>
                <c:pt idx="30">
                  <c:v>-8.2672191907724901E-2</c:v>
                </c:pt>
                <c:pt idx="31">
                  <c:v>-8.4534414507918099E-2</c:v>
                </c:pt>
                <c:pt idx="32">
                  <c:v>-8.6380551039350051E-2</c:v>
                </c:pt>
                <c:pt idx="33">
                  <c:v>-8.8210405247834855E-2</c:v>
                </c:pt>
                <c:pt idx="34">
                  <c:v>-9.0023748981555074E-2</c:v>
                </c:pt>
                <c:pt idx="35">
                  <c:v>-9.1820203800262679E-2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EDB-4269-9B2A-85A0A366ED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4799288"/>
        <c:axId val="724799616"/>
      </c:lineChart>
      <c:dateAx>
        <c:axId val="724799288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616"/>
        <c:crosses val="autoZero"/>
        <c:auto val="1"/>
        <c:lblOffset val="100"/>
        <c:baseTimeUnit val="years"/>
        <c:majorUnit val="5"/>
        <c:majorTimeUnit val="years"/>
      </c:dateAx>
      <c:valAx>
        <c:axId val="724799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288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>
          <a:latin typeface="Marianne Light" panose="02000000000000000000" pitchFamily="50" charset="0"/>
        </a:defRPr>
      </a:pPr>
      <a:endParaRPr lang="fr-FR"/>
    </a:p>
  </c:tx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Buildings by class (baseline)</a:t>
            </a:r>
          </a:p>
          <a:p>
            <a:pPr>
              <a:defRPr/>
            </a:pPr>
            <a:r>
              <a:rPr lang="fr-FR" sz="1800" i="1"/>
              <a:t>thousands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Données!$B$380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Données!$C$380:$AL$380</c:f>
              <c:numCache>
                <c:formatCode>#,##0</c:formatCode>
                <c:ptCount val="36"/>
                <c:pt idx="0">
                  <c:v>3.476542051</c:v>
                </c:pt>
                <c:pt idx="1">
                  <c:v>5.7227175170000004</c:v>
                </c:pt>
                <c:pt idx="2">
                  <c:v>7.9150342939999998</c:v>
                </c:pt>
                <c:pt idx="3">
                  <c:v>9.8028883580000006</c:v>
                </c:pt>
                <c:pt idx="4">
                  <c:v>11.155958439999999</c:v>
                </c:pt>
                <c:pt idx="5">
                  <c:v>16.284898559999998</c:v>
                </c:pt>
                <c:pt idx="6">
                  <c:v>22.964130709999999</c:v>
                </c:pt>
                <c:pt idx="7">
                  <c:v>30.052271130000001</c:v>
                </c:pt>
                <c:pt idx="8">
                  <c:v>37.200901440000003</c:v>
                </c:pt>
                <c:pt idx="9">
                  <c:v>44.335411620000002</c:v>
                </c:pt>
                <c:pt idx="10">
                  <c:v>51.49308018</c:v>
                </c:pt>
                <c:pt idx="11">
                  <c:v>58.603540189999997</c:v>
                </c:pt>
                <c:pt idx="12">
                  <c:v>65.708729579999996</c:v>
                </c:pt>
                <c:pt idx="13">
                  <c:v>72.805012860000005</c:v>
                </c:pt>
                <c:pt idx="14">
                  <c:v>79.885960749999995</c:v>
                </c:pt>
                <c:pt idx="15">
                  <c:v>86.944300999999996</c:v>
                </c:pt>
                <c:pt idx="16">
                  <c:v>93.973016520000002</c:v>
                </c:pt>
                <c:pt idx="17">
                  <c:v>100.9659616</c:v>
                </c:pt>
                <c:pt idx="18">
                  <c:v>107.918206</c:v>
                </c:pt>
                <c:pt idx="19">
                  <c:v>114.8261943</c:v>
                </c:pt>
                <c:pt idx="20">
                  <c:v>121.6598158</c:v>
                </c:pt>
                <c:pt idx="21">
                  <c:v>128.4676058</c:v>
                </c:pt>
                <c:pt idx="22">
                  <c:v>135.2218982</c:v>
                </c:pt>
                <c:pt idx="23">
                  <c:v>141.9239321</c:v>
                </c:pt>
                <c:pt idx="24">
                  <c:v>148.5765054</c:v>
                </c:pt>
                <c:pt idx="25">
                  <c:v>155.10657610000001</c:v>
                </c:pt>
                <c:pt idx="26">
                  <c:v>161.61605589999999</c:v>
                </c:pt>
                <c:pt idx="27">
                  <c:v>168.0582703</c:v>
                </c:pt>
                <c:pt idx="28">
                  <c:v>174.42635440000001</c:v>
                </c:pt>
                <c:pt idx="29">
                  <c:v>180.715541</c:v>
                </c:pt>
                <c:pt idx="30">
                  <c:v>186.92352360000001</c:v>
                </c:pt>
                <c:pt idx="31">
                  <c:v>193.0496919</c:v>
                </c:pt>
                <c:pt idx="32">
                  <c:v>199.0941425</c:v>
                </c:pt>
                <c:pt idx="33">
                  <c:v>205.0568231</c:v>
                </c:pt>
                <c:pt idx="34">
                  <c:v>210.9367986</c:v>
                </c:pt>
                <c:pt idx="35">
                  <c:v>216.7316568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6B-4BFF-9D6E-7891C58785EB}"/>
            </c:ext>
          </c:extLst>
        </c:ser>
        <c:ser>
          <c:idx val="1"/>
          <c:order val="1"/>
          <c:tx>
            <c:strRef>
              <c:f>Données!$B$381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Données!$C$381:$AL$381</c:f>
              <c:numCache>
                <c:formatCode>#,##0</c:formatCode>
                <c:ptCount val="36"/>
                <c:pt idx="0">
                  <c:v>68.80476281</c:v>
                </c:pt>
                <c:pt idx="1">
                  <c:v>77.184615870000002</c:v>
                </c:pt>
                <c:pt idx="2">
                  <c:v>86.226500180000002</c:v>
                </c:pt>
                <c:pt idx="3">
                  <c:v>95.7928912</c:v>
                </c:pt>
                <c:pt idx="4">
                  <c:v>106.7444996</c:v>
                </c:pt>
                <c:pt idx="5">
                  <c:v>114.81332</c:v>
                </c:pt>
                <c:pt idx="6">
                  <c:v>120.31708620000001</c:v>
                </c:pt>
                <c:pt idx="7">
                  <c:v>124.82551599999999</c:v>
                </c:pt>
                <c:pt idx="8">
                  <c:v>128.83006409999999</c:v>
                </c:pt>
                <c:pt idx="9">
                  <c:v>132.56906040000001</c:v>
                </c:pt>
                <c:pt idx="10">
                  <c:v>137.19726900000001</c:v>
                </c:pt>
                <c:pt idx="11">
                  <c:v>140.70088010000001</c:v>
                </c:pt>
                <c:pt idx="12">
                  <c:v>144.14771680000001</c:v>
                </c:pt>
                <c:pt idx="13">
                  <c:v>147.5577696</c:v>
                </c:pt>
                <c:pt idx="14">
                  <c:v>150.9439351</c:v>
                </c:pt>
                <c:pt idx="15">
                  <c:v>154.31504810000001</c:v>
                </c:pt>
                <c:pt idx="16">
                  <c:v>157.67745650000001</c:v>
                </c:pt>
                <c:pt idx="17">
                  <c:v>161.03583710000001</c:v>
                </c:pt>
                <c:pt idx="18">
                  <c:v>164.39361930000001</c:v>
                </c:pt>
                <c:pt idx="19">
                  <c:v>167.7532214</c:v>
                </c:pt>
                <c:pt idx="20">
                  <c:v>170.4298134</c:v>
                </c:pt>
                <c:pt idx="21">
                  <c:v>173.7977822</c:v>
                </c:pt>
                <c:pt idx="22">
                  <c:v>177.17320910000001</c:v>
                </c:pt>
                <c:pt idx="23">
                  <c:v>180.55592920000001</c:v>
                </c:pt>
                <c:pt idx="24">
                  <c:v>183.94502199999999</c:v>
                </c:pt>
                <c:pt idx="25">
                  <c:v>185.46559120000001</c:v>
                </c:pt>
                <c:pt idx="26">
                  <c:v>187.98594589999999</c:v>
                </c:pt>
                <c:pt idx="27">
                  <c:v>190.51667939999999</c:v>
                </c:pt>
                <c:pt idx="28">
                  <c:v>193.0612836</c:v>
                </c:pt>
                <c:pt idx="29">
                  <c:v>195.62235889999999</c:v>
                </c:pt>
                <c:pt idx="30">
                  <c:v>198.2014044</c:v>
                </c:pt>
                <c:pt idx="31">
                  <c:v>200.79913400000001</c:v>
                </c:pt>
                <c:pt idx="32">
                  <c:v>203.41590289999999</c:v>
                </c:pt>
                <c:pt idx="33">
                  <c:v>206.05209049999999</c:v>
                </c:pt>
                <c:pt idx="34">
                  <c:v>208.70843959999999</c:v>
                </c:pt>
                <c:pt idx="35">
                  <c:v>211.3863431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96B-4BFF-9D6E-7891C58785EB}"/>
            </c:ext>
          </c:extLst>
        </c:ser>
        <c:ser>
          <c:idx val="2"/>
          <c:order val="2"/>
          <c:tx>
            <c:strRef>
              <c:f>Données!$B$382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Données!$C$382:$AL$382</c:f>
              <c:numCache>
                <c:formatCode>#,##0</c:formatCode>
                <c:ptCount val="36"/>
                <c:pt idx="0">
                  <c:v>408.28039699999999</c:v>
                </c:pt>
                <c:pt idx="1">
                  <c:v>425.47099270000001</c:v>
                </c:pt>
                <c:pt idx="2">
                  <c:v>444.58497030000001</c:v>
                </c:pt>
                <c:pt idx="3">
                  <c:v>464.58604120000001</c:v>
                </c:pt>
                <c:pt idx="4">
                  <c:v>486.66937130000002</c:v>
                </c:pt>
                <c:pt idx="5">
                  <c:v>503.4087131</c:v>
                </c:pt>
                <c:pt idx="6">
                  <c:v>515.14708389999998</c:v>
                </c:pt>
                <c:pt idx="7">
                  <c:v>525.29697060000001</c:v>
                </c:pt>
                <c:pt idx="8">
                  <c:v>534.66990420000002</c:v>
                </c:pt>
                <c:pt idx="9">
                  <c:v>543.64612439999996</c:v>
                </c:pt>
                <c:pt idx="10">
                  <c:v>555.32216010000002</c:v>
                </c:pt>
                <c:pt idx="11">
                  <c:v>563.96909449999998</c:v>
                </c:pt>
                <c:pt idx="12">
                  <c:v>572.54159790000006</c:v>
                </c:pt>
                <c:pt idx="13">
                  <c:v>581.06931380000003</c:v>
                </c:pt>
                <c:pt idx="14">
                  <c:v>589.57113349999997</c:v>
                </c:pt>
                <c:pt idx="15">
                  <c:v>598.0598847</c:v>
                </c:pt>
                <c:pt idx="16">
                  <c:v>606.54473350000001</c:v>
                </c:pt>
                <c:pt idx="17">
                  <c:v>615.0324071</c:v>
                </c:pt>
                <c:pt idx="18">
                  <c:v>623.52781179999999</c:v>
                </c:pt>
                <c:pt idx="19">
                  <c:v>632.03436280000005</c:v>
                </c:pt>
                <c:pt idx="20">
                  <c:v>638.62613699999997</c:v>
                </c:pt>
                <c:pt idx="21">
                  <c:v>647.1584838</c:v>
                </c:pt>
                <c:pt idx="22">
                  <c:v>655.7098479</c:v>
                </c:pt>
                <c:pt idx="23">
                  <c:v>664.27964469999995</c:v>
                </c:pt>
                <c:pt idx="24">
                  <c:v>672.86609450000003</c:v>
                </c:pt>
                <c:pt idx="25">
                  <c:v>676.20393379999996</c:v>
                </c:pt>
                <c:pt idx="26">
                  <c:v>682.34073530000001</c:v>
                </c:pt>
                <c:pt idx="27">
                  <c:v>688.49357039999995</c:v>
                </c:pt>
                <c:pt idx="28">
                  <c:v>694.66758890000006</c:v>
                </c:pt>
                <c:pt idx="29">
                  <c:v>700.86652800000002</c:v>
                </c:pt>
                <c:pt idx="30">
                  <c:v>707.09243030000005</c:v>
                </c:pt>
                <c:pt idx="31">
                  <c:v>713.34611759999996</c:v>
                </c:pt>
                <c:pt idx="32">
                  <c:v>719.62787070000002</c:v>
                </c:pt>
                <c:pt idx="33">
                  <c:v>725.93805210000005</c:v>
                </c:pt>
                <c:pt idx="34">
                  <c:v>732.27766569999994</c:v>
                </c:pt>
                <c:pt idx="35">
                  <c:v>738.64883180000004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96B-4BFF-9D6E-7891C58785EB}"/>
            </c:ext>
          </c:extLst>
        </c:ser>
        <c:ser>
          <c:idx val="3"/>
          <c:order val="3"/>
          <c:tx>
            <c:strRef>
              <c:f>Données!$B$383</c:f>
              <c:strCache>
                <c:ptCount val="1"/>
                <c:pt idx="0">
                  <c:v>D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Données!$C$383:$AL$383</c:f>
              <c:numCache>
                <c:formatCode>#,##0</c:formatCode>
                <c:ptCount val="36"/>
                <c:pt idx="0">
                  <c:v>954.38155940000001</c:v>
                </c:pt>
                <c:pt idx="1">
                  <c:v>947.69777139999997</c:v>
                </c:pt>
                <c:pt idx="2">
                  <c:v>940.93763560000002</c:v>
                </c:pt>
                <c:pt idx="3">
                  <c:v>933.32371680000006</c:v>
                </c:pt>
                <c:pt idx="4">
                  <c:v>923.43122430000005</c:v>
                </c:pt>
                <c:pt idx="5">
                  <c:v>915.16062929999998</c:v>
                </c:pt>
                <c:pt idx="6">
                  <c:v>908.60448159999999</c:v>
                </c:pt>
                <c:pt idx="7">
                  <c:v>903.13097530000005</c:v>
                </c:pt>
                <c:pt idx="8">
                  <c:v>898.27586510000003</c:v>
                </c:pt>
                <c:pt idx="9">
                  <c:v>893.76580839999997</c:v>
                </c:pt>
                <c:pt idx="10">
                  <c:v>889.45010090000005</c:v>
                </c:pt>
                <c:pt idx="11">
                  <c:v>885.24814360000005</c:v>
                </c:pt>
                <c:pt idx="12">
                  <c:v>881.11617200000001</c:v>
                </c:pt>
                <c:pt idx="13">
                  <c:v>877.03083709999999</c:v>
                </c:pt>
                <c:pt idx="14">
                  <c:v>872.97939259999998</c:v>
                </c:pt>
                <c:pt idx="15">
                  <c:v>868.95471940000004</c:v>
                </c:pt>
                <c:pt idx="16">
                  <c:v>864.95270889999995</c:v>
                </c:pt>
                <c:pt idx="17">
                  <c:v>860.97088959999996</c:v>
                </c:pt>
                <c:pt idx="18">
                  <c:v>857.00770750000004</c:v>
                </c:pt>
                <c:pt idx="19">
                  <c:v>853.06214820000002</c:v>
                </c:pt>
                <c:pt idx="20">
                  <c:v>849.13347150000004</c:v>
                </c:pt>
                <c:pt idx="21">
                  <c:v>845.22079229999997</c:v>
                </c:pt>
                <c:pt idx="22">
                  <c:v>841.32393930000001</c:v>
                </c:pt>
                <c:pt idx="23">
                  <c:v>837.44267409999998</c:v>
                </c:pt>
                <c:pt idx="24">
                  <c:v>833.57692329999998</c:v>
                </c:pt>
                <c:pt idx="25">
                  <c:v>829.7265443</c:v>
                </c:pt>
                <c:pt idx="26">
                  <c:v>825.89032910000003</c:v>
                </c:pt>
                <c:pt idx="27">
                  <c:v>822.06799509999996</c:v>
                </c:pt>
                <c:pt idx="28">
                  <c:v>818.25883190000002</c:v>
                </c:pt>
                <c:pt idx="29">
                  <c:v>814.46217520000005</c:v>
                </c:pt>
                <c:pt idx="30">
                  <c:v>810.6774805</c:v>
                </c:pt>
                <c:pt idx="31">
                  <c:v>806.90432390000001</c:v>
                </c:pt>
                <c:pt idx="32">
                  <c:v>803.14236440000002</c:v>
                </c:pt>
                <c:pt idx="33">
                  <c:v>799.39128849999997</c:v>
                </c:pt>
                <c:pt idx="34">
                  <c:v>795.6507421</c:v>
                </c:pt>
                <c:pt idx="35">
                  <c:v>791.92025420000004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96B-4BFF-9D6E-7891C58785EB}"/>
            </c:ext>
          </c:extLst>
        </c:ser>
        <c:ser>
          <c:idx val="4"/>
          <c:order val="4"/>
          <c:tx>
            <c:strRef>
              <c:f>Données!$B$384</c:f>
              <c:strCache>
                <c:ptCount val="1"/>
                <c:pt idx="0">
                  <c:v>E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Données!$C$384:$AL$384</c:f>
              <c:numCache>
                <c:formatCode>#,##0</c:formatCode>
                <c:ptCount val="36"/>
                <c:pt idx="0">
                  <c:v>878.79999729999997</c:v>
                </c:pt>
                <c:pt idx="1">
                  <c:v>867.97061580000002</c:v>
                </c:pt>
                <c:pt idx="2">
                  <c:v>857.17684689999999</c:v>
                </c:pt>
                <c:pt idx="3">
                  <c:v>846.13862789999996</c:v>
                </c:pt>
                <c:pt idx="4">
                  <c:v>834.45323340000004</c:v>
                </c:pt>
                <c:pt idx="5">
                  <c:v>825.60426419999999</c:v>
                </c:pt>
                <c:pt idx="6">
                  <c:v>818.66441180000004</c:v>
                </c:pt>
                <c:pt idx="7">
                  <c:v>812.81115399999999</c:v>
                </c:pt>
                <c:pt idx="8">
                  <c:v>807.55775389999997</c:v>
                </c:pt>
                <c:pt idx="9">
                  <c:v>802.63672829999996</c:v>
                </c:pt>
                <c:pt idx="10">
                  <c:v>797.90480590000004</c:v>
                </c:pt>
                <c:pt idx="11">
                  <c:v>793.28651950000005</c:v>
                </c:pt>
                <c:pt idx="12">
                  <c:v>788.74112009999999</c:v>
                </c:pt>
                <c:pt idx="13">
                  <c:v>784.24690190000001</c:v>
                </c:pt>
                <c:pt idx="14">
                  <c:v>779.79195059999995</c:v>
                </c:pt>
                <c:pt idx="15">
                  <c:v>775.36951869999996</c:v>
                </c:pt>
                <c:pt idx="16">
                  <c:v>770.9756175</c:v>
                </c:pt>
                <c:pt idx="17">
                  <c:v>766.60777029999997</c:v>
                </c:pt>
                <c:pt idx="18">
                  <c:v>762.26436969999997</c:v>
                </c:pt>
                <c:pt idx="19">
                  <c:v>757.94434739999997</c:v>
                </c:pt>
                <c:pt idx="20">
                  <c:v>753.64688850000005</c:v>
                </c:pt>
                <c:pt idx="21">
                  <c:v>749.37100359999999</c:v>
                </c:pt>
                <c:pt idx="22">
                  <c:v>745.1165254</c:v>
                </c:pt>
                <c:pt idx="23">
                  <c:v>740.88333130000001</c:v>
                </c:pt>
                <c:pt idx="24">
                  <c:v>736.67154230000006</c:v>
                </c:pt>
                <c:pt idx="25">
                  <c:v>732.48110259999999</c:v>
                </c:pt>
                <c:pt idx="26">
                  <c:v>728.3106196</c:v>
                </c:pt>
                <c:pt idx="27">
                  <c:v>724.15961010000001</c:v>
                </c:pt>
                <c:pt idx="28">
                  <c:v>720.02724539999997</c:v>
                </c:pt>
                <c:pt idx="29">
                  <c:v>715.91285379999999</c:v>
                </c:pt>
                <c:pt idx="30">
                  <c:v>711.81599210000002</c:v>
                </c:pt>
                <c:pt idx="31">
                  <c:v>707.73642470000004</c:v>
                </c:pt>
                <c:pt idx="32">
                  <c:v>703.67404859999999</c:v>
                </c:pt>
                <c:pt idx="33">
                  <c:v>699.62880250000001</c:v>
                </c:pt>
                <c:pt idx="34">
                  <c:v>695.60057059999997</c:v>
                </c:pt>
                <c:pt idx="35">
                  <c:v>691.58908880000001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96B-4BFF-9D6E-7891C58785EB}"/>
            </c:ext>
          </c:extLst>
        </c:ser>
        <c:ser>
          <c:idx val="5"/>
          <c:order val="5"/>
          <c:tx>
            <c:strRef>
              <c:f>Données!$B$385</c:f>
              <c:strCache>
                <c:ptCount val="1"/>
                <c:pt idx="0">
                  <c:v>F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Données!$C$385:$AL$385</c:f>
              <c:numCache>
                <c:formatCode>#,##0</c:formatCode>
                <c:ptCount val="36"/>
                <c:pt idx="0">
                  <c:v>139.85209269999999</c:v>
                </c:pt>
                <c:pt idx="1">
                  <c:v>137.95542620000001</c:v>
                </c:pt>
                <c:pt idx="2">
                  <c:v>136.0868151</c:v>
                </c:pt>
                <c:pt idx="3">
                  <c:v>134.2500221</c:v>
                </c:pt>
                <c:pt idx="4">
                  <c:v>132.44730100000001</c:v>
                </c:pt>
                <c:pt idx="5">
                  <c:v>130.6786276</c:v>
                </c:pt>
                <c:pt idx="6">
                  <c:v>128.94239920000001</c:v>
                </c:pt>
                <c:pt idx="7">
                  <c:v>127.23581470000001</c:v>
                </c:pt>
                <c:pt idx="8">
                  <c:v>125.5558056</c:v>
                </c:pt>
                <c:pt idx="9">
                  <c:v>123.8997037</c:v>
                </c:pt>
                <c:pt idx="10">
                  <c:v>122.26555</c:v>
                </c:pt>
                <c:pt idx="11">
                  <c:v>120.6520087</c:v>
                </c:pt>
                <c:pt idx="12">
                  <c:v>119.0581193</c:v>
                </c:pt>
                <c:pt idx="13">
                  <c:v>117.4832194</c:v>
                </c:pt>
                <c:pt idx="14">
                  <c:v>115.9268713</c:v>
                </c:pt>
                <c:pt idx="15">
                  <c:v>114.38879660000001</c:v>
                </c:pt>
                <c:pt idx="16">
                  <c:v>112.8688291</c:v>
                </c:pt>
                <c:pt idx="17">
                  <c:v>111.36688289999999</c:v>
                </c:pt>
                <c:pt idx="18">
                  <c:v>109.88293109999999</c:v>
                </c:pt>
                <c:pt idx="19">
                  <c:v>108.4169892</c:v>
                </c:pt>
                <c:pt idx="20">
                  <c:v>106.96906989999999</c:v>
                </c:pt>
                <c:pt idx="21">
                  <c:v>105.5391838</c:v>
                </c:pt>
                <c:pt idx="22">
                  <c:v>104.1273893</c:v>
                </c:pt>
                <c:pt idx="23">
                  <c:v>102.73375369999999</c:v>
                </c:pt>
                <c:pt idx="24">
                  <c:v>101.35832480000001</c:v>
                </c:pt>
                <c:pt idx="25">
                  <c:v>100.0010434</c:v>
                </c:pt>
                <c:pt idx="26">
                  <c:v>98.661739859999997</c:v>
                </c:pt>
                <c:pt idx="27">
                  <c:v>97.340268559999998</c:v>
                </c:pt>
                <c:pt idx="28">
                  <c:v>96.036500689999997</c:v>
                </c:pt>
                <c:pt idx="29">
                  <c:v>94.750307169999999</c:v>
                </c:pt>
                <c:pt idx="30">
                  <c:v>93.481543209999998</c:v>
                </c:pt>
                <c:pt idx="31">
                  <c:v>92.230042920000002</c:v>
                </c:pt>
                <c:pt idx="32">
                  <c:v>90.995615459999996</c:v>
                </c:pt>
                <c:pt idx="33">
                  <c:v>89.778041979999998</c:v>
                </c:pt>
                <c:pt idx="34">
                  <c:v>88.577074839999995</c:v>
                </c:pt>
                <c:pt idx="35">
                  <c:v>87.392439769999996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96B-4BFF-9D6E-7891C58785EB}"/>
            </c:ext>
          </c:extLst>
        </c:ser>
        <c:ser>
          <c:idx val="6"/>
          <c:order val="6"/>
          <c:tx>
            <c:strRef>
              <c:f>Données!$B$386</c:f>
              <c:strCache>
                <c:ptCount val="1"/>
                <c:pt idx="0">
                  <c:v>G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Données!$C$386:$AL$386</c:f>
              <c:numCache>
                <c:formatCode>#,##0</c:formatCode>
                <c:ptCount val="36"/>
                <c:pt idx="0">
                  <c:v>3.874567114</c:v>
                </c:pt>
                <c:pt idx="1">
                  <c:v>3.7242339819999999</c:v>
                </c:pt>
                <c:pt idx="2">
                  <c:v>3.5803045760000001</c:v>
                </c:pt>
                <c:pt idx="3">
                  <c:v>3.4427972160000002</c:v>
                </c:pt>
                <c:pt idx="4">
                  <c:v>3.3116253869999999</c:v>
                </c:pt>
                <c:pt idx="5">
                  <c:v>3.1865472050000001</c:v>
                </c:pt>
                <c:pt idx="6">
                  <c:v>3.0671962060000002</c:v>
                </c:pt>
                <c:pt idx="7">
                  <c:v>2.9531470999999998</c:v>
                </c:pt>
                <c:pt idx="8">
                  <c:v>2.843983218</c:v>
                </c:pt>
                <c:pt idx="9">
                  <c:v>2.7393390050000002</c:v>
                </c:pt>
                <c:pt idx="10">
                  <c:v>2.6389157519999999</c:v>
                </c:pt>
                <c:pt idx="11">
                  <c:v>2.5424707350000002</c:v>
                </c:pt>
                <c:pt idx="12">
                  <c:v>2.4497966789999999</c:v>
                </c:pt>
                <c:pt idx="13">
                  <c:v>2.3607140210000002</c:v>
                </c:pt>
                <c:pt idx="14">
                  <c:v>2.2750643959999999</c:v>
                </c:pt>
                <c:pt idx="15">
                  <c:v>2.1927053089999999</c:v>
                </c:pt>
                <c:pt idx="16">
                  <c:v>2.113506288</c:v>
                </c:pt>
                <c:pt idx="17">
                  <c:v>2.0373462839999998</c:v>
                </c:pt>
                <c:pt idx="18">
                  <c:v>1.9641118689999999</c:v>
                </c:pt>
                <c:pt idx="19">
                  <c:v>1.893695881</c:v>
                </c:pt>
                <c:pt idx="20">
                  <c:v>1.8259947059999999</c:v>
                </c:pt>
                <c:pt idx="21">
                  <c:v>1.7609081680000001</c:v>
                </c:pt>
                <c:pt idx="22">
                  <c:v>1.6983420170000001</c:v>
                </c:pt>
                <c:pt idx="23">
                  <c:v>1.638205935</c:v>
                </c:pt>
                <c:pt idx="24">
                  <c:v>1.5804121019999999</c:v>
                </c:pt>
                <c:pt idx="25">
                  <c:v>1.5248709760000001</c:v>
                </c:pt>
                <c:pt idx="26">
                  <c:v>1.471491307</c:v>
                </c:pt>
                <c:pt idx="27">
                  <c:v>1.4201864019999999</c:v>
                </c:pt>
                <c:pt idx="28">
                  <c:v>1.370873939</c:v>
                </c:pt>
                <c:pt idx="29">
                  <c:v>1.323475202</c:v>
                </c:pt>
                <c:pt idx="30">
                  <c:v>1.2779144229999999</c:v>
                </c:pt>
                <c:pt idx="31">
                  <c:v>1.2341184620000001</c:v>
                </c:pt>
                <c:pt idx="32">
                  <c:v>1.1920164470000001</c:v>
                </c:pt>
                <c:pt idx="33">
                  <c:v>1.1515395289999999</c:v>
                </c:pt>
                <c:pt idx="34">
                  <c:v>1.1126207749999999</c:v>
                </c:pt>
                <c:pt idx="35">
                  <c:v>1.075195181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96B-4BFF-9D6E-7891C5878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5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Buildings by class (baseline)</a:t>
            </a:r>
          </a:p>
          <a:p>
            <a:pPr>
              <a:defRPr/>
            </a:pPr>
            <a:r>
              <a:rPr lang="fr-FR" sz="1800" i="1"/>
              <a:t>thousands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Données!$B$371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Données!$C$371:$AL$371</c:f>
              <c:numCache>
                <c:formatCode>#,##0</c:formatCode>
                <c:ptCount val="36"/>
                <c:pt idx="0">
                  <c:v>3.476542051</c:v>
                </c:pt>
                <c:pt idx="1">
                  <c:v>7.804662714</c:v>
                </c:pt>
                <c:pt idx="2">
                  <c:v>12.659654700000001</c:v>
                </c:pt>
                <c:pt idx="3">
                  <c:v>17.3900647</c:v>
                </c:pt>
                <c:pt idx="4">
                  <c:v>21.76490313</c:v>
                </c:pt>
                <c:pt idx="5">
                  <c:v>25.68179503</c:v>
                </c:pt>
                <c:pt idx="6">
                  <c:v>29.04914321</c:v>
                </c:pt>
                <c:pt idx="7">
                  <c:v>31.835349069999999</c:v>
                </c:pt>
                <c:pt idx="8">
                  <c:v>33.989357200000001</c:v>
                </c:pt>
                <c:pt idx="9">
                  <c:v>35.47570382</c:v>
                </c:pt>
                <c:pt idx="10">
                  <c:v>39.283683920000001</c:v>
                </c:pt>
                <c:pt idx="11">
                  <c:v>43.578707080000001</c:v>
                </c:pt>
                <c:pt idx="12">
                  <c:v>47.899524999999997</c:v>
                </c:pt>
                <c:pt idx="13">
                  <c:v>52.1471357</c:v>
                </c:pt>
                <c:pt idx="14">
                  <c:v>56.322809300000003</c:v>
                </c:pt>
                <c:pt idx="15">
                  <c:v>60.442489049999999</c:v>
                </c:pt>
                <c:pt idx="16">
                  <c:v>64.518300229999994</c:v>
                </c:pt>
                <c:pt idx="17">
                  <c:v>68.557277859999999</c:v>
                </c:pt>
                <c:pt idx="18">
                  <c:v>72.561224699999997</c:v>
                </c:pt>
                <c:pt idx="19">
                  <c:v>76.530137640000007</c:v>
                </c:pt>
                <c:pt idx="20">
                  <c:v>80.436748390000005</c:v>
                </c:pt>
                <c:pt idx="21">
                  <c:v>84.332489690000003</c:v>
                </c:pt>
                <c:pt idx="22">
                  <c:v>88.190640990000006</c:v>
                </c:pt>
                <c:pt idx="23">
                  <c:v>92.012152520000001</c:v>
                </c:pt>
                <c:pt idx="24">
                  <c:v>95.799044069999994</c:v>
                </c:pt>
                <c:pt idx="25">
                  <c:v>99.480168219999996</c:v>
                </c:pt>
                <c:pt idx="26">
                  <c:v>103.163526</c:v>
                </c:pt>
                <c:pt idx="27">
                  <c:v>106.8084923</c:v>
                </c:pt>
                <c:pt idx="28">
                  <c:v>110.4158345</c:v>
                </c:pt>
                <c:pt idx="29">
                  <c:v>113.9877796</c:v>
                </c:pt>
                <c:pt idx="30">
                  <c:v>117.5273038</c:v>
                </c:pt>
                <c:pt idx="31">
                  <c:v>121.0375128</c:v>
                </c:pt>
                <c:pt idx="32">
                  <c:v>124.52127539999999</c:v>
                </c:pt>
                <c:pt idx="33">
                  <c:v>127.98230650000001</c:v>
                </c:pt>
                <c:pt idx="34">
                  <c:v>131.42370399999999</c:v>
                </c:pt>
                <c:pt idx="35">
                  <c:v>134.84754409999999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4F-4D83-A0F0-AAB37D9DB6AC}"/>
            </c:ext>
          </c:extLst>
        </c:ser>
        <c:ser>
          <c:idx val="1"/>
          <c:order val="1"/>
          <c:tx>
            <c:strRef>
              <c:f>Données!$B$372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Données!$C$372:$AL$372</c:f>
              <c:numCache>
                <c:formatCode>#,##0</c:formatCode>
                <c:ptCount val="36"/>
                <c:pt idx="0">
                  <c:v>68.80476281</c:v>
                </c:pt>
                <c:pt idx="1">
                  <c:v>75.269502130000006</c:v>
                </c:pt>
                <c:pt idx="2">
                  <c:v>81.192118780000001</c:v>
                </c:pt>
                <c:pt idx="3">
                  <c:v>86.595228149999997</c:v>
                </c:pt>
                <c:pt idx="4">
                  <c:v>91.841971099999995</c:v>
                </c:pt>
                <c:pt idx="5">
                  <c:v>97.158665319999997</c:v>
                </c:pt>
                <c:pt idx="6">
                  <c:v>102.0997064</c:v>
                </c:pt>
                <c:pt idx="7">
                  <c:v>107.4797593</c:v>
                </c:pt>
                <c:pt idx="8">
                  <c:v>113.6395936</c:v>
                </c:pt>
                <c:pt idx="9">
                  <c:v>121.3437119</c:v>
                </c:pt>
                <c:pt idx="10">
                  <c:v>130.99978060000001</c:v>
                </c:pt>
                <c:pt idx="11">
                  <c:v>140.83625230000001</c:v>
                </c:pt>
                <c:pt idx="12">
                  <c:v>151.65967380000001</c:v>
                </c:pt>
                <c:pt idx="13">
                  <c:v>163.1030456</c:v>
                </c:pt>
                <c:pt idx="14">
                  <c:v>174.84807710000001</c:v>
                </c:pt>
                <c:pt idx="15">
                  <c:v>186.67251099999999</c:v>
                </c:pt>
                <c:pt idx="16">
                  <c:v>198.4377757</c:v>
                </c:pt>
                <c:pt idx="17">
                  <c:v>210.0624569</c:v>
                </c:pt>
                <c:pt idx="18">
                  <c:v>221.50832990000001</c:v>
                </c:pt>
                <c:pt idx="19">
                  <c:v>232.75943040000001</c:v>
                </c:pt>
                <c:pt idx="20">
                  <c:v>243.1247075</c:v>
                </c:pt>
                <c:pt idx="21">
                  <c:v>253.97853280000001</c:v>
                </c:pt>
                <c:pt idx="22">
                  <c:v>264.6395167</c:v>
                </c:pt>
                <c:pt idx="23">
                  <c:v>275.1109874</c:v>
                </c:pt>
                <c:pt idx="24">
                  <c:v>285.39613939999998</c:v>
                </c:pt>
                <c:pt idx="25">
                  <c:v>293.62478329999999</c:v>
                </c:pt>
                <c:pt idx="26">
                  <c:v>302.6707806</c:v>
                </c:pt>
                <c:pt idx="27">
                  <c:v>311.5503458</c:v>
                </c:pt>
                <c:pt idx="28">
                  <c:v>320.2690083</c:v>
                </c:pt>
                <c:pt idx="29">
                  <c:v>328.83055530000001</c:v>
                </c:pt>
                <c:pt idx="30">
                  <c:v>337.2380124</c:v>
                </c:pt>
                <c:pt idx="31">
                  <c:v>345.49439000000001</c:v>
                </c:pt>
                <c:pt idx="32">
                  <c:v>353.60309710000001</c:v>
                </c:pt>
                <c:pt idx="33">
                  <c:v>361.56649160000001</c:v>
                </c:pt>
                <c:pt idx="34">
                  <c:v>369.38683170000002</c:v>
                </c:pt>
                <c:pt idx="35">
                  <c:v>377.06661810000003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4F-4D83-A0F0-AAB37D9DB6AC}"/>
            </c:ext>
          </c:extLst>
        </c:ser>
        <c:ser>
          <c:idx val="2"/>
          <c:order val="2"/>
          <c:tx>
            <c:strRef>
              <c:f>Données!$B$373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Données!$C$373:$AL$373</c:f>
              <c:numCache>
                <c:formatCode>#,##0</c:formatCode>
                <c:ptCount val="36"/>
                <c:pt idx="0">
                  <c:v>408.28039699999999</c:v>
                </c:pt>
                <c:pt idx="1">
                  <c:v>422.28654710000001</c:v>
                </c:pt>
                <c:pt idx="2">
                  <c:v>435.97834519999998</c:v>
                </c:pt>
                <c:pt idx="3">
                  <c:v>448.70085119999999</c:v>
                </c:pt>
                <c:pt idx="4">
                  <c:v>461.11173330000003</c:v>
                </c:pt>
                <c:pt idx="5">
                  <c:v>473.62644219999999</c:v>
                </c:pt>
                <c:pt idx="6">
                  <c:v>484.81746190000001</c:v>
                </c:pt>
                <c:pt idx="7">
                  <c:v>496.75685149999998</c:v>
                </c:pt>
                <c:pt idx="8">
                  <c:v>509.9258428</c:v>
                </c:pt>
                <c:pt idx="9">
                  <c:v>525.23477960000002</c:v>
                </c:pt>
                <c:pt idx="10">
                  <c:v>542.76865310000005</c:v>
                </c:pt>
                <c:pt idx="11">
                  <c:v>557.94503210000005</c:v>
                </c:pt>
                <c:pt idx="12">
                  <c:v>573.84318350000001</c:v>
                </c:pt>
                <c:pt idx="13">
                  <c:v>590.26429210000003</c:v>
                </c:pt>
                <c:pt idx="14">
                  <c:v>606.96234389999995</c:v>
                </c:pt>
                <c:pt idx="15">
                  <c:v>623.7461826</c:v>
                </c:pt>
                <c:pt idx="16">
                  <c:v>640.48985419999997</c:v>
                </c:pt>
                <c:pt idx="17">
                  <c:v>657.11633519999998</c:v>
                </c:pt>
                <c:pt idx="18">
                  <c:v>673.58708750000005</c:v>
                </c:pt>
                <c:pt idx="19">
                  <c:v>689.88425619999998</c:v>
                </c:pt>
                <c:pt idx="20">
                  <c:v>704.0724702</c:v>
                </c:pt>
                <c:pt idx="21">
                  <c:v>720.00376140000003</c:v>
                </c:pt>
                <c:pt idx="22">
                  <c:v>735.75696419999997</c:v>
                </c:pt>
                <c:pt idx="23">
                  <c:v>751.3339446</c:v>
                </c:pt>
                <c:pt idx="24">
                  <c:v>766.73669510000002</c:v>
                </c:pt>
                <c:pt idx="25">
                  <c:v>776.70339690000003</c:v>
                </c:pt>
                <c:pt idx="26">
                  <c:v>789.28375340000002</c:v>
                </c:pt>
                <c:pt idx="27">
                  <c:v>801.69693519999998</c:v>
                </c:pt>
                <c:pt idx="28">
                  <c:v>813.94729180000002</c:v>
                </c:pt>
                <c:pt idx="29">
                  <c:v>826.03762410000002</c:v>
                </c:pt>
                <c:pt idx="30">
                  <c:v>837.97015490000001</c:v>
                </c:pt>
                <c:pt idx="31">
                  <c:v>849.74727559999997</c:v>
                </c:pt>
                <c:pt idx="32">
                  <c:v>861.37195910000003</c:v>
                </c:pt>
                <c:pt idx="33">
                  <c:v>872.84629580000001</c:v>
                </c:pt>
                <c:pt idx="34">
                  <c:v>884.17249860000004</c:v>
                </c:pt>
                <c:pt idx="35">
                  <c:v>895.35322310000004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34F-4D83-A0F0-AAB37D9DB6AC}"/>
            </c:ext>
          </c:extLst>
        </c:ser>
        <c:ser>
          <c:idx val="3"/>
          <c:order val="3"/>
          <c:tx>
            <c:strRef>
              <c:f>Données!$B$374</c:f>
              <c:strCache>
                <c:ptCount val="1"/>
                <c:pt idx="0">
                  <c:v>D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Données!$C$374:$AL$374</c:f>
              <c:numCache>
                <c:formatCode>#,##0</c:formatCode>
                <c:ptCount val="36"/>
                <c:pt idx="0">
                  <c:v>954.38155940000001</c:v>
                </c:pt>
                <c:pt idx="1">
                  <c:v>950.89689390000001</c:v>
                </c:pt>
                <c:pt idx="2">
                  <c:v>949.09445900000003</c:v>
                </c:pt>
                <c:pt idx="3">
                  <c:v>947.79104689999997</c:v>
                </c:pt>
                <c:pt idx="4">
                  <c:v>946.44086440000001</c:v>
                </c:pt>
                <c:pt idx="5">
                  <c:v>944.81661440000005</c:v>
                </c:pt>
                <c:pt idx="6">
                  <c:v>942.80116659999999</c:v>
                </c:pt>
                <c:pt idx="7">
                  <c:v>940.24188749999996</c:v>
                </c:pt>
                <c:pt idx="8">
                  <c:v>936.69181619999995</c:v>
                </c:pt>
                <c:pt idx="9">
                  <c:v>930.83922059999998</c:v>
                </c:pt>
                <c:pt idx="10">
                  <c:v>920.85448469999994</c:v>
                </c:pt>
                <c:pt idx="11">
                  <c:v>907.57954700000005</c:v>
                </c:pt>
                <c:pt idx="12">
                  <c:v>892.0126788</c:v>
                </c:pt>
                <c:pt idx="13">
                  <c:v>875.07021569999995</c:v>
                </c:pt>
                <c:pt idx="14">
                  <c:v>857.45146380000006</c:v>
                </c:pt>
                <c:pt idx="15">
                  <c:v>839.62687289999997</c:v>
                </c:pt>
                <c:pt idx="16">
                  <c:v>821.88783839999996</c:v>
                </c:pt>
                <c:pt idx="17">
                  <c:v>804.40656620000004</c:v>
                </c:pt>
                <c:pt idx="18">
                  <c:v>787.26974619999999</c:v>
                </c:pt>
                <c:pt idx="19">
                  <c:v>770.51780340000005</c:v>
                </c:pt>
                <c:pt idx="20">
                  <c:v>754.1655988</c:v>
                </c:pt>
                <c:pt idx="21">
                  <c:v>738.21399659999997</c:v>
                </c:pt>
                <c:pt idx="22">
                  <c:v>722.65954829999998</c:v>
                </c:pt>
                <c:pt idx="23">
                  <c:v>707.49658120000004</c:v>
                </c:pt>
                <c:pt idx="24">
                  <c:v>692.7179701</c:v>
                </c:pt>
                <c:pt idx="25">
                  <c:v>678.3133636</c:v>
                </c:pt>
                <c:pt idx="26">
                  <c:v>664.26731540000003</c:v>
                </c:pt>
                <c:pt idx="27">
                  <c:v>650.56519170000001</c:v>
                </c:pt>
                <c:pt idx="28">
                  <c:v>637.19645619999994</c:v>
                </c:pt>
                <c:pt idx="29">
                  <c:v>624.15221889999998</c:v>
                </c:pt>
                <c:pt idx="30">
                  <c:v>611.42410870000003</c:v>
                </c:pt>
                <c:pt idx="31">
                  <c:v>599.00349229999995</c:v>
                </c:pt>
                <c:pt idx="32">
                  <c:v>586.88106979999998</c:v>
                </c:pt>
                <c:pt idx="33">
                  <c:v>575.0485549</c:v>
                </c:pt>
                <c:pt idx="34">
                  <c:v>563.49832839999999</c:v>
                </c:pt>
                <c:pt idx="35">
                  <c:v>552.22324089999995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34F-4D83-A0F0-AAB37D9DB6AC}"/>
            </c:ext>
          </c:extLst>
        </c:ser>
        <c:ser>
          <c:idx val="4"/>
          <c:order val="4"/>
          <c:tx>
            <c:strRef>
              <c:f>Données!$B$375</c:f>
              <c:strCache>
                <c:ptCount val="1"/>
                <c:pt idx="0">
                  <c:v>E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Données!$C$375:$AL$375</c:f>
              <c:numCache>
                <c:formatCode>#,##0</c:formatCode>
                <c:ptCount val="36"/>
                <c:pt idx="0">
                  <c:v>878.79999729999997</c:v>
                </c:pt>
                <c:pt idx="1">
                  <c:v>867.86627410000006</c:v>
                </c:pt>
                <c:pt idx="2">
                  <c:v>858.10000679999996</c:v>
                </c:pt>
                <c:pt idx="3">
                  <c:v>849.45869049999999</c:v>
                </c:pt>
                <c:pt idx="4">
                  <c:v>841.67789760000005</c:v>
                </c:pt>
                <c:pt idx="5">
                  <c:v>834.43813250000005</c:v>
                </c:pt>
                <c:pt idx="6">
                  <c:v>827.42169650000005</c:v>
                </c:pt>
                <c:pt idx="7">
                  <c:v>820.31634159999999</c:v>
                </c:pt>
                <c:pt idx="8">
                  <c:v>812.80636500000003</c:v>
                </c:pt>
                <c:pt idx="9">
                  <c:v>804.57160390000001</c:v>
                </c:pt>
                <c:pt idx="10">
                  <c:v>797.95807139999999</c:v>
                </c:pt>
                <c:pt idx="11">
                  <c:v>792.34580649999998</c:v>
                </c:pt>
                <c:pt idx="12">
                  <c:v>787.29336579999995</c:v>
                </c:pt>
                <c:pt idx="13">
                  <c:v>782.55141509999999</c:v>
                </c:pt>
                <c:pt idx="14">
                  <c:v>777.9854583</c:v>
                </c:pt>
                <c:pt idx="15">
                  <c:v>773.52398770000002</c:v>
                </c:pt>
                <c:pt idx="16">
                  <c:v>769.12913390000006</c:v>
                </c:pt>
                <c:pt idx="17">
                  <c:v>764.78084609999996</c:v>
                </c:pt>
                <c:pt idx="18">
                  <c:v>760.4681349</c:v>
                </c:pt>
                <c:pt idx="19">
                  <c:v>756.18492939999999</c:v>
                </c:pt>
                <c:pt idx="20">
                  <c:v>751.92778810000004</c:v>
                </c:pt>
                <c:pt idx="21">
                  <c:v>747.69440159999999</c:v>
                </c:pt>
                <c:pt idx="22">
                  <c:v>743.48390429999995</c:v>
                </c:pt>
                <c:pt idx="23">
                  <c:v>739.29576440000005</c:v>
                </c:pt>
                <c:pt idx="24">
                  <c:v>735.12981909999996</c:v>
                </c:pt>
                <c:pt idx="25">
                  <c:v>730.98593029999995</c:v>
                </c:pt>
                <c:pt idx="26">
                  <c:v>726.86294329999998</c:v>
                </c:pt>
                <c:pt idx="27">
                  <c:v>722.76076999999998</c:v>
                </c:pt>
                <c:pt idx="28">
                  <c:v>718.67924979999998</c:v>
                </c:pt>
                <c:pt idx="29">
                  <c:v>714.61842200000001</c:v>
                </c:pt>
                <c:pt idx="30">
                  <c:v>710.57845410000004</c:v>
                </c:pt>
                <c:pt idx="31">
                  <c:v>706.55957109999997</c:v>
                </c:pt>
                <c:pt idx="32">
                  <c:v>702.56200449999994</c:v>
                </c:pt>
                <c:pt idx="33">
                  <c:v>698.58607029999996</c:v>
                </c:pt>
                <c:pt idx="34">
                  <c:v>694.63206739999998</c:v>
                </c:pt>
                <c:pt idx="35">
                  <c:v>690.70022110000002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34F-4D83-A0F0-AAB37D9DB6AC}"/>
            </c:ext>
          </c:extLst>
        </c:ser>
        <c:ser>
          <c:idx val="5"/>
          <c:order val="5"/>
          <c:tx>
            <c:strRef>
              <c:f>Données!$B$376</c:f>
              <c:strCache>
                <c:ptCount val="1"/>
                <c:pt idx="0">
                  <c:v>F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Données!$C$376:$AL$376</c:f>
              <c:numCache>
                <c:formatCode>#,##0</c:formatCode>
                <c:ptCount val="36"/>
                <c:pt idx="0">
                  <c:v>139.85209269999999</c:v>
                </c:pt>
                <c:pt idx="1">
                  <c:v>137.88315130000001</c:v>
                </c:pt>
                <c:pt idx="2">
                  <c:v>135.91446930000001</c:v>
                </c:pt>
                <c:pt idx="3">
                  <c:v>133.97567699999999</c:v>
                </c:pt>
                <c:pt idx="4">
                  <c:v>132.08642950000001</c:v>
                </c:pt>
                <c:pt idx="5">
                  <c:v>130.2542014</c:v>
                </c:pt>
                <c:pt idx="6">
                  <c:v>128.47742270000001</c:v>
                </c:pt>
                <c:pt idx="7">
                  <c:v>126.7498222</c:v>
                </c:pt>
                <c:pt idx="8">
                  <c:v>125.06395790000001</c:v>
                </c:pt>
                <c:pt idx="9">
                  <c:v>123.4130985</c:v>
                </c:pt>
                <c:pt idx="10">
                  <c:v>121.79177350000001</c:v>
                </c:pt>
                <c:pt idx="11">
                  <c:v>120.1962577</c:v>
                </c:pt>
                <c:pt idx="12">
                  <c:v>118.62421329999999</c:v>
                </c:pt>
                <c:pt idx="13">
                  <c:v>117.07381599999999</c:v>
                </c:pt>
                <c:pt idx="14">
                  <c:v>115.5436163</c:v>
                </c:pt>
                <c:pt idx="15">
                  <c:v>114.0324413</c:v>
                </c:pt>
                <c:pt idx="16">
                  <c:v>112.53943630000001</c:v>
                </c:pt>
                <c:pt idx="17">
                  <c:v>111.06409119999999</c:v>
                </c:pt>
                <c:pt idx="18">
                  <c:v>109.6059041</c:v>
                </c:pt>
                <c:pt idx="19">
                  <c:v>108.1645671</c:v>
                </c:pt>
                <c:pt idx="20">
                  <c:v>106.7399484</c:v>
                </c:pt>
                <c:pt idx="21">
                  <c:v>105.33206</c:v>
                </c:pt>
                <c:pt idx="22">
                  <c:v>103.9410633</c:v>
                </c:pt>
                <c:pt idx="23">
                  <c:v>102.5672026</c:v>
                </c:pt>
                <c:pt idx="24">
                  <c:v>101.2107395</c:v>
                </c:pt>
                <c:pt idx="25">
                  <c:v>99.871847009999996</c:v>
                </c:pt>
                <c:pt idx="26">
                  <c:v>98.550572869999996</c:v>
                </c:pt>
                <c:pt idx="27">
                  <c:v>97.24695011</c:v>
                </c:pt>
                <c:pt idx="28">
                  <c:v>95.961125929999994</c:v>
                </c:pt>
                <c:pt idx="29">
                  <c:v>94.693230779999993</c:v>
                </c:pt>
                <c:pt idx="30">
                  <c:v>93.443337580000005</c:v>
                </c:pt>
                <c:pt idx="31">
                  <c:v>92.211441309999998</c:v>
                </c:pt>
                <c:pt idx="32">
                  <c:v>90.997454649999995</c:v>
                </c:pt>
                <c:pt idx="33">
                  <c:v>89.801276770000001</c:v>
                </c:pt>
                <c:pt idx="34">
                  <c:v>88.622750839999995</c:v>
                </c:pt>
                <c:pt idx="35">
                  <c:v>87.46165895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34F-4D83-A0F0-AAB37D9DB6AC}"/>
            </c:ext>
          </c:extLst>
        </c:ser>
        <c:ser>
          <c:idx val="6"/>
          <c:order val="6"/>
          <c:tx>
            <c:strRef>
              <c:f>Données!$B$377</c:f>
              <c:strCache>
                <c:ptCount val="1"/>
                <c:pt idx="0">
                  <c:v>G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Données!$C$377:$AL$377</c:f>
              <c:numCache>
                <c:formatCode>#,##0</c:formatCode>
                <c:ptCount val="36"/>
                <c:pt idx="0">
                  <c:v>3.874567114</c:v>
                </c:pt>
                <c:pt idx="1">
                  <c:v>3.7193422909999998</c:v>
                </c:pt>
                <c:pt idx="2">
                  <c:v>3.569053094</c:v>
                </c:pt>
                <c:pt idx="3">
                  <c:v>3.4254263159999998</c:v>
                </c:pt>
                <c:pt idx="4">
                  <c:v>3.289414523</c:v>
                </c:pt>
                <c:pt idx="5">
                  <c:v>3.161149311</c:v>
                </c:pt>
                <c:pt idx="6">
                  <c:v>3.040192351</c:v>
                </c:pt>
                <c:pt idx="7">
                  <c:v>2.9258375750000001</c:v>
                </c:pt>
                <c:pt idx="8">
                  <c:v>2.8173446210000002</c:v>
                </c:pt>
                <c:pt idx="9">
                  <c:v>2.7140576429999999</c:v>
                </c:pt>
                <c:pt idx="10">
                  <c:v>2.6154344269999998</c:v>
                </c:pt>
                <c:pt idx="11">
                  <c:v>2.521054634</c:v>
                </c:pt>
                <c:pt idx="12">
                  <c:v>2.4306121809999999</c:v>
                </c:pt>
                <c:pt idx="13">
                  <c:v>2.3438483319999999</c:v>
                </c:pt>
                <c:pt idx="14">
                  <c:v>2.2605394599999999</c:v>
                </c:pt>
                <c:pt idx="15">
                  <c:v>2.1804892059999998</c:v>
                </c:pt>
                <c:pt idx="16">
                  <c:v>2.103529639</c:v>
                </c:pt>
                <c:pt idx="17">
                  <c:v>2.0295214100000001</c:v>
                </c:pt>
                <c:pt idx="18">
                  <c:v>1.9583298250000001</c:v>
                </c:pt>
                <c:pt idx="19">
                  <c:v>1.889834856</c:v>
                </c:pt>
                <c:pt idx="20">
                  <c:v>1.8239295259999999</c:v>
                </c:pt>
                <c:pt idx="21">
                  <c:v>1.760517589</c:v>
                </c:pt>
                <c:pt idx="22">
                  <c:v>1.6995133899999999</c:v>
                </c:pt>
                <c:pt idx="23">
                  <c:v>1.640838279</c:v>
                </c:pt>
                <c:pt idx="24">
                  <c:v>1.584417127</c:v>
                </c:pt>
                <c:pt idx="25">
                  <c:v>1.530173048</c:v>
                </c:pt>
                <c:pt idx="26">
                  <c:v>1.4780254770000001</c:v>
                </c:pt>
                <c:pt idx="27">
                  <c:v>1.427895339</c:v>
                </c:pt>
                <c:pt idx="28">
                  <c:v>1.3797122690000001</c:v>
                </c:pt>
                <c:pt idx="29">
                  <c:v>1.3334085250000001</c:v>
                </c:pt>
                <c:pt idx="30">
                  <c:v>1.288917052</c:v>
                </c:pt>
                <c:pt idx="31">
                  <c:v>1.2461704360000001</c:v>
                </c:pt>
                <c:pt idx="32">
                  <c:v>1.2051006440000001</c:v>
                </c:pt>
                <c:pt idx="33">
                  <c:v>1.1656423389999999</c:v>
                </c:pt>
                <c:pt idx="34">
                  <c:v>1.127731152</c:v>
                </c:pt>
                <c:pt idx="35">
                  <c:v>1.0913034580000001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34F-4D83-A0F0-AAB37D9DB6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5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Vehicles by class (baseline)</a:t>
            </a:r>
          </a:p>
          <a:p>
            <a:pPr>
              <a:defRPr/>
            </a:pPr>
            <a:r>
              <a:rPr lang="fr-FR" sz="1800" i="1"/>
              <a:t>thousands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Données!$B$362</c:f>
              <c:strCache>
                <c:ptCount val="1"/>
                <c:pt idx="0">
                  <c:v>AUTO_CA_0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Données!$C$362:$AL$362</c:f>
              <c:numCache>
                <c:formatCode>#,##0</c:formatCode>
                <c:ptCount val="36"/>
                <c:pt idx="0">
                  <c:v>7105.9689965623002</c:v>
                </c:pt>
                <c:pt idx="1">
                  <c:v>7160.6497671000006</c:v>
                </c:pt>
                <c:pt idx="2">
                  <c:v>7267.0218370155008</c:v>
                </c:pt>
                <c:pt idx="3">
                  <c:v>7408.2740057071996</c:v>
                </c:pt>
                <c:pt idx="4">
                  <c:v>7573.2387139170005</c:v>
                </c:pt>
                <c:pt idx="5">
                  <c:v>7754.6723144157995</c:v>
                </c:pt>
                <c:pt idx="6">
                  <c:v>7946.7417244778999</c:v>
                </c:pt>
                <c:pt idx="7">
                  <c:v>8146.3988636513004</c:v>
                </c:pt>
                <c:pt idx="8">
                  <c:v>8351.6196397042004</c:v>
                </c:pt>
                <c:pt idx="9">
                  <c:v>8561.0175159940009</c:v>
                </c:pt>
                <c:pt idx="10">
                  <c:v>8775.7139489904002</c:v>
                </c:pt>
                <c:pt idx="11">
                  <c:v>8992.7592987945009</c:v>
                </c:pt>
                <c:pt idx="12">
                  <c:v>9211.5018680216999</c:v>
                </c:pt>
                <c:pt idx="13">
                  <c:v>9431.3736237804005</c:v>
                </c:pt>
                <c:pt idx="14">
                  <c:v>9651.9099041869995</c:v>
                </c:pt>
                <c:pt idx="15">
                  <c:v>9872.7421421448998</c:v>
                </c:pt>
                <c:pt idx="16">
                  <c:v>10093.5828523035</c:v>
                </c:pt>
                <c:pt idx="17">
                  <c:v>10314.210248539701</c:v>
                </c:pt>
                <c:pt idx="18">
                  <c:v>10534.4554565415</c:v>
                </c:pt>
                <c:pt idx="19">
                  <c:v>10754.193088506801</c:v>
                </c:pt>
                <c:pt idx="20">
                  <c:v>10971.670640568</c:v>
                </c:pt>
                <c:pt idx="21">
                  <c:v>11188.586057733999</c:v>
                </c:pt>
                <c:pt idx="22">
                  <c:v>11404.950033195999</c:v>
                </c:pt>
                <c:pt idx="23">
                  <c:v>11620.816143782999</c:v>
                </c:pt>
                <c:pt idx="24">
                  <c:v>11836.243901701</c:v>
                </c:pt>
                <c:pt idx="25">
                  <c:v>12046.420554188</c:v>
                </c:pt>
                <c:pt idx="26">
                  <c:v>12254.240099397</c:v>
                </c:pt>
                <c:pt idx="27">
                  <c:v>12459.975403196</c:v>
                </c:pt>
                <c:pt idx="28">
                  <c:v>12664.003533795001</c:v>
                </c:pt>
                <c:pt idx="29">
                  <c:v>12866.725796728</c:v>
                </c:pt>
                <c:pt idx="30">
                  <c:v>13068.527870380001</c:v>
                </c:pt>
                <c:pt idx="31">
                  <c:v>13269.762191302001</c:v>
                </c:pt>
                <c:pt idx="32">
                  <c:v>13470.743568914</c:v>
                </c:pt>
                <c:pt idx="33">
                  <c:v>13671.752169308</c:v>
                </c:pt>
                <c:pt idx="34">
                  <c:v>13873.039520916001</c:v>
                </c:pt>
                <c:pt idx="35">
                  <c:v>14074.835071420999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3B-46A1-8D5E-7BC161373771}"/>
            </c:ext>
          </c:extLst>
        </c:ser>
        <c:ser>
          <c:idx val="1"/>
          <c:order val="1"/>
          <c:tx>
            <c:strRef>
              <c:f>Données!$B$363</c:f>
              <c:strCache>
                <c:ptCount val="1"/>
                <c:pt idx="0">
                  <c:v>AUTO_CB_0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Données!$C$363:$AL$363</c:f>
              <c:numCache>
                <c:formatCode>#,##0</c:formatCode>
                <c:ptCount val="36"/>
                <c:pt idx="0">
                  <c:v>8263.1971436354015</c:v>
                </c:pt>
                <c:pt idx="1">
                  <c:v>8202.9699827737986</c:v>
                </c:pt>
                <c:pt idx="2">
                  <c:v>8199.9926223088987</c:v>
                </c:pt>
                <c:pt idx="3">
                  <c:v>8237.1856900254988</c:v>
                </c:pt>
                <c:pt idx="4">
                  <c:v>8303.0509469113003</c:v>
                </c:pt>
                <c:pt idx="5">
                  <c:v>8389.9666165513991</c:v>
                </c:pt>
                <c:pt idx="6">
                  <c:v>8491.7567477201992</c:v>
                </c:pt>
                <c:pt idx="7">
                  <c:v>8604.9718863155995</c:v>
                </c:pt>
                <c:pt idx="8">
                  <c:v>8727.1942902800984</c:v>
                </c:pt>
                <c:pt idx="9">
                  <c:v>8856.6591194845987</c:v>
                </c:pt>
                <c:pt idx="10">
                  <c:v>8993.9961933231007</c:v>
                </c:pt>
                <c:pt idx="11">
                  <c:v>9136.0468455786013</c:v>
                </c:pt>
                <c:pt idx="12">
                  <c:v>9281.8489600201992</c:v>
                </c:pt>
                <c:pt idx="13">
                  <c:v>9430.5500667002016</c:v>
                </c:pt>
                <c:pt idx="14">
                  <c:v>9581.4221256272012</c:v>
                </c:pt>
                <c:pt idx="15">
                  <c:v>9733.8514973303008</c:v>
                </c:pt>
                <c:pt idx="16">
                  <c:v>9887.3222464228002</c:v>
                </c:pt>
                <c:pt idx="17">
                  <c:v>10041.399493626999</c:v>
                </c:pt>
                <c:pt idx="18">
                  <c:v>10195.715444031899</c:v>
                </c:pt>
                <c:pt idx="19">
                  <c:v>10349.958774304399</c:v>
                </c:pt>
                <c:pt idx="20">
                  <c:v>10502.357592490902</c:v>
                </c:pt>
                <c:pt idx="21">
                  <c:v>10654.292923867999</c:v>
                </c:pt>
                <c:pt idx="22">
                  <c:v>10805.617527898399</c:v>
                </c:pt>
                <c:pt idx="23">
                  <c:v>10956.231558975001</c:v>
                </c:pt>
                <c:pt idx="24">
                  <c:v>11106.048503438</c:v>
                </c:pt>
                <c:pt idx="25">
                  <c:v>11250.652217817</c:v>
                </c:pt>
                <c:pt idx="26">
                  <c:v>11392.533722794</c:v>
                </c:pt>
                <c:pt idx="27">
                  <c:v>11531.841412735001</c:v>
                </c:pt>
                <c:pt idx="28">
                  <c:v>11668.817056718999</c:v>
                </c:pt>
                <c:pt idx="29">
                  <c:v>11803.723640583999</c:v>
                </c:pt>
                <c:pt idx="30">
                  <c:v>11936.809789126</c:v>
                </c:pt>
                <c:pt idx="31">
                  <c:v>12068.294188907999</c:v>
                </c:pt>
                <c:pt idx="32">
                  <c:v>12198.361844638999</c:v>
                </c:pt>
                <c:pt idx="33">
                  <c:v>12327.166695771</c:v>
                </c:pt>
                <c:pt idx="34">
                  <c:v>12454.836938627001</c:v>
                </c:pt>
                <c:pt idx="35">
                  <c:v>12581.48071657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13B-46A1-8D5E-7BC161373771}"/>
            </c:ext>
          </c:extLst>
        </c:ser>
        <c:ser>
          <c:idx val="2"/>
          <c:order val="2"/>
          <c:tx>
            <c:strRef>
              <c:f>Données!$B$364</c:f>
              <c:strCache>
                <c:ptCount val="1"/>
                <c:pt idx="0">
                  <c:v>AUTO_CC_0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Données!$C$364:$AL$364</c:f>
              <c:numCache>
                <c:formatCode>#,##0</c:formatCode>
                <c:ptCount val="36"/>
                <c:pt idx="0">
                  <c:v>6787.4105911386005</c:v>
                </c:pt>
                <c:pt idx="1">
                  <c:v>6662.2406300520997</c:v>
                </c:pt>
                <c:pt idx="2">
                  <c:v>6582.4081977873002</c:v>
                </c:pt>
                <c:pt idx="3">
                  <c:v>6535.4142459124996</c:v>
                </c:pt>
                <c:pt idx="4">
                  <c:v>6512.7391935327996</c:v>
                </c:pt>
                <c:pt idx="5">
                  <c:v>6508.6252919535</c:v>
                </c:pt>
                <c:pt idx="6">
                  <c:v>6518.3813086272994</c:v>
                </c:pt>
                <c:pt idx="7">
                  <c:v>6539.2420466543999</c:v>
                </c:pt>
                <c:pt idx="8">
                  <c:v>6569.1921338541997</c:v>
                </c:pt>
                <c:pt idx="9">
                  <c:v>6606.6982884543995</c:v>
                </c:pt>
                <c:pt idx="10">
                  <c:v>6651.8786751891002</c:v>
                </c:pt>
                <c:pt idx="11">
                  <c:v>6702.3120259722991</c:v>
                </c:pt>
                <c:pt idx="12">
                  <c:v>6757.0932873849997</c:v>
                </c:pt>
                <c:pt idx="13">
                  <c:v>6815.4150712090996</c:v>
                </c:pt>
                <c:pt idx="14">
                  <c:v>6876.5749899276998</c:v>
                </c:pt>
                <c:pt idx="15">
                  <c:v>6939.9665751071998</c:v>
                </c:pt>
                <c:pt idx="16">
                  <c:v>7005.0660776344002</c:v>
                </c:pt>
                <c:pt idx="17">
                  <c:v>7071.4195935753005</c:v>
                </c:pt>
                <c:pt idx="18">
                  <c:v>7138.6321820952999</c:v>
                </c:pt>
                <c:pt idx="19">
                  <c:v>7206.3593516879</c:v>
                </c:pt>
                <c:pt idx="20">
                  <c:v>7273.3130819328999</c:v>
                </c:pt>
                <c:pt idx="21">
                  <c:v>7340.2857811913</c:v>
                </c:pt>
                <c:pt idx="22">
                  <c:v>7407.0731540365996</c:v>
                </c:pt>
                <c:pt idx="23">
                  <c:v>7473.5093816442004</c:v>
                </c:pt>
                <c:pt idx="24">
                  <c:v>7539.4443886272993</c:v>
                </c:pt>
                <c:pt idx="25">
                  <c:v>7601.9537469193001</c:v>
                </c:pt>
                <c:pt idx="26">
                  <c:v>7662.5813296872011</c:v>
                </c:pt>
                <c:pt idx="27">
                  <c:v>7721.3617859517008</c:v>
                </c:pt>
                <c:pt idx="28">
                  <c:v>7778.3917390895003</c:v>
                </c:pt>
                <c:pt idx="29">
                  <c:v>7833.7827127596001</c:v>
                </c:pt>
                <c:pt idx="30">
                  <c:v>7887.6382922065995</c:v>
                </c:pt>
                <c:pt idx="31">
                  <c:v>7940.0442215392995</c:v>
                </c:pt>
                <c:pt idx="32">
                  <c:v>7991.0660545933997</c:v>
                </c:pt>
                <c:pt idx="33">
                  <c:v>8040.7508693785003</c:v>
                </c:pt>
                <c:pt idx="34">
                  <c:v>8089.1306785673005</c:v>
                </c:pt>
                <c:pt idx="35">
                  <c:v>8136.2260664078995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13B-46A1-8D5E-7BC161373771}"/>
            </c:ext>
          </c:extLst>
        </c:ser>
        <c:ser>
          <c:idx val="3"/>
          <c:order val="3"/>
          <c:tx>
            <c:strRef>
              <c:f>Données!$B$365</c:f>
              <c:strCache>
                <c:ptCount val="1"/>
                <c:pt idx="0">
                  <c:v>AUTO_CD_0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Données!$C$365:$AL$365</c:f>
              <c:numCache>
                <c:formatCode>#,##0</c:formatCode>
                <c:ptCount val="36"/>
                <c:pt idx="0">
                  <c:v>4165.6835237371006</c:v>
                </c:pt>
                <c:pt idx="1">
                  <c:v>4063.7549302087</c:v>
                </c:pt>
                <c:pt idx="2">
                  <c:v>3987.4894742228003</c:v>
                </c:pt>
                <c:pt idx="3">
                  <c:v>3929.3510947748996</c:v>
                </c:pt>
                <c:pt idx="4">
                  <c:v>3884.2335693405998</c:v>
                </c:pt>
                <c:pt idx="5">
                  <c:v>3848.6928192884998</c:v>
                </c:pt>
                <c:pt idx="6">
                  <c:v>3819.9769017140998</c:v>
                </c:pt>
                <c:pt idx="7">
                  <c:v>3796.4372700771</c:v>
                </c:pt>
                <c:pt idx="8">
                  <c:v>3776.8724886993</c:v>
                </c:pt>
                <c:pt idx="9">
                  <c:v>3760.3696771177997</c:v>
                </c:pt>
                <c:pt idx="10">
                  <c:v>3746.8693233979998</c:v>
                </c:pt>
                <c:pt idx="11">
                  <c:v>3735.0603296354998</c:v>
                </c:pt>
                <c:pt idx="12">
                  <c:v>3724.4200962550999</c:v>
                </c:pt>
                <c:pt idx="13">
                  <c:v>3714.4942382085001</c:v>
                </c:pt>
                <c:pt idx="14">
                  <c:v>3704.8966044986</c:v>
                </c:pt>
                <c:pt idx="15">
                  <c:v>3695.3018221152997</c:v>
                </c:pt>
                <c:pt idx="16">
                  <c:v>3685.4365547640004</c:v>
                </c:pt>
                <c:pt idx="17">
                  <c:v>3675.0714532068</c:v>
                </c:pt>
                <c:pt idx="18">
                  <c:v>3664.0143796893999</c:v>
                </c:pt>
                <c:pt idx="19">
                  <c:v>3652.1049545511005</c:v>
                </c:pt>
                <c:pt idx="20">
                  <c:v>3638.7871643894</c:v>
                </c:pt>
                <c:pt idx="21">
                  <c:v>3624.4161766873999</c:v>
                </c:pt>
                <c:pt idx="22">
                  <c:v>3608.9135855887002</c:v>
                </c:pt>
                <c:pt idx="23">
                  <c:v>3592.2203244651</c:v>
                </c:pt>
                <c:pt idx="24">
                  <c:v>3574.2871030782999</c:v>
                </c:pt>
                <c:pt idx="25">
                  <c:v>3553.9751236511001</c:v>
                </c:pt>
                <c:pt idx="26">
                  <c:v>3531.9539905815996</c:v>
                </c:pt>
                <c:pt idx="27">
                  <c:v>3508.2824525043998</c:v>
                </c:pt>
                <c:pt idx="28">
                  <c:v>3483.0399013895003</c:v>
                </c:pt>
                <c:pt idx="29">
                  <c:v>3456.3075682799999</c:v>
                </c:pt>
                <c:pt idx="30">
                  <c:v>3428.1603042249999</c:v>
                </c:pt>
                <c:pt idx="31">
                  <c:v>3398.6636292163998</c:v>
                </c:pt>
                <c:pt idx="32">
                  <c:v>3367.8736170604998</c:v>
                </c:pt>
                <c:pt idx="33">
                  <c:v>3335.8382346969001</c:v>
                </c:pt>
                <c:pt idx="34">
                  <c:v>3302.5992062538999</c:v>
                </c:pt>
                <c:pt idx="35">
                  <c:v>3268.1938637439998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13B-46A1-8D5E-7BC161373771}"/>
            </c:ext>
          </c:extLst>
        </c:ser>
        <c:ser>
          <c:idx val="4"/>
          <c:order val="4"/>
          <c:tx>
            <c:strRef>
              <c:f>Données!$B$366</c:f>
              <c:strCache>
                <c:ptCount val="1"/>
                <c:pt idx="0">
                  <c:v>AUTO_CE_0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Données!$C$366:$AL$366</c:f>
              <c:numCache>
                <c:formatCode>#,##0</c:formatCode>
                <c:ptCount val="36"/>
                <c:pt idx="0">
                  <c:v>2507.3524895615005</c:v>
                </c:pt>
                <c:pt idx="1">
                  <c:v>2448.3068137208998</c:v>
                </c:pt>
                <c:pt idx="2">
                  <c:v>2403.6767773389001</c:v>
                </c:pt>
                <c:pt idx="3">
                  <c:v>2368.6467408958001</c:v>
                </c:pt>
                <c:pt idx="4">
                  <c:v>2340.0152302185998</c:v>
                </c:pt>
                <c:pt idx="5">
                  <c:v>2315.6699042253999</c:v>
                </c:pt>
                <c:pt idx="6">
                  <c:v>2293.9727409157003</c:v>
                </c:pt>
                <c:pt idx="7">
                  <c:v>2273.9774610569002</c:v>
                </c:pt>
                <c:pt idx="8">
                  <c:v>2255.0232710738001</c:v>
                </c:pt>
                <c:pt idx="9">
                  <c:v>2236.6319747565003</c:v>
                </c:pt>
                <c:pt idx="10">
                  <c:v>2218.8139156535999</c:v>
                </c:pt>
                <c:pt idx="11">
                  <c:v>2200.8828104155</c:v>
                </c:pt>
                <c:pt idx="12">
                  <c:v>2182.6055835797001</c:v>
                </c:pt>
                <c:pt idx="13">
                  <c:v>2163.7928105727001</c:v>
                </c:pt>
                <c:pt idx="14">
                  <c:v>2144.2968655987002</c:v>
                </c:pt>
                <c:pt idx="15">
                  <c:v>2124.0063165154997</c:v>
                </c:pt>
                <c:pt idx="16">
                  <c:v>2102.8400188917999</c:v>
                </c:pt>
                <c:pt idx="17">
                  <c:v>2080.7418782845998</c:v>
                </c:pt>
                <c:pt idx="18">
                  <c:v>2057.6764725175999</c:v>
                </c:pt>
                <c:pt idx="19">
                  <c:v>2033.6255231277999</c:v>
                </c:pt>
                <c:pt idx="20">
                  <c:v>2008.3786897714999</c:v>
                </c:pt>
                <c:pt idx="21">
                  <c:v>1982.1758285507999</c:v>
                </c:pt>
                <c:pt idx="22">
                  <c:v>1955.0394272788999</c:v>
                </c:pt>
                <c:pt idx="23">
                  <c:v>1926.9998665043001</c:v>
                </c:pt>
                <c:pt idx="24">
                  <c:v>1898.0909426155999</c:v>
                </c:pt>
                <c:pt idx="25">
                  <c:v>1867.8528445044003</c:v>
                </c:pt>
                <c:pt idx="26">
                  <c:v>1836.6603912528999</c:v>
                </c:pt>
                <c:pt idx="27">
                  <c:v>1804.6023791921</c:v>
                </c:pt>
                <c:pt idx="28">
                  <c:v>1771.7726004075</c:v>
                </c:pt>
                <c:pt idx="29">
                  <c:v>1738.2614741249999</c:v>
                </c:pt>
                <c:pt idx="30">
                  <c:v>1704.1528733151999</c:v>
                </c:pt>
                <c:pt idx="31">
                  <c:v>1669.5233370635999</c:v>
                </c:pt>
                <c:pt idx="32">
                  <c:v>1634.4425048088001</c:v>
                </c:pt>
                <c:pt idx="33">
                  <c:v>1598.9740867983</c:v>
                </c:pt>
                <c:pt idx="34">
                  <c:v>1563.1770021969</c:v>
                </c:pt>
                <c:pt idx="35">
                  <c:v>1527.1064366208998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D13B-46A1-8D5E-7BC161373771}"/>
            </c:ext>
          </c:extLst>
        </c:ser>
        <c:ser>
          <c:idx val="5"/>
          <c:order val="5"/>
          <c:tx>
            <c:strRef>
              <c:f>Données!$B$367</c:f>
              <c:strCache>
                <c:ptCount val="1"/>
                <c:pt idx="0">
                  <c:v>AUTO_CF_0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Données!$C$367:$AL$367</c:f>
              <c:numCache>
                <c:formatCode>#,##0</c:formatCode>
                <c:ptCount val="36"/>
                <c:pt idx="0">
                  <c:v>1245.466605953</c:v>
                </c:pt>
                <c:pt idx="1">
                  <c:v>1213.2724258457999</c:v>
                </c:pt>
                <c:pt idx="2">
                  <c:v>1186.5363136733001</c:v>
                </c:pt>
                <c:pt idx="3">
                  <c:v>1162.6456731598</c:v>
                </c:pt>
                <c:pt idx="4">
                  <c:v>1139.9931489924002</c:v>
                </c:pt>
                <c:pt idx="5">
                  <c:v>1117.6232972900998</c:v>
                </c:pt>
                <c:pt idx="6">
                  <c:v>1094.8958476062</c:v>
                </c:pt>
                <c:pt idx="7">
                  <c:v>1071.5278904375</c:v>
                </c:pt>
                <c:pt idx="8">
                  <c:v>1047.3896679409002</c:v>
                </c:pt>
                <c:pt idx="9">
                  <c:v>1022.4439905307</c:v>
                </c:pt>
                <c:pt idx="10">
                  <c:v>996.83492412589999</c:v>
                </c:pt>
                <c:pt idx="11">
                  <c:v>970.46755091839998</c:v>
                </c:pt>
                <c:pt idx="12">
                  <c:v>943.41276745929997</c:v>
                </c:pt>
                <c:pt idx="13">
                  <c:v>915.75633663449992</c:v>
                </c:pt>
                <c:pt idx="14">
                  <c:v>887.5950015894</c:v>
                </c:pt>
                <c:pt idx="15">
                  <c:v>859.03219585320005</c:v>
                </c:pt>
                <c:pt idx="16">
                  <c:v>830.17442781700004</c:v>
                </c:pt>
                <c:pt idx="17">
                  <c:v>801.12842758010004</c:v>
                </c:pt>
                <c:pt idx="18">
                  <c:v>771.99895220079998</c:v>
                </c:pt>
                <c:pt idx="19">
                  <c:v>742.88713090260001</c:v>
                </c:pt>
                <c:pt idx="20">
                  <c:v>713.84565510380003</c:v>
                </c:pt>
                <c:pt idx="21">
                  <c:v>685.01795697990008</c:v>
                </c:pt>
                <c:pt idx="22">
                  <c:v>656.48872347480005</c:v>
                </c:pt>
                <c:pt idx="23">
                  <c:v>628.33529655459995</c:v>
                </c:pt>
                <c:pt idx="24">
                  <c:v>600.627263825</c:v>
                </c:pt>
                <c:pt idx="25">
                  <c:v>573.34682454339998</c:v>
                </c:pt>
                <c:pt idx="26">
                  <c:v>546.61286029450002</c:v>
                </c:pt>
                <c:pt idx="27">
                  <c:v>520.48513705800008</c:v>
                </c:pt>
                <c:pt idx="28">
                  <c:v>495.01518927310002</c:v>
                </c:pt>
                <c:pt idx="29">
                  <c:v>470.24577075420001</c:v>
                </c:pt>
                <c:pt idx="30">
                  <c:v>446.21128841580003</c:v>
                </c:pt>
                <c:pt idx="31">
                  <c:v>422.93855404869998</c:v>
                </c:pt>
                <c:pt idx="32">
                  <c:v>400.44761472270005</c:v>
                </c:pt>
                <c:pt idx="33">
                  <c:v>378.7525599393</c:v>
                </c:pt>
                <c:pt idx="34">
                  <c:v>357.8622585553</c:v>
                </c:pt>
                <c:pt idx="35">
                  <c:v>337.78100733359997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D13B-46A1-8D5E-7BC161373771}"/>
            </c:ext>
          </c:extLst>
        </c:ser>
        <c:ser>
          <c:idx val="6"/>
          <c:order val="6"/>
          <c:tx>
            <c:strRef>
              <c:f>Données!$B$368</c:f>
              <c:strCache>
                <c:ptCount val="1"/>
                <c:pt idx="0">
                  <c:v>AUTO_CG_0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Données!$C$368:$AL$368</c:f>
              <c:numCache>
                <c:formatCode>#,##0</c:formatCode>
                <c:ptCount val="36"/>
                <c:pt idx="0">
                  <c:v>2242.8616504070001</c:v>
                </c:pt>
                <c:pt idx="1">
                  <c:v>2188.0868092618002</c:v>
                </c:pt>
                <c:pt idx="2">
                  <c:v>2140.3306675243002</c:v>
                </c:pt>
                <c:pt idx="3">
                  <c:v>2094.4834868480002</c:v>
                </c:pt>
                <c:pt idx="4">
                  <c:v>2047.7041693286999</c:v>
                </c:pt>
                <c:pt idx="5">
                  <c:v>1998.5710232935</c:v>
                </c:pt>
                <c:pt idx="6">
                  <c:v>1946.3664731137999</c:v>
                </c:pt>
                <c:pt idx="7">
                  <c:v>1891.0505597744</c:v>
                </c:pt>
                <c:pt idx="8">
                  <c:v>1832.8599650088001</c:v>
                </c:pt>
                <c:pt idx="9">
                  <c:v>1772.1758830766</c:v>
                </c:pt>
                <c:pt idx="10">
                  <c:v>1709.6186978983001</c:v>
                </c:pt>
                <c:pt idx="11">
                  <c:v>1645.4443571830002</c:v>
                </c:pt>
                <c:pt idx="12">
                  <c:v>1580.1172831464003</c:v>
                </c:pt>
                <c:pt idx="13">
                  <c:v>1514.0874288407999</c:v>
                </c:pt>
                <c:pt idx="14">
                  <c:v>1447.7819668857001</c:v>
                </c:pt>
                <c:pt idx="15">
                  <c:v>1381.5983480270002</c:v>
                </c:pt>
                <c:pt idx="16">
                  <c:v>1315.8997684542001</c:v>
                </c:pt>
                <c:pt idx="17">
                  <c:v>1251.0126568519001</c:v>
                </c:pt>
                <c:pt idx="18">
                  <c:v>1187.2256985761001</c:v>
                </c:pt>
                <c:pt idx="19">
                  <c:v>1124.790004037</c:v>
                </c:pt>
                <c:pt idx="20">
                  <c:v>1063.8806411445</c:v>
                </c:pt>
                <c:pt idx="21">
                  <c:v>1004.7279221625</c:v>
                </c:pt>
                <c:pt idx="22">
                  <c:v>947.47821034799995</c:v>
                </c:pt>
                <c:pt idx="23">
                  <c:v>892.24645255569999</c:v>
                </c:pt>
                <c:pt idx="24">
                  <c:v>839.11884338380003</c:v>
                </c:pt>
                <c:pt idx="25">
                  <c:v>788.09888674300009</c:v>
                </c:pt>
                <c:pt idx="26">
                  <c:v>739.27533449700002</c:v>
                </c:pt>
                <c:pt idx="27">
                  <c:v>692.6750842934</c:v>
                </c:pt>
                <c:pt idx="28">
                  <c:v>648.30447228320008</c:v>
                </c:pt>
                <c:pt idx="29">
                  <c:v>606.15150933270002</c:v>
                </c:pt>
                <c:pt idx="30">
                  <c:v>566.18861487389995</c:v>
                </c:pt>
                <c:pt idx="31">
                  <c:v>528.37527043919999</c:v>
                </c:pt>
                <c:pt idx="32">
                  <c:v>492.6604256695</c:v>
                </c:pt>
                <c:pt idx="33">
                  <c:v>458.98462163659997</c:v>
                </c:pt>
                <c:pt idx="34">
                  <c:v>427.28183326890002</c:v>
                </c:pt>
                <c:pt idx="35">
                  <c:v>397.48105230200002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D13B-46A1-8D5E-7BC1613737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5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Vehicles by class (shock)</a:t>
            </a:r>
          </a:p>
          <a:p>
            <a:pPr>
              <a:defRPr/>
            </a:pPr>
            <a:r>
              <a:rPr lang="fr-FR" sz="1800" i="1"/>
              <a:t>thousands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Données!$B$331</c:f>
              <c:strCache>
                <c:ptCount val="1"/>
                <c:pt idx="0">
                  <c:v>AUTO_CA_0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Données!$C$331:$AL$331</c:f>
              <c:numCache>
                <c:formatCode>#,##0</c:formatCode>
                <c:ptCount val="36"/>
                <c:pt idx="0">
                  <c:v>7105.9689965623002</c:v>
                </c:pt>
                <c:pt idx="1">
                  <c:v>7152.656566783</c:v>
                </c:pt>
                <c:pt idx="2">
                  <c:v>7245.1857744219997</c:v>
                </c:pt>
                <c:pt idx="3">
                  <c:v>7368.9669521082997</c:v>
                </c:pt>
                <c:pt idx="4">
                  <c:v>7514.3805586529998</c:v>
                </c:pt>
                <c:pt idx="5">
                  <c:v>7675.2943413513003</c:v>
                </c:pt>
                <c:pt idx="6">
                  <c:v>7846.6454703872996</c:v>
                </c:pt>
                <c:pt idx="7">
                  <c:v>8025.8954015782001</c:v>
                </c:pt>
                <c:pt idx="8">
                  <c:v>8211.3256361824006</c:v>
                </c:pt>
                <c:pt idx="9">
                  <c:v>8401.7096228792998</c:v>
                </c:pt>
                <c:pt idx="10">
                  <c:v>8597.2805355663004</c:v>
                </c:pt>
                <c:pt idx="11">
                  <c:v>8796.210720223</c:v>
                </c:pt>
                <c:pt idx="12">
                  <c:v>8998.3512771482001</c:v>
                </c:pt>
                <c:pt idx="13">
                  <c:v>9203.3933276813987</c:v>
                </c:pt>
                <c:pt idx="14">
                  <c:v>9410.9896990227007</c:v>
                </c:pt>
                <c:pt idx="15">
                  <c:v>9620.7777360683995</c:v>
                </c:pt>
                <c:pt idx="16">
                  <c:v>9832.3406455211989</c:v>
                </c:pt>
                <c:pt idx="17">
                  <c:v>10045.287542170601</c:v>
                </c:pt>
                <c:pt idx="18">
                  <c:v>10259.255811227598</c:v>
                </c:pt>
                <c:pt idx="19">
                  <c:v>10473.9105112748</c:v>
                </c:pt>
                <c:pt idx="20">
                  <c:v>10687.310857352901</c:v>
                </c:pt>
                <c:pt idx="21">
                  <c:v>10900.935407555</c:v>
                </c:pt>
                <c:pt idx="22">
                  <c:v>11114.589640834998</c:v>
                </c:pt>
                <c:pt idx="23">
                  <c:v>11328.141854505</c:v>
                </c:pt>
                <c:pt idx="24">
                  <c:v>11541.487573140001</c:v>
                </c:pt>
                <c:pt idx="25">
                  <c:v>11749.734437167001</c:v>
                </c:pt>
                <c:pt idx="26">
                  <c:v>11955.687646374001</c:v>
                </c:pt>
                <c:pt idx="27">
                  <c:v>12159.514119897</c:v>
                </c:pt>
                <c:pt idx="28">
                  <c:v>12361.489107891999</c:v>
                </c:pt>
                <c:pt idx="29">
                  <c:v>12561.927506400001</c:v>
                </c:pt>
                <c:pt idx="30">
                  <c:v>12761.146625731</c:v>
                </c:pt>
                <c:pt idx="31">
                  <c:v>12959.461115878001</c:v>
                </c:pt>
                <c:pt idx="32">
                  <c:v>13157.153163257</c:v>
                </c:pt>
                <c:pt idx="33">
                  <c:v>13354.47632643</c:v>
                </c:pt>
                <c:pt idx="34">
                  <c:v>13551.664217330001</c:v>
                </c:pt>
                <c:pt idx="35">
                  <c:v>13748.936840826002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69-4604-817E-AE29F1EB4142}"/>
            </c:ext>
          </c:extLst>
        </c:ser>
        <c:ser>
          <c:idx val="1"/>
          <c:order val="1"/>
          <c:tx>
            <c:strRef>
              <c:f>Données!$B$332</c:f>
              <c:strCache>
                <c:ptCount val="1"/>
                <c:pt idx="0">
                  <c:v>AUTO_CB_0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Données!$C$332:$AL$332</c:f>
              <c:numCache>
                <c:formatCode>#,##0</c:formatCode>
                <c:ptCount val="36"/>
                <c:pt idx="0">
                  <c:v>8263.1971436354015</c:v>
                </c:pt>
                <c:pt idx="1">
                  <c:v>8195.3731836303996</c:v>
                </c:pt>
                <c:pt idx="2">
                  <c:v>8179.3350389945008</c:v>
                </c:pt>
                <c:pt idx="3">
                  <c:v>8200.1744749056998</c:v>
                </c:pt>
                <c:pt idx="4">
                  <c:v>8247.8862979641999</c:v>
                </c:pt>
                <c:pt idx="5">
                  <c:v>8315.9046774171984</c:v>
                </c:pt>
                <c:pt idx="6">
                  <c:v>8398.7740299751986</c:v>
                </c:pt>
                <c:pt idx="7">
                  <c:v>8493.5153254294</c:v>
                </c:pt>
                <c:pt idx="8">
                  <c:v>8597.9877338413989</c:v>
                </c:pt>
                <c:pt idx="9">
                  <c:v>8710.5663304725003</c:v>
                </c:pt>
                <c:pt idx="10">
                  <c:v>8831.0465179898001</c:v>
                </c:pt>
                <c:pt idx="11">
                  <c:v>8957.3165705518004</c:v>
                </c:pt>
                <c:pt idx="12">
                  <c:v>9088.8662873806989</c:v>
                </c:pt>
                <c:pt idx="13">
                  <c:v>9225.0585194295982</c:v>
                </c:pt>
                <c:pt idx="14">
                  <c:v>9365.2465215119009</c:v>
                </c:pt>
                <c:pt idx="15">
                  <c:v>9508.7961020656003</c:v>
                </c:pt>
                <c:pt idx="16">
                  <c:v>9655.0491358233994</c:v>
                </c:pt>
                <c:pt idx="17">
                  <c:v>9803.3959588591006</c:v>
                </c:pt>
                <c:pt idx="18">
                  <c:v>9953.2755647117992</c:v>
                </c:pt>
                <c:pt idx="19">
                  <c:v>10104.1728377953</c:v>
                </c:pt>
                <c:pt idx="20">
                  <c:v>10254.131883694699</c:v>
                </c:pt>
                <c:pt idx="21">
                  <c:v>10404.331337937301</c:v>
                </c:pt>
                <c:pt idx="22">
                  <c:v>10554.4342758942</c:v>
                </c:pt>
                <c:pt idx="23">
                  <c:v>10704.1722804317</c:v>
                </c:pt>
                <c:pt idx="24">
                  <c:v>10853.312156399001</c:v>
                </c:pt>
                <c:pt idx="25">
                  <c:v>10997.360166313001</c:v>
                </c:pt>
                <c:pt idx="26">
                  <c:v>11138.737413415</c:v>
                </c:pt>
                <c:pt idx="27">
                  <c:v>11277.503832443999</c:v>
                </c:pt>
                <c:pt idx="28">
                  <c:v>11413.817768383</c:v>
                </c:pt>
                <c:pt idx="29">
                  <c:v>11547.873398937998</c:v>
                </c:pt>
                <c:pt idx="30">
                  <c:v>11679.867345944998</c:v>
                </c:pt>
                <c:pt idx="31">
                  <c:v>11809.993733513</c:v>
                </c:pt>
                <c:pt idx="32">
                  <c:v>11938.418048277999</c:v>
                </c:pt>
                <c:pt idx="33">
                  <c:v>12065.280160066</c:v>
                </c:pt>
                <c:pt idx="34">
                  <c:v>12190.701876544999</c:v>
                </c:pt>
                <c:pt idx="35">
                  <c:v>12314.792329302001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E69-4604-817E-AE29F1EB4142}"/>
            </c:ext>
          </c:extLst>
        </c:ser>
        <c:ser>
          <c:idx val="2"/>
          <c:order val="2"/>
          <c:tx>
            <c:strRef>
              <c:f>Données!$B$333</c:f>
              <c:strCache>
                <c:ptCount val="1"/>
                <c:pt idx="0">
                  <c:v>AUTO_CC_0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Données!$C$333:$AL$333</c:f>
              <c:numCache>
                <c:formatCode>#,##0</c:formatCode>
                <c:ptCount val="36"/>
                <c:pt idx="0">
                  <c:v>6787.4105911386005</c:v>
                </c:pt>
                <c:pt idx="1">
                  <c:v>6657.0348819893998</c:v>
                </c:pt>
                <c:pt idx="2">
                  <c:v>6568.3179759119002</c:v>
                </c:pt>
                <c:pt idx="3">
                  <c:v>6510.2889521043999</c:v>
                </c:pt>
                <c:pt idx="4">
                  <c:v>6475.465277626</c:v>
                </c:pt>
                <c:pt idx="5">
                  <c:v>6458.8114284560997</c:v>
                </c:pt>
                <c:pt idx="6">
                  <c:v>6456.1206940024003</c:v>
                </c:pt>
                <c:pt idx="7">
                  <c:v>6464.9397223324004</c:v>
                </c:pt>
                <c:pt idx="8">
                  <c:v>6483.4326758565003</c:v>
                </c:pt>
                <c:pt idx="9">
                  <c:v>6510.1529587238001</c:v>
                </c:pt>
                <c:pt idx="10">
                  <c:v>6544.6523917950008</c:v>
                </c:pt>
                <c:pt idx="11">
                  <c:v>6585.2131723669008</c:v>
                </c:pt>
                <c:pt idx="12">
                  <c:v>6631.2218298882999</c:v>
                </c:pt>
                <c:pt idx="13">
                  <c:v>6681.9973639569007</c:v>
                </c:pt>
                <c:pt idx="14">
                  <c:v>6736.8726112589002</c:v>
                </c:pt>
                <c:pt idx="15">
                  <c:v>6795.2095302277994</c:v>
                </c:pt>
                <c:pt idx="16">
                  <c:v>6856.3741645110003</c:v>
                </c:pt>
                <c:pt idx="17">
                  <c:v>6919.7836300178005</c:v>
                </c:pt>
                <c:pt idx="18">
                  <c:v>6984.9047334221996</c:v>
                </c:pt>
                <c:pt idx="19">
                  <c:v>7051.2504648063004</c:v>
                </c:pt>
                <c:pt idx="20">
                  <c:v>7117.4036774874003</c:v>
                </c:pt>
                <c:pt idx="21">
                  <c:v>7184.0220973342002</c:v>
                </c:pt>
                <c:pt idx="22">
                  <c:v>7250.7750307732003</c:v>
                </c:pt>
                <c:pt idx="23">
                  <c:v>7317.3859897112998</c:v>
                </c:pt>
                <c:pt idx="24">
                  <c:v>7383.6102481881007</c:v>
                </c:pt>
                <c:pt idx="25">
                  <c:v>7446.4692624191994</c:v>
                </c:pt>
                <c:pt idx="26">
                  <c:v>7507.4678338437998</c:v>
                </c:pt>
                <c:pt idx="27">
                  <c:v>7566.5874635171995</c:v>
                </c:pt>
                <c:pt idx="28">
                  <c:v>7623.8755555566004</c:v>
                </c:pt>
                <c:pt idx="29">
                  <c:v>7679.4043451587004</c:v>
                </c:pt>
                <c:pt idx="30">
                  <c:v>7733.2491740675005</c:v>
                </c:pt>
                <c:pt idx="31">
                  <c:v>7785.4852185862001</c:v>
                </c:pt>
                <c:pt idx="32">
                  <c:v>7836.1707847811995</c:v>
                </c:pt>
                <c:pt idx="33">
                  <c:v>7885.3491560153998</c:v>
                </c:pt>
                <c:pt idx="34">
                  <c:v>7933.053247049701</c:v>
                </c:pt>
                <c:pt idx="35">
                  <c:v>7979.3090245251005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E69-4604-817E-AE29F1EB4142}"/>
            </c:ext>
          </c:extLst>
        </c:ser>
        <c:ser>
          <c:idx val="3"/>
          <c:order val="3"/>
          <c:tx>
            <c:strRef>
              <c:f>Données!$B$334</c:f>
              <c:strCache>
                <c:ptCount val="1"/>
                <c:pt idx="0">
                  <c:v>AUTO_CD_0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Données!$C$334:$AL$334</c:f>
              <c:numCache>
                <c:formatCode>#,##0</c:formatCode>
                <c:ptCount val="36"/>
                <c:pt idx="0">
                  <c:v>4165.6835237371006</c:v>
                </c:pt>
                <c:pt idx="1">
                  <c:v>4061.0003251341</c:v>
                </c:pt>
                <c:pt idx="2">
                  <c:v>3980.1958643372</c:v>
                </c:pt>
                <c:pt idx="3">
                  <c:v>3916.6382767837999</c:v>
                </c:pt>
                <c:pt idx="4">
                  <c:v>3865.7976612962002</c:v>
                </c:pt>
                <c:pt idx="5">
                  <c:v>3824.6011314556999</c:v>
                </c:pt>
                <c:pt idx="6">
                  <c:v>3790.5235325025001</c:v>
                </c:pt>
                <c:pt idx="7">
                  <c:v>3762.0490758147002</c:v>
                </c:pt>
                <c:pt idx="8">
                  <c:v>3738.0406466172999</c:v>
                </c:pt>
                <c:pt idx="9">
                  <c:v>3717.603843119</c:v>
                </c:pt>
                <c:pt idx="10">
                  <c:v>3700.3865646611002</c:v>
                </c:pt>
                <c:pt idx="11">
                  <c:v>3685.4117354754003</c:v>
                </c:pt>
                <c:pt idx="12">
                  <c:v>3672.2653328416</c:v>
                </c:pt>
                <c:pt idx="13">
                  <c:v>3660.5093247738996</c:v>
                </c:pt>
                <c:pt idx="14">
                  <c:v>3649.7291848061</c:v>
                </c:pt>
                <c:pt idx="15">
                  <c:v>3639.5441487282001</c:v>
                </c:pt>
                <c:pt idx="16">
                  <c:v>3629.5956031971</c:v>
                </c:pt>
                <c:pt idx="17">
                  <c:v>3619.5676403599</c:v>
                </c:pt>
                <c:pt idx="18">
                  <c:v>3609.1844539028998</c:v>
                </c:pt>
                <c:pt idx="19">
                  <c:v>3598.2063740858002</c:v>
                </c:pt>
                <c:pt idx="20">
                  <c:v>3586.0055453065002</c:v>
                </c:pt>
                <c:pt idx="21">
                  <c:v>3572.8758042318</c:v>
                </c:pt>
                <c:pt idx="22">
                  <c:v>3558.6810183281</c:v>
                </c:pt>
                <c:pt idx="23">
                  <c:v>3543.3148311229997</c:v>
                </c:pt>
                <c:pt idx="24">
                  <c:v>3526.6905156649</c:v>
                </c:pt>
                <c:pt idx="25">
                  <c:v>3507.6414711234997</c:v>
                </c:pt>
                <c:pt idx="26">
                  <c:v>3486.8328317394999</c:v>
                </c:pt>
                <c:pt idx="27">
                  <c:v>3464.3091241179</c:v>
                </c:pt>
                <c:pt idx="28">
                  <c:v>3440.1378790186996</c:v>
                </c:pt>
                <c:pt idx="29">
                  <c:v>3414.3926644604999</c:v>
                </c:pt>
                <c:pt idx="30">
                  <c:v>3387.1449833663</c:v>
                </c:pt>
                <c:pt idx="31">
                  <c:v>3358.4634237016999</c:v>
                </c:pt>
                <c:pt idx="32">
                  <c:v>3328.4080544030003</c:v>
                </c:pt>
                <c:pt idx="33">
                  <c:v>3297.0314988065002</c:v>
                </c:pt>
                <c:pt idx="34">
                  <c:v>3264.3810941365</c:v>
                </c:pt>
                <c:pt idx="35">
                  <c:v>3230.5005661275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E69-4604-817E-AE29F1EB4142}"/>
            </c:ext>
          </c:extLst>
        </c:ser>
        <c:ser>
          <c:idx val="4"/>
          <c:order val="4"/>
          <c:tx>
            <c:strRef>
              <c:f>Données!$B$335</c:f>
              <c:strCache>
                <c:ptCount val="1"/>
                <c:pt idx="0">
                  <c:v>AUTO_CE_0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Données!$C$335:$AL$335</c:f>
              <c:numCache>
                <c:formatCode>#,##0</c:formatCode>
                <c:ptCount val="36"/>
                <c:pt idx="0">
                  <c:v>2507.3524895615005</c:v>
                </c:pt>
                <c:pt idx="1">
                  <c:v>2446.6846414172001</c:v>
                </c:pt>
                <c:pt idx="2">
                  <c:v>2399.4722880024997</c:v>
                </c:pt>
                <c:pt idx="3">
                  <c:v>2361.4822423535002</c:v>
                </c:pt>
                <c:pt idx="4">
                  <c:v>2329.8624877615002</c:v>
                </c:pt>
                <c:pt idx="5">
                  <c:v>2302.7075164857001</c:v>
                </c:pt>
                <c:pt idx="6">
                  <c:v>2278.4912379901002</c:v>
                </c:pt>
                <c:pt idx="7">
                  <c:v>2256.3231801121997</c:v>
                </c:pt>
                <c:pt idx="8">
                  <c:v>2235.5596348569998</c:v>
                </c:pt>
                <c:pt idx="9">
                  <c:v>2215.7149355176998</c:v>
                </c:pt>
                <c:pt idx="10">
                  <c:v>2196.6261748335996</c:v>
                </c:pt>
                <c:pt idx="11">
                  <c:v>2177.7812785746996</c:v>
                </c:pt>
                <c:pt idx="12">
                  <c:v>2158.9861317257</c:v>
                </c:pt>
                <c:pt idx="13">
                  <c:v>2140.0351176521999</c:v>
                </c:pt>
                <c:pt idx="14">
                  <c:v>2120.7411957267</c:v>
                </c:pt>
                <c:pt idx="15">
                  <c:v>2100.9427649853001</c:v>
                </c:pt>
                <c:pt idx="16">
                  <c:v>2080.4973202200003</c:v>
                </c:pt>
                <c:pt idx="17">
                  <c:v>2059.2913317255002</c:v>
                </c:pt>
                <c:pt idx="18">
                  <c:v>2037.2376403639</c:v>
                </c:pt>
                <c:pt idx="19">
                  <c:v>2014.2720409220999</c:v>
                </c:pt>
                <c:pt idx="20">
                  <c:v>1990.1432387565999</c:v>
                </c:pt>
                <c:pt idx="21">
                  <c:v>1965.0616507298</c:v>
                </c:pt>
                <c:pt idx="22">
                  <c:v>1939.0221567926001</c:v>
                </c:pt>
                <c:pt idx="23">
                  <c:v>1912.0343101661999</c:v>
                </c:pt>
                <c:pt idx="24">
                  <c:v>1884.1171386361002</c:v>
                </c:pt>
                <c:pt idx="25">
                  <c:v>1854.7975464725</c:v>
                </c:pt>
                <c:pt idx="26">
                  <c:v>1824.4553943363999</c:v>
                </c:pt>
                <c:pt idx="27">
                  <c:v>1793.1778987655</c:v>
                </c:pt>
                <c:pt idx="28">
                  <c:v>1761.0584054843002</c:v>
                </c:pt>
                <c:pt idx="29">
                  <c:v>1728.1886355300001</c:v>
                </c:pt>
                <c:pt idx="30">
                  <c:v>1694.6554301019999</c:v>
                </c:pt>
                <c:pt idx="31">
                  <c:v>1660.5407495876</c:v>
                </c:pt>
                <c:pt idx="32">
                  <c:v>1625.9196796506999</c:v>
                </c:pt>
                <c:pt idx="33">
                  <c:v>1590.8612243906</c:v>
                </c:pt>
                <c:pt idx="34">
                  <c:v>1555.4295362775999</c:v>
                </c:pt>
                <c:pt idx="35">
                  <c:v>1519.6849048605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E69-4604-817E-AE29F1EB4142}"/>
            </c:ext>
          </c:extLst>
        </c:ser>
        <c:ser>
          <c:idx val="5"/>
          <c:order val="5"/>
          <c:tx>
            <c:strRef>
              <c:f>Données!$B$336</c:f>
              <c:strCache>
                <c:ptCount val="1"/>
                <c:pt idx="0">
                  <c:v>AUTO_CF_0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Données!$C$336:$AL$336</c:f>
              <c:numCache>
                <c:formatCode>#,##0</c:formatCode>
                <c:ptCount val="36"/>
                <c:pt idx="0">
                  <c:v>1245.466605953</c:v>
                </c:pt>
                <c:pt idx="1">
                  <c:v>1212.6081805934</c:v>
                </c:pt>
                <c:pt idx="2">
                  <c:v>1184.9616708133999</c:v>
                </c:pt>
                <c:pt idx="3">
                  <c:v>1160.2222319352002</c:v>
                </c:pt>
                <c:pt idx="4">
                  <c:v>1136.9247599273999</c:v>
                </c:pt>
                <c:pt idx="5">
                  <c:v>1114.1626736030998</c:v>
                </c:pt>
                <c:pt idx="6">
                  <c:v>1091.2929307667998</c:v>
                </c:pt>
                <c:pt idx="7">
                  <c:v>1068.0092641366</c:v>
                </c:pt>
                <c:pt idx="8">
                  <c:v>1044.1485963148</c:v>
                </c:pt>
                <c:pt idx="9">
                  <c:v>1019.6371776981999</c:v>
                </c:pt>
                <c:pt idx="10">
                  <c:v>994.53878458910003</c:v>
                </c:pt>
                <c:pt idx="11">
                  <c:v>968.79641374149992</c:v>
                </c:pt>
                <c:pt idx="12">
                  <c:v>942.46471491579996</c:v>
                </c:pt>
                <c:pt idx="13">
                  <c:v>915.59413960150005</c:v>
                </c:pt>
                <c:pt idx="14">
                  <c:v>888.24408904079996</c:v>
                </c:pt>
                <c:pt idx="15">
                  <c:v>860.48496246240006</c:v>
                </c:pt>
                <c:pt idx="16">
                  <c:v>832.3946319424</c:v>
                </c:pt>
                <c:pt idx="17">
                  <c:v>804.05886771339999</c:v>
                </c:pt>
                <c:pt idx="18">
                  <c:v>775.56832208740002</c:v>
                </c:pt>
                <c:pt idx="19">
                  <c:v>747.01553787269995</c:v>
                </c:pt>
                <c:pt idx="20">
                  <c:v>718.44746678700005</c:v>
                </c:pt>
                <c:pt idx="21">
                  <c:v>690.00947317379996</c:v>
                </c:pt>
                <c:pt idx="22">
                  <c:v>661.7882677711001</c:v>
                </c:pt>
                <c:pt idx="23">
                  <c:v>633.86544232459994</c:v>
                </c:pt>
                <c:pt idx="24">
                  <c:v>606.31639490329997</c:v>
                </c:pt>
                <c:pt idx="25">
                  <c:v>579.12718615970005</c:v>
                </c:pt>
                <c:pt idx="26">
                  <c:v>552.42768133029995</c:v>
                </c:pt>
                <c:pt idx="27">
                  <c:v>526.2853389684999</c:v>
                </c:pt>
                <c:pt idx="28">
                  <c:v>500.75882419899995</c:v>
                </c:pt>
                <c:pt idx="29">
                  <c:v>475.89749206649998</c:v>
                </c:pt>
                <c:pt idx="30">
                  <c:v>451.74181314340001</c:v>
                </c:pt>
                <c:pt idx="31">
                  <c:v>428.32424006769998</c:v>
                </c:pt>
                <c:pt idx="32">
                  <c:v>405.66976826070004</c:v>
                </c:pt>
                <c:pt idx="33">
                  <c:v>383.79676295900003</c:v>
                </c:pt>
                <c:pt idx="34">
                  <c:v>362.71777484090001</c:v>
                </c:pt>
                <c:pt idx="35">
                  <c:v>342.44025216630001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E69-4604-817E-AE29F1EB4142}"/>
            </c:ext>
          </c:extLst>
        </c:ser>
        <c:ser>
          <c:idx val="6"/>
          <c:order val="6"/>
          <c:tx>
            <c:strRef>
              <c:f>Données!$B$337</c:f>
              <c:strCache>
                <c:ptCount val="1"/>
                <c:pt idx="0">
                  <c:v>AUTO_CG_0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Données!$C$337:$AL$337</c:f>
              <c:numCache>
                <c:formatCode>#,##0</c:formatCode>
                <c:ptCount val="36"/>
                <c:pt idx="0">
                  <c:v>2242.8616504070001</c:v>
                </c:pt>
                <c:pt idx="1">
                  <c:v>2187.0300492869001</c:v>
                </c:pt>
                <c:pt idx="2">
                  <c:v>2138.0753909984001</c:v>
                </c:pt>
                <c:pt idx="3">
                  <c:v>2091.4690055504998</c:v>
                </c:pt>
                <c:pt idx="4">
                  <c:v>2044.5592030553</c:v>
                </c:pt>
                <c:pt idx="5">
                  <c:v>1995.9103395681</c:v>
                </c:pt>
                <c:pt idx="6">
                  <c:v>1944.6974639658001</c:v>
                </c:pt>
                <c:pt idx="7">
                  <c:v>1890.7549811854999</c:v>
                </c:pt>
                <c:pt idx="8">
                  <c:v>1834.1969199614</c:v>
                </c:pt>
                <c:pt idx="9">
                  <c:v>1775.2951362455001</c:v>
                </c:pt>
                <c:pt idx="10">
                  <c:v>1714.5253107796</c:v>
                </c:pt>
                <c:pt idx="11">
                  <c:v>1652.1677638352999</c:v>
                </c:pt>
                <c:pt idx="12">
                  <c:v>1588.6342625563</c:v>
                </c:pt>
                <c:pt idx="13">
                  <c:v>1524.3029936947</c:v>
                </c:pt>
                <c:pt idx="14">
                  <c:v>1459.5392425980001</c:v>
                </c:pt>
                <c:pt idx="15">
                  <c:v>1394.6970680464001</c:v>
                </c:pt>
                <c:pt idx="16">
                  <c:v>1330.1127340584999</c:v>
                </c:pt>
                <c:pt idx="17">
                  <c:v>1266.1028671707002</c:v>
                </c:pt>
                <c:pt idx="18">
                  <c:v>1202.9594589416999</c:v>
                </c:pt>
                <c:pt idx="19">
                  <c:v>1140.945927127</c:v>
                </c:pt>
                <c:pt idx="20">
                  <c:v>1080.2529237809997</c:v>
                </c:pt>
                <c:pt idx="21">
                  <c:v>1021.1362341191</c:v>
                </c:pt>
                <c:pt idx="22">
                  <c:v>963.76528761889995</c:v>
                </c:pt>
                <c:pt idx="23">
                  <c:v>908.27853050279998</c:v>
                </c:pt>
                <c:pt idx="24">
                  <c:v>854.78505631339999</c:v>
                </c:pt>
                <c:pt idx="25">
                  <c:v>803.30631334880002</c:v>
                </c:pt>
                <c:pt idx="26">
                  <c:v>753.95506852469998</c:v>
                </c:pt>
                <c:pt idx="27">
                  <c:v>706.77629784860005</c:v>
                </c:pt>
                <c:pt idx="28">
                  <c:v>661.79179240879989</c:v>
                </c:pt>
                <c:pt idx="29">
                  <c:v>619.00264060960001</c:v>
                </c:pt>
                <c:pt idx="30">
                  <c:v>578.39220956560007</c:v>
                </c:pt>
                <c:pt idx="31">
                  <c:v>539.92910685459992</c:v>
                </c:pt>
                <c:pt idx="32">
                  <c:v>503.5696600425</c:v>
                </c:pt>
                <c:pt idx="33">
                  <c:v>469.26026260790002</c:v>
                </c:pt>
                <c:pt idx="34">
                  <c:v>436.93945613610003</c:v>
                </c:pt>
                <c:pt idx="35">
                  <c:v>406.53971991720005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E69-4604-817E-AE29F1EB41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5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Vehicles by energy</a:t>
            </a:r>
            <a:r>
              <a:rPr lang="fr-FR" sz="2800" baseline="0"/>
              <a:t> (shock)</a:t>
            </a:r>
          </a:p>
          <a:p>
            <a:pPr>
              <a:defRPr sz="2800"/>
            </a:pPr>
            <a:r>
              <a:rPr lang="fr-FR" sz="1800" i="1" baseline="0"/>
              <a:t>thousands</a:t>
            </a:r>
            <a:endParaRPr lang="fr-FR" sz="1800" i="1"/>
          </a:p>
        </c:rich>
      </c:tx>
      <c:layout>
        <c:manualLayout>
          <c:xMode val="edge"/>
          <c:yMode val="edge"/>
          <c:x val="0.29110930698597887"/>
          <c:y val="1.88602937354618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1"/>
          <c:order val="1"/>
          <c:tx>
            <c:strRef>
              <c:f>Données!$B$298</c:f>
              <c:strCache>
                <c:ptCount val="1"/>
                <c:pt idx="0">
                  <c:v>Fuel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Données!$C$296:$AL$296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Données!$C$298:$AL$298</c:f>
              <c:numCache>
                <c:formatCode>#,##0</c:formatCode>
                <c:ptCount val="36"/>
                <c:pt idx="0">
                  <c:v>32271.24</c:v>
                </c:pt>
                <c:pt idx="1">
                  <c:v>31848.242419999999</c:v>
                </c:pt>
                <c:pt idx="2">
                  <c:v>31613.314050000001</c:v>
                </c:pt>
                <c:pt idx="3">
                  <c:v>31508.70837</c:v>
                </c:pt>
                <c:pt idx="4">
                  <c:v>31496.073189999999</c:v>
                </c:pt>
                <c:pt idx="5">
                  <c:v>31550.50088</c:v>
                </c:pt>
                <c:pt idx="6">
                  <c:v>31651.867099999999</c:v>
                </c:pt>
                <c:pt idx="7">
                  <c:v>31789.374790000002</c:v>
                </c:pt>
                <c:pt idx="8">
                  <c:v>31955.53368</c:v>
                </c:pt>
                <c:pt idx="9">
                  <c:v>32144.89</c:v>
                </c:pt>
                <c:pt idx="10">
                  <c:v>32357.036769999999</c:v>
                </c:pt>
                <c:pt idx="11">
                  <c:v>32585.101910000001</c:v>
                </c:pt>
                <c:pt idx="12">
                  <c:v>32827.679709999997</c:v>
                </c:pt>
                <c:pt idx="13">
                  <c:v>33082.945310000003</c:v>
                </c:pt>
                <c:pt idx="14">
                  <c:v>33349.082249999999</c:v>
                </c:pt>
                <c:pt idx="15">
                  <c:v>33624.362430000001</c:v>
                </c:pt>
                <c:pt idx="16">
                  <c:v>33907.019010000004</c:v>
                </c:pt>
                <c:pt idx="17">
                  <c:v>34195.472990000002</c:v>
                </c:pt>
                <c:pt idx="18">
                  <c:v>34488.320480000002</c:v>
                </c:pt>
                <c:pt idx="19">
                  <c:v>34784.311399999999</c:v>
                </c:pt>
                <c:pt idx="20">
                  <c:v>35077.565920000001</c:v>
                </c:pt>
                <c:pt idx="21">
                  <c:v>35372.300450000002</c:v>
                </c:pt>
                <c:pt idx="22">
                  <c:v>35667.805930000002</c:v>
                </c:pt>
                <c:pt idx="23">
                  <c:v>35963.568679999997</c:v>
                </c:pt>
                <c:pt idx="24">
                  <c:v>36259.165459999997</c:v>
                </c:pt>
                <c:pt idx="25">
                  <c:v>36540.741800000003</c:v>
                </c:pt>
                <c:pt idx="26">
                  <c:v>36816.303399999997</c:v>
                </c:pt>
                <c:pt idx="27">
                  <c:v>37086.346129999998</c:v>
                </c:pt>
                <c:pt idx="28">
                  <c:v>37351.637640000001</c:v>
                </c:pt>
                <c:pt idx="29">
                  <c:v>37613.02461</c:v>
                </c:pt>
                <c:pt idx="30">
                  <c:v>37871.333720000002</c:v>
                </c:pt>
                <c:pt idx="31">
                  <c:v>38127.362079999999</c:v>
                </c:pt>
                <c:pt idx="32">
                  <c:v>38381.800940000001</c:v>
                </c:pt>
                <c:pt idx="33">
                  <c:v>38635.250200000002</c:v>
                </c:pt>
                <c:pt idx="34">
                  <c:v>38888.246160000002</c:v>
                </c:pt>
                <c:pt idx="35">
                  <c:v>39141.282619999998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2B-4332-9B45-E28FEF7596CF}"/>
            </c:ext>
          </c:extLst>
        </c:ser>
        <c:ser>
          <c:idx val="2"/>
          <c:order val="2"/>
          <c:tx>
            <c:strRef>
              <c:f>Données!$B$299</c:f>
              <c:strCache>
                <c:ptCount val="1"/>
                <c:pt idx="0">
                  <c:v>Gas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Données!$C$296:$AL$296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Données!$C$299:$AL$299</c:f>
              <c:numCache>
                <c:formatCode>#,##0</c:formatCode>
                <c:ptCount val="36"/>
                <c:pt idx="0">
                  <c:v>1.9359999999999999</c:v>
                </c:pt>
                <c:pt idx="1">
                  <c:v>1.990447131</c:v>
                </c:pt>
                <c:pt idx="2">
                  <c:v>2.0545257160000001</c:v>
                </c:pt>
                <c:pt idx="3">
                  <c:v>2.1240120089999999</c:v>
                </c:pt>
                <c:pt idx="4">
                  <c:v>2.1961980489999999</c:v>
                </c:pt>
                <c:pt idx="5">
                  <c:v>2.269423872</c:v>
                </c:pt>
                <c:pt idx="6">
                  <c:v>2.3423722730000001</c:v>
                </c:pt>
                <c:pt idx="7">
                  <c:v>2.4144603939999998</c:v>
                </c:pt>
                <c:pt idx="8">
                  <c:v>2.485349024</c:v>
                </c:pt>
                <c:pt idx="9">
                  <c:v>2.5548422710000001</c:v>
                </c:pt>
                <c:pt idx="10">
                  <c:v>2.6231448149999999</c:v>
                </c:pt>
                <c:pt idx="11">
                  <c:v>2.6899027470000001</c:v>
                </c:pt>
                <c:pt idx="12">
                  <c:v>2.7551985800000001</c:v>
                </c:pt>
                <c:pt idx="13">
                  <c:v>2.819065267</c:v>
                </c:pt>
                <c:pt idx="14">
                  <c:v>2.8815224800000001</c:v>
                </c:pt>
                <c:pt idx="15">
                  <c:v>2.9425842050000002</c:v>
                </c:pt>
                <c:pt idx="16">
                  <c:v>3.0022490049999999</c:v>
                </c:pt>
                <c:pt idx="17">
                  <c:v>3.0605197560000001</c:v>
                </c:pt>
                <c:pt idx="18">
                  <c:v>3.1174035500000001</c:v>
                </c:pt>
                <c:pt idx="19">
                  <c:v>3.1729107729999999</c:v>
                </c:pt>
                <c:pt idx="20">
                  <c:v>3.2266540429999999</c:v>
                </c:pt>
                <c:pt idx="21">
                  <c:v>3.279079941</c:v>
                </c:pt>
                <c:pt idx="22">
                  <c:v>3.3302209110000001</c:v>
                </c:pt>
                <c:pt idx="23">
                  <c:v>3.3801191450000001</c:v>
                </c:pt>
                <c:pt idx="24">
                  <c:v>3.4288184400000001</c:v>
                </c:pt>
                <c:pt idx="25">
                  <c:v>3.4752287160000002</c:v>
                </c:pt>
                <c:pt idx="26">
                  <c:v>3.5200739410000002</c:v>
                </c:pt>
                <c:pt idx="27">
                  <c:v>3.563454267</c:v>
                </c:pt>
                <c:pt idx="28">
                  <c:v>3.6054896589999998</c:v>
                </c:pt>
                <c:pt idx="29">
                  <c:v>3.6463042419999998</c:v>
                </c:pt>
                <c:pt idx="30">
                  <c:v>3.6860182410000002</c:v>
                </c:pt>
                <c:pt idx="31">
                  <c:v>3.7247472859999999</c:v>
                </c:pt>
                <c:pt idx="32">
                  <c:v>3.7625960969999999</c:v>
                </c:pt>
                <c:pt idx="33">
                  <c:v>3.799659696</c:v>
                </c:pt>
                <c:pt idx="34">
                  <c:v>3.8360257440000001</c:v>
                </c:pt>
                <c:pt idx="35">
                  <c:v>3.871776358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A2B-4332-9B45-E28FEF7596CF}"/>
            </c:ext>
          </c:extLst>
        </c:ser>
        <c:ser>
          <c:idx val="3"/>
          <c:order val="3"/>
          <c:tx>
            <c:strRef>
              <c:f>Données!$B$300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cat>
            <c:numRef>
              <c:f>Données!$C$296:$AL$296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Données!$C$300:$AL$300</c:f>
              <c:numCache>
                <c:formatCode>#,##0</c:formatCode>
                <c:ptCount val="36"/>
                <c:pt idx="0">
                  <c:v>44.765000000000001</c:v>
                </c:pt>
                <c:pt idx="1">
                  <c:v>62.154960699999997</c:v>
                </c:pt>
                <c:pt idx="2">
                  <c:v>80.175430759999998</c:v>
                </c:pt>
                <c:pt idx="3">
                  <c:v>98.409757729999995</c:v>
                </c:pt>
                <c:pt idx="4">
                  <c:v>116.60685220000001</c:v>
                </c:pt>
                <c:pt idx="5">
                  <c:v>134.62180549999999</c:v>
                </c:pt>
                <c:pt idx="6">
                  <c:v>152.33588929999999</c:v>
                </c:pt>
                <c:pt idx="7">
                  <c:v>169.69770220000001</c:v>
                </c:pt>
                <c:pt idx="8">
                  <c:v>186.6728166</c:v>
                </c:pt>
                <c:pt idx="9">
                  <c:v>203.23515939999999</c:v>
                </c:pt>
                <c:pt idx="10">
                  <c:v>219.3963665</c:v>
                </c:pt>
                <c:pt idx="11">
                  <c:v>235.10584600000001</c:v>
                </c:pt>
                <c:pt idx="12">
                  <c:v>250.35492769999999</c:v>
                </c:pt>
                <c:pt idx="13">
                  <c:v>265.1264147</c:v>
                </c:pt>
                <c:pt idx="14">
                  <c:v>279.39877519999999</c:v>
                </c:pt>
                <c:pt idx="15">
                  <c:v>293.14730179999998</c:v>
                </c:pt>
                <c:pt idx="16">
                  <c:v>306.34297190000001</c:v>
                </c:pt>
                <c:pt idx="17">
                  <c:v>318.95433279999997</c:v>
                </c:pt>
                <c:pt idx="18">
                  <c:v>330.948105</c:v>
                </c:pt>
                <c:pt idx="19">
                  <c:v>342.28938440000002</c:v>
                </c:pt>
                <c:pt idx="20">
                  <c:v>352.90301829999999</c:v>
                </c:pt>
                <c:pt idx="21">
                  <c:v>362.7924764</c:v>
                </c:pt>
                <c:pt idx="22">
                  <c:v>371.91952989999999</c:v>
                </c:pt>
                <c:pt idx="23">
                  <c:v>380.24443710000003</c:v>
                </c:pt>
                <c:pt idx="24">
                  <c:v>387.72480100000001</c:v>
                </c:pt>
                <c:pt idx="25">
                  <c:v>394.21935559999997</c:v>
                </c:pt>
                <c:pt idx="26">
                  <c:v>399.74039370000003</c:v>
                </c:pt>
                <c:pt idx="27">
                  <c:v>404.24449650000003</c:v>
                </c:pt>
                <c:pt idx="28">
                  <c:v>407.68619619999998</c:v>
                </c:pt>
                <c:pt idx="29">
                  <c:v>410.01576399999999</c:v>
                </c:pt>
                <c:pt idx="30">
                  <c:v>411.17783259999999</c:v>
                </c:pt>
                <c:pt idx="31">
                  <c:v>411.11075579999999</c:v>
                </c:pt>
                <c:pt idx="32">
                  <c:v>409.74562220000001</c:v>
                </c:pt>
                <c:pt idx="33">
                  <c:v>407.00554460000001</c:v>
                </c:pt>
                <c:pt idx="34">
                  <c:v>402.80502209999997</c:v>
                </c:pt>
                <c:pt idx="35">
                  <c:v>397.04924410000001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A2B-4332-9B45-E28FEF7596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9189616"/>
        <c:axId val="749190272"/>
        <c:extLst>
          <c:ext xmlns:c15="http://schemas.microsoft.com/office/drawing/2012/chart" uri="{02D57815-91ED-43cb-92C2-25804820EDAC}">
            <c15:filteredArea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Données!$B$297</c15:sqref>
                        </c15:formulaRef>
                      </c:ext>
                    </c:extLst>
                    <c:strCache>
                      <c:ptCount val="1"/>
                      <c:pt idx="0">
                        <c:v>Vehicles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cat>
                  <c:numRef>
                    <c:extLst>
                      <c:ext uri="{02D57815-91ED-43cb-92C2-25804820EDAC}">
                        <c15:formulaRef>
                          <c15:sqref>Données!$C$296:$AL$296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Données!$C$297:$AL$297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32317.940999999999</c:v>
                      </c:pt>
                      <c:pt idx="1">
                        <c:v>31912.38783</c:v>
                      </c:pt>
                      <c:pt idx="2">
                        <c:v>31695.544000000002</c:v>
                      </c:pt>
                      <c:pt idx="3">
                        <c:v>31609.242139999998</c:v>
                      </c:pt>
                      <c:pt idx="4">
                        <c:v>31614.876240000001</c:v>
                      </c:pt>
                      <c:pt idx="5">
                        <c:v>31687.392110000001</c:v>
                      </c:pt>
                      <c:pt idx="6">
                        <c:v>31806.54536</c:v>
                      </c:pt>
                      <c:pt idx="7">
                        <c:v>31961.486949999999</c:v>
                      </c:pt>
                      <c:pt idx="8">
                        <c:v>32144.69184</c:v>
                      </c:pt>
                      <c:pt idx="9">
                        <c:v>32350.68</c:v>
                      </c:pt>
                      <c:pt idx="10">
                        <c:v>32579.056280000001</c:v>
                      </c:pt>
                      <c:pt idx="11">
                        <c:v>32822.897649999999</c:v>
                      </c:pt>
                      <c:pt idx="12">
                        <c:v>33080.789830000002</c:v>
                      </c:pt>
                      <c:pt idx="13">
                        <c:v>33350.890789999998</c:v>
                      </c:pt>
                      <c:pt idx="14">
                        <c:v>33631.362540000002</c:v>
                      </c:pt>
                      <c:pt idx="15">
                        <c:v>33920.452310000001</c:v>
                      </c:pt>
                      <c:pt idx="16">
                        <c:v>34216.364240000003</c:v>
                      </c:pt>
                      <c:pt idx="17">
                        <c:v>34517.487840000002</c:v>
                      </c:pt>
                      <c:pt idx="18">
                        <c:v>34822.385990000002</c:v>
                      </c:pt>
                      <c:pt idx="19">
                        <c:v>35129.773690000002</c:v>
                      </c:pt>
                      <c:pt idx="20">
                        <c:v>35433.695590000003</c:v>
                      </c:pt>
                      <c:pt idx="21">
                        <c:v>35738.372009999999</c:v>
                      </c:pt>
                      <c:pt idx="22">
                        <c:v>36043.055690000001</c:v>
                      </c:pt>
                      <c:pt idx="23">
                        <c:v>36347.193240000001</c:v>
                      </c:pt>
                      <c:pt idx="24">
                        <c:v>36650.319089999997</c:v>
                      </c:pt>
                      <c:pt idx="25">
                        <c:v>36938.436390000003</c:v>
                      </c:pt>
                      <c:pt idx="26">
                        <c:v>37219.563869999998</c:v>
                      </c:pt>
                      <c:pt idx="27">
                        <c:v>37494.154090000004</c:v>
                      </c:pt>
                      <c:pt idx="28">
                        <c:v>37762.929340000002</c:v>
                      </c:pt>
                      <c:pt idx="29">
                        <c:v>38026.686690000002</c:v>
                      </c:pt>
                      <c:pt idx="30">
                        <c:v>38286.197590000003</c:v>
                      </c:pt>
                      <c:pt idx="31">
                        <c:v>38542.1976</c:v>
                      </c:pt>
                      <c:pt idx="32">
                        <c:v>38795.30917</c:v>
                      </c:pt>
                      <c:pt idx="33">
                        <c:v>39046.055419999997</c:v>
                      </c:pt>
                      <c:pt idx="34">
                        <c:v>39294.887219999997</c:v>
                      </c:pt>
                      <c:pt idx="35">
                        <c:v>39542.203650000003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DA2B-4332-9B45-E28FEF7596CF}"/>
                  </c:ext>
                </c:extLst>
              </c15:ser>
            </c15:filteredAreaSeries>
          </c:ext>
        </c:extLst>
      </c:areaChart>
      <c:dateAx>
        <c:axId val="749189616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90272"/>
        <c:crosses val="autoZero"/>
        <c:auto val="1"/>
        <c:lblOffset val="100"/>
        <c:baseTimeUnit val="years"/>
        <c:majorUnit val="5"/>
        <c:majorTimeUnit val="years"/>
      </c:dateAx>
      <c:valAx>
        <c:axId val="7491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89616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Vehicles by energy</a:t>
            </a:r>
            <a:r>
              <a:rPr lang="fr-FR" sz="2800" baseline="0"/>
              <a:t> (baseline)</a:t>
            </a:r>
          </a:p>
          <a:p>
            <a:pPr>
              <a:defRPr sz="2800"/>
            </a:pPr>
            <a:r>
              <a:rPr lang="fr-FR" sz="1800" i="1" baseline="0"/>
              <a:t>thousands</a:t>
            </a:r>
            <a:endParaRPr lang="fr-FR" sz="1800" i="1"/>
          </a:p>
        </c:rich>
      </c:tx>
      <c:layout>
        <c:manualLayout>
          <c:xMode val="edge"/>
          <c:yMode val="edge"/>
          <c:x val="0.28700858772412563"/>
          <c:y val="2.09558819282909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1"/>
          <c:order val="1"/>
          <c:tx>
            <c:strRef>
              <c:f>Données!$B$304</c:f>
              <c:strCache>
                <c:ptCount val="1"/>
                <c:pt idx="0">
                  <c:v>Fuel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Données!$C$302:$AL$302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Données!$C$304:$AL$304</c:f>
              <c:numCache>
                <c:formatCode>#,##0</c:formatCode>
                <c:ptCount val="36"/>
                <c:pt idx="0">
                  <c:v>32271.24</c:v>
                </c:pt>
                <c:pt idx="1">
                  <c:v>31874.761310000002</c:v>
                </c:pt>
                <c:pt idx="2">
                  <c:v>31684.176350000002</c:v>
                </c:pt>
                <c:pt idx="3">
                  <c:v>31633.507610000001</c:v>
                </c:pt>
                <c:pt idx="4">
                  <c:v>31679.119449999998</c:v>
                </c:pt>
                <c:pt idx="5">
                  <c:v>31792.640329999998</c:v>
                </c:pt>
                <c:pt idx="6">
                  <c:v>31951.767909999999</c:v>
                </c:pt>
                <c:pt idx="7">
                  <c:v>32144.38623</c:v>
                </c:pt>
                <c:pt idx="8">
                  <c:v>32362.319530000001</c:v>
                </c:pt>
                <c:pt idx="9">
                  <c:v>32599.85628</c:v>
                </c:pt>
                <c:pt idx="10">
                  <c:v>32859.527329999997</c:v>
                </c:pt>
                <c:pt idx="11">
                  <c:v>33131.036690000001</c:v>
                </c:pt>
                <c:pt idx="12">
                  <c:v>33411.648309999997</c:v>
                </c:pt>
                <c:pt idx="13">
                  <c:v>33699.027439999998</c:v>
                </c:pt>
                <c:pt idx="14">
                  <c:v>33991.26771</c:v>
                </c:pt>
                <c:pt idx="15">
                  <c:v>34286.840479999999</c:v>
                </c:pt>
                <c:pt idx="16">
                  <c:v>34584.527479999997</c:v>
                </c:pt>
                <c:pt idx="17">
                  <c:v>34883.357620000002</c:v>
                </c:pt>
                <c:pt idx="18">
                  <c:v>35182.555229999998</c:v>
                </c:pt>
                <c:pt idx="19">
                  <c:v>35481.501300000004</c:v>
                </c:pt>
                <c:pt idx="20">
                  <c:v>35774.879950000002</c:v>
                </c:pt>
                <c:pt idx="21">
                  <c:v>36067.467879999997</c:v>
                </c:pt>
                <c:pt idx="22">
                  <c:v>36359.082410000003</c:v>
                </c:pt>
                <c:pt idx="23">
                  <c:v>36649.656430000003</c:v>
                </c:pt>
                <c:pt idx="24">
                  <c:v>36939.133860000002</c:v>
                </c:pt>
                <c:pt idx="25">
                  <c:v>37213.866629999997</c:v>
                </c:pt>
                <c:pt idx="26">
                  <c:v>37481.938410000002</c:v>
                </c:pt>
                <c:pt idx="27">
                  <c:v>37744.012219999997</c:v>
                </c:pt>
                <c:pt idx="28">
                  <c:v>38001.00331</c:v>
                </c:pt>
                <c:pt idx="29">
                  <c:v>38253.856540000001</c:v>
                </c:pt>
                <c:pt idx="30">
                  <c:v>38503.441019999998</c:v>
                </c:pt>
                <c:pt idx="31">
                  <c:v>38750.507160000001</c:v>
                </c:pt>
                <c:pt idx="32">
                  <c:v>38995.679900000003</c:v>
                </c:pt>
                <c:pt idx="33">
                  <c:v>39239.471080000003</c:v>
                </c:pt>
                <c:pt idx="34">
                  <c:v>39482.299659999997</c:v>
                </c:pt>
                <c:pt idx="35">
                  <c:v>39724.512459999998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D4-4D49-89F4-ABF65BD94CDB}"/>
            </c:ext>
          </c:extLst>
        </c:ser>
        <c:ser>
          <c:idx val="2"/>
          <c:order val="2"/>
          <c:tx>
            <c:strRef>
              <c:f>Données!$B$305</c:f>
              <c:strCache>
                <c:ptCount val="1"/>
                <c:pt idx="0">
                  <c:v>Gas</c:v>
                </c:pt>
              </c:strCache>
            </c:strRef>
          </c:tx>
          <c:spPr>
            <a:solidFill>
              <a:schemeClr val="accent3"/>
            </a:solidFill>
            <a:ln w="25400">
              <a:noFill/>
            </a:ln>
            <a:effectLst/>
          </c:spPr>
          <c:cat>
            <c:numRef>
              <c:f>Données!$C$302:$AL$302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Données!$C$305:$AL$305</c:f>
              <c:numCache>
                <c:formatCode>#,##0</c:formatCode>
                <c:ptCount val="36"/>
                <c:pt idx="0">
                  <c:v>1.9359999999999999</c:v>
                </c:pt>
                <c:pt idx="1">
                  <c:v>1.9926750099999999</c:v>
                </c:pt>
                <c:pt idx="2">
                  <c:v>2.0605130620000001</c:v>
                </c:pt>
                <c:pt idx="3">
                  <c:v>2.134619727</c:v>
                </c:pt>
                <c:pt idx="4">
                  <c:v>2.2118520880000001</c:v>
                </c:pt>
                <c:pt idx="5">
                  <c:v>2.290260736</c:v>
                </c:pt>
                <c:pt idx="6">
                  <c:v>2.3683424870000001</c:v>
                </c:pt>
                <c:pt idx="7">
                  <c:v>2.4453980660000001</c:v>
                </c:pt>
                <c:pt idx="8">
                  <c:v>2.5210237119999999</c:v>
                </c:pt>
                <c:pt idx="9">
                  <c:v>2.5949944700000001</c:v>
                </c:pt>
                <c:pt idx="10">
                  <c:v>2.6677545519999999</c:v>
                </c:pt>
                <c:pt idx="11">
                  <c:v>2.7386593609999998</c:v>
                </c:pt>
                <c:pt idx="12">
                  <c:v>2.8076723870000002</c:v>
                </c:pt>
                <c:pt idx="13">
                  <c:v>2.8747752339999999</c:v>
                </c:pt>
                <c:pt idx="14">
                  <c:v>2.9399713749999998</c:v>
                </c:pt>
                <c:pt idx="15">
                  <c:v>3.0032833380000001</c:v>
                </c:pt>
                <c:pt idx="16">
                  <c:v>3.0647483250000001</c:v>
                </c:pt>
                <c:pt idx="17">
                  <c:v>3.1244140090000001</c:v>
                </c:pt>
                <c:pt idx="18">
                  <c:v>3.182335159</c:v>
                </c:pt>
                <c:pt idx="19">
                  <c:v>3.2385712039999999</c:v>
                </c:pt>
                <c:pt idx="20">
                  <c:v>3.292779227</c:v>
                </c:pt>
                <c:pt idx="21">
                  <c:v>3.3454508770000002</c:v>
                </c:pt>
                <c:pt idx="22">
                  <c:v>3.396661661</c:v>
                </c:pt>
                <c:pt idx="23">
                  <c:v>3.4464908799999998</c:v>
                </c:pt>
                <c:pt idx="24">
                  <c:v>3.4950133659999998</c:v>
                </c:pt>
                <c:pt idx="25">
                  <c:v>3.541157036</c:v>
                </c:pt>
                <c:pt idx="26">
                  <c:v>3.5856532849999998</c:v>
                </c:pt>
                <c:pt idx="27">
                  <c:v>3.6286172259999998</c:v>
                </c:pt>
                <c:pt idx="28">
                  <c:v>3.6701823089999999</c:v>
                </c:pt>
                <c:pt idx="29">
                  <c:v>3.7104821100000001</c:v>
                </c:pt>
                <c:pt idx="30">
                  <c:v>3.7496416720000001</c:v>
                </c:pt>
                <c:pt idx="31">
                  <c:v>3.7877739319999999</c:v>
                </c:pt>
                <c:pt idx="32">
                  <c:v>3.8249791320000002</c:v>
                </c:pt>
                <c:pt idx="33">
                  <c:v>3.861345837</c:v>
                </c:pt>
                <c:pt idx="34">
                  <c:v>3.8969526170000002</c:v>
                </c:pt>
                <c:pt idx="35">
                  <c:v>3.9318698109999999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D4-4D49-89F4-ABF65BD94CDB}"/>
            </c:ext>
          </c:extLst>
        </c:ser>
        <c:ser>
          <c:idx val="3"/>
          <c:order val="3"/>
          <c:tx>
            <c:strRef>
              <c:f>Données!$B$306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00B050"/>
            </a:solidFill>
            <a:ln w="25400">
              <a:noFill/>
            </a:ln>
            <a:effectLst/>
          </c:spPr>
          <c:cat>
            <c:numRef>
              <c:f>Données!$C$302:$AL$302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Données!$C$306:$AL$306</c:f>
              <c:numCache>
                <c:formatCode>#,##0</c:formatCode>
                <c:ptCount val="36"/>
                <c:pt idx="0">
                  <c:v>44.765000000000001</c:v>
                </c:pt>
                <c:pt idx="1">
                  <c:v>62.527370949999998</c:v>
                </c:pt>
                <c:pt idx="2">
                  <c:v>81.219025819999999</c:v>
                </c:pt>
                <c:pt idx="3">
                  <c:v>100.35870559999999</c:v>
                </c:pt>
                <c:pt idx="4">
                  <c:v>119.6436752</c:v>
                </c:pt>
                <c:pt idx="5">
                  <c:v>138.89068030000001</c:v>
                </c:pt>
                <c:pt idx="6">
                  <c:v>157.95549170000001</c:v>
                </c:pt>
                <c:pt idx="7">
                  <c:v>176.7743519</c:v>
                </c:pt>
                <c:pt idx="8">
                  <c:v>195.3109048</c:v>
                </c:pt>
                <c:pt idx="9">
                  <c:v>213.5451769</c:v>
                </c:pt>
                <c:pt idx="10">
                  <c:v>231.53059150000001</c:v>
                </c:pt>
                <c:pt idx="11">
                  <c:v>249.19786360000001</c:v>
                </c:pt>
                <c:pt idx="12">
                  <c:v>266.54386419999997</c:v>
                </c:pt>
                <c:pt idx="13">
                  <c:v>283.56735800000001</c:v>
                </c:pt>
                <c:pt idx="14">
                  <c:v>300.26977679999999</c:v>
                </c:pt>
                <c:pt idx="15">
                  <c:v>316.65513629999998</c:v>
                </c:pt>
                <c:pt idx="16">
                  <c:v>332.72971519999999</c:v>
                </c:pt>
                <c:pt idx="17">
                  <c:v>348.50172070000002</c:v>
                </c:pt>
                <c:pt idx="18">
                  <c:v>363.98102019999999</c:v>
                </c:pt>
                <c:pt idx="19">
                  <c:v>379.17895809999999</c:v>
                </c:pt>
                <c:pt idx="20">
                  <c:v>394.06074039999999</c:v>
                </c:pt>
                <c:pt idx="21">
                  <c:v>408.68932210000003</c:v>
                </c:pt>
                <c:pt idx="22">
                  <c:v>423.08158900000001</c:v>
                </c:pt>
                <c:pt idx="23">
                  <c:v>437.25609850000001</c:v>
                </c:pt>
                <c:pt idx="24">
                  <c:v>451.23207910000002</c:v>
                </c:pt>
                <c:pt idx="25">
                  <c:v>464.89240869999998</c:v>
                </c:pt>
                <c:pt idx="26">
                  <c:v>478.33367190000001</c:v>
                </c:pt>
                <c:pt idx="27">
                  <c:v>491.58281169999998</c:v>
                </c:pt>
                <c:pt idx="28">
                  <c:v>504.67100049999999</c:v>
                </c:pt>
                <c:pt idx="29">
                  <c:v>517.63145689999999</c:v>
                </c:pt>
                <c:pt idx="30">
                  <c:v>530.49837579999996</c:v>
                </c:pt>
                <c:pt idx="31">
                  <c:v>543.3064511</c:v>
                </c:pt>
                <c:pt idx="32">
                  <c:v>556.09075370000005</c:v>
                </c:pt>
                <c:pt idx="33">
                  <c:v>568.88681640000004</c:v>
                </c:pt>
                <c:pt idx="34">
                  <c:v>581.73082969999996</c:v>
                </c:pt>
                <c:pt idx="35">
                  <c:v>594.65988449999998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BD4-4D49-89F4-ABF65BD94C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9189616"/>
        <c:axId val="749190272"/>
        <c:extLst>
          <c:ext xmlns:c15="http://schemas.microsoft.com/office/drawing/2012/chart" uri="{02D57815-91ED-43cb-92C2-25804820EDAC}">
            <c15:filteredArea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Données!$B$303</c15:sqref>
                        </c15:formulaRef>
                      </c:ext>
                    </c:extLst>
                    <c:strCache>
                      <c:ptCount val="1"/>
                      <c:pt idx="0">
                        <c:v>Vehicles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 w="25400">
                    <a:noFill/>
                  </a:ln>
                  <a:effectLst/>
                </c:spPr>
                <c:cat>
                  <c:numRef>
                    <c:extLst>
                      <c:ext uri="{02D57815-91ED-43cb-92C2-25804820EDAC}">
                        <c15:formulaRef>
                          <c15:sqref>Données!$C$302:$AL$302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Données!$C$303:$AL$303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32317.940999999999</c:v>
                      </c:pt>
                      <c:pt idx="1">
                        <c:v>31939.281360000001</c:v>
                      </c:pt>
                      <c:pt idx="2">
                        <c:v>31767.455890000001</c:v>
                      </c:pt>
                      <c:pt idx="3">
                        <c:v>31736.000940000002</c:v>
                      </c:pt>
                      <c:pt idx="4">
                        <c:v>31800.974969999999</c:v>
                      </c:pt>
                      <c:pt idx="5">
                        <c:v>31933.82127</c:v>
                      </c:pt>
                      <c:pt idx="6">
                        <c:v>32112.09174</c:v>
                      </c:pt>
                      <c:pt idx="7">
                        <c:v>32323.60598</c:v>
                      </c:pt>
                      <c:pt idx="8">
                        <c:v>32560.151460000001</c:v>
                      </c:pt>
                      <c:pt idx="9">
                        <c:v>32815.996449999999</c:v>
                      </c:pt>
                      <c:pt idx="10">
                        <c:v>33093.725680000003</c:v>
                      </c:pt>
                      <c:pt idx="11">
                        <c:v>33382.97322</c:v>
                      </c:pt>
                      <c:pt idx="12">
                        <c:v>33680.99985</c:v>
                      </c:pt>
                      <c:pt idx="13">
                        <c:v>33985.469579999997</c:v>
                      </c:pt>
                      <c:pt idx="14">
                        <c:v>34294.477460000002</c:v>
                      </c:pt>
                      <c:pt idx="15">
                        <c:v>34606.498899999999</c:v>
                      </c:pt>
                      <c:pt idx="16">
                        <c:v>34920.321949999998</c:v>
                      </c:pt>
                      <c:pt idx="17">
                        <c:v>35234.983760000003</c:v>
                      </c:pt>
                      <c:pt idx="18">
                        <c:v>35549.718589999997</c:v>
                      </c:pt>
                      <c:pt idx="19">
                        <c:v>35863.918839999998</c:v>
                      </c:pt>
                      <c:pt idx="20">
                        <c:v>36172.233480000003</c:v>
                      </c:pt>
                      <c:pt idx="21">
                        <c:v>36479.502659999998</c:v>
                      </c:pt>
                      <c:pt idx="22">
                        <c:v>36785.560669999999</c:v>
                      </c:pt>
                      <c:pt idx="23">
                        <c:v>37090.35903</c:v>
                      </c:pt>
                      <c:pt idx="24">
                        <c:v>37393.860959999998</c:v>
                      </c:pt>
                      <c:pt idx="25">
                        <c:v>37682.300210000001</c:v>
                      </c:pt>
                      <c:pt idx="26">
                        <c:v>37963.857750000003</c:v>
                      </c:pt>
                      <c:pt idx="27">
                        <c:v>38239.223660000003</c:v>
                      </c:pt>
                      <c:pt idx="28">
                        <c:v>38509.344510000003</c:v>
                      </c:pt>
                      <c:pt idx="29">
                        <c:v>38775.198490000002</c:v>
                      </c:pt>
                      <c:pt idx="30">
                        <c:v>39037.689050000001</c:v>
                      </c:pt>
                      <c:pt idx="31">
                        <c:v>39297.6014</c:v>
                      </c:pt>
                      <c:pt idx="32">
                        <c:v>39555.595650000003</c:v>
                      </c:pt>
                      <c:pt idx="33">
                        <c:v>39812.219259999998</c:v>
                      </c:pt>
                      <c:pt idx="34">
                        <c:v>40067.927459999999</c:v>
                      </c:pt>
                      <c:pt idx="35">
                        <c:v>40323.104229999997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5BD4-4D49-89F4-ABF65BD94CDB}"/>
                  </c:ext>
                </c:extLst>
              </c15:ser>
            </c15:filteredAreaSeries>
          </c:ext>
        </c:extLst>
      </c:areaChart>
      <c:dateAx>
        <c:axId val="749189616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90272"/>
        <c:crosses val="autoZero"/>
        <c:auto val="1"/>
        <c:lblOffset val="100"/>
        <c:baseTimeUnit val="years"/>
        <c:majorUnit val="5"/>
        <c:majorTimeUnit val="years"/>
      </c:dateAx>
      <c:valAx>
        <c:axId val="7491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89616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Employment</a:t>
            </a:r>
          </a:p>
          <a:p>
            <a:pPr>
              <a:defRPr/>
            </a:pPr>
            <a:r>
              <a:rPr lang="fr-FR" sz="1800" baseline="0"/>
              <a:t>(deviation in thousands)</a:t>
            </a:r>
          </a:p>
          <a:p>
            <a:pPr>
              <a:defRPr/>
            </a:pPr>
            <a:endParaRPr lang="fr-FR"/>
          </a:p>
        </c:rich>
      </c:tx>
      <c:layout>
        <c:manualLayout>
          <c:xMode val="edge"/>
          <c:yMode val="edge"/>
          <c:x val="0.36442019357368427"/>
          <c:y val="1.25615756238174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0311456623915506E-2"/>
          <c:y val="0.15388432122165863"/>
          <c:w val="0.90465257274928901"/>
          <c:h val="0.57456985577238018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Données!$B$227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Données!$C$227:$E$227</c:f>
              <c:numCache>
                <c:formatCode>#,##0</c:formatCode>
                <c:ptCount val="3"/>
                <c:pt idx="0">
                  <c:v>-11.423946099999966</c:v>
                </c:pt>
                <c:pt idx="1">
                  <c:v>1.1893965000000435</c:v>
                </c:pt>
                <c:pt idx="2">
                  <c:v>9.5398800000000392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16-4F95-8245-39FB8CC2FEA0}"/>
            </c:ext>
          </c:extLst>
        </c:ser>
        <c:ser>
          <c:idx val="2"/>
          <c:order val="2"/>
          <c:tx>
            <c:strRef>
              <c:f>Données!$B$228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Données!$C$228:$E$228</c:f>
              <c:numCache>
                <c:formatCode>#,##0</c:formatCode>
                <c:ptCount val="3"/>
                <c:pt idx="0">
                  <c:v>-259.58944699999938</c:v>
                </c:pt>
                <c:pt idx="1">
                  <c:v>-328.78888800000004</c:v>
                </c:pt>
                <c:pt idx="2">
                  <c:v>-391.91441899999973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616-4F95-8245-39FB8CC2FEA0}"/>
            </c:ext>
          </c:extLst>
        </c:ser>
        <c:ser>
          <c:idx val="3"/>
          <c:order val="3"/>
          <c:tx>
            <c:strRef>
              <c:f>Données!$B$229</c:f>
              <c:strCache>
                <c:ptCount val="1"/>
                <c:pt idx="0">
                  <c:v>Transport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Données!$C$229:$E$229</c:f>
              <c:numCache>
                <c:formatCode>#,##0</c:formatCode>
                <c:ptCount val="3"/>
                <c:pt idx="0">
                  <c:v>-36.228312300000084</c:v>
                </c:pt>
                <c:pt idx="1">
                  <c:v>-41.276970500000061</c:v>
                </c:pt>
                <c:pt idx="2">
                  <c:v>-49.626467699999921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616-4F95-8245-39FB8CC2FEA0}"/>
            </c:ext>
          </c:extLst>
        </c:ser>
        <c:ser>
          <c:idx val="4"/>
          <c:order val="4"/>
          <c:tx>
            <c:strRef>
              <c:f>Données!$B$230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Données!$C$230:$E$230</c:f>
              <c:numCache>
                <c:formatCode>#,##0</c:formatCode>
                <c:ptCount val="3"/>
                <c:pt idx="0">
                  <c:v>-725.55007999999725</c:v>
                </c:pt>
                <c:pt idx="1">
                  <c:v>-775.77456000000166</c:v>
                </c:pt>
                <c:pt idx="2">
                  <c:v>-880.09528999999748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616-4F95-8245-39FB8CC2FEA0}"/>
            </c:ext>
          </c:extLst>
        </c:ser>
        <c:ser>
          <c:idx val="5"/>
          <c:order val="5"/>
          <c:tx>
            <c:strRef>
              <c:f>Données!$B$231</c:f>
              <c:strCache>
                <c:ptCount val="1"/>
                <c:pt idx="0">
                  <c:v>Oil&amp;Gas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Données!$C$231:$E$231</c:f>
              <c:numCache>
                <c:formatCode>#\ ##0.0</c:formatCode>
                <c:ptCount val="3"/>
                <c:pt idx="0">
                  <c:v>-0.5710908230999987</c:v>
                </c:pt>
                <c:pt idx="1">
                  <c:v>-0.66916793040000044</c:v>
                </c:pt>
                <c:pt idx="2">
                  <c:v>-0.77012443010000098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616-4F95-8245-39FB8CC2FEA0}"/>
            </c:ext>
          </c:extLst>
        </c:ser>
        <c:ser>
          <c:idx val="6"/>
          <c:order val="6"/>
          <c:tx>
            <c:strRef>
              <c:f>Données!$B$232</c:f>
              <c:strCache>
                <c:ptCount val="1"/>
                <c:pt idx="0">
                  <c:v>Renewable Oil &amp; Gas</c:v>
                </c:pt>
              </c:strCache>
            </c:strRef>
          </c:tx>
          <c:spPr>
            <a:pattFill prst="narHorz">
              <a:fgClr>
                <a:srgbClr val="7030A0"/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Données!$C$232:$E$232</c:f>
              <c:numCache>
                <c:formatCode>#\ ##0.0</c:formatCode>
                <c:ptCount val="3"/>
                <c:pt idx="0">
                  <c:v>-0.37680470690000067</c:v>
                </c:pt>
                <c:pt idx="1">
                  <c:v>-0.4215851596000002</c:v>
                </c:pt>
                <c:pt idx="2">
                  <c:v>-0.46901577989999943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616-4F95-8245-39FB8CC2FEA0}"/>
            </c:ext>
          </c:extLst>
        </c:ser>
        <c:ser>
          <c:idx val="7"/>
          <c:order val="7"/>
          <c:tx>
            <c:strRef>
              <c:f>Données!$B$233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Données!$C$233:$E$233</c:f>
              <c:numCache>
                <c:formatCode>#\ ##0.0</c:formatCode>
                <c:ptCount val="3"/>
                <c:pt idx="0">
                  <c:v>-0.15921876000000168</c:v>
                </c:pt>
                <c:pt idx="1">
                  <c:v>0.30127909000000841</c:v>
                </c:pt>
                <c:pt idx="2">
                  <c:v>0.51824677000000463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616-4F95-8245-39FB8CC2FE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793301600"/>
        <c:axId val="793302256"/>
      </c:barChart>
      <c:lineChart>
        <c:grouping val="standard"/>
        <c:varyColors val="0"/>
        <c:ser>
          <c:idx val="0"/>
          <c:order val="0"/>
          <c:tx>
            <c:strRef>
              <c:f>Données!$B$226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Données!$C$226:$E$226</c:f>
              <c:numCache>
                <c:formatCode>#,##0</c:formatCode>
                <c:ptCount val="3"/>
                <c:pt idx="0">
                  <c:v>-1033.8988900000004</c:v>
                </c:pt>
                <c:pt idx="1">
                  <c:v>-1145.4405000000006</c:v>
                </c:pt>
                <c:pt idx="2">
                  <c:v>-1312.8171900000016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16-4F95-8245-39FB8CC2FE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3301600"/>
        <c:axId val="793302256"/>
      </c:line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Investment </a:t>
            </a:r>
            <a:r>
              <a:rPr lang="fr-FR" sz="1800"/>
              <a:t>(%deviation</a:t>
            </a:r>
            <a:r>
              <a:rPr lang="fr-FR" sz="1800" baseline="0"/>
              <a:t> from baseline</a:t>
            </a:r>
            <a:r>
              <a:rPr lang="fr-FR" sz="2800" baseline="0"/>
              <a:t>)</a:t>
            </a:r>
            <a:endParaRPr lang="fr-FR" sz="28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Données!$B$289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Données!$C$289:$E$289</c:f>
              <c:numCache>
                <c:formatCode>0.0%</c:formatCode>
                <c:ptCount val="3"/>
                <c:pt idx="0">
                  <c:v>-5.1197892158575244E-4</c:v>
                </c:pt>
                <c:pt idx="1">
                  <c:v>-5.2055025339903618E-4</c:v>
                </c:pt>
                <c:pt idx="2">
                  <c:v>-5.0550508456164074E-4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CFE-477E-A9C8-4FC424910435}"/>
            </c:ext>
          </c:extLst>
        </c:ser>
        <c:ser>
          <c:idx val="2"/>
          <c:order val="2"/>
          <c:tx>
            <c:strRef>
              <c:f>Données!$B$290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Données!$C$290:$E$290</c:f>
              <c:numCache>
                <c:formatCode>0.0%</c:formatCode>
                <c:ptCount val="3"/>
                <c:pt idx="0">
                  <c:v>-3.6284782508903692E-2</c:v>
                </c:pt>
                <c:pt idx="1">
                  <c:v>-4.961517667988026E-2</c:v>
                </c:pt>
                <c:pt idx="2">
                  <c:v>-5.7194375562402672E-2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CFE-477E-A9C8-4FC424910435}"/>
            </c:ext>
          </c:extLst>
        </c:ser>
        <c:ser>
          <c:idx val="3"/>
          <c:order val="3"/>
          <c:tx>
            <c:strRef>
              <c:f>Données!$B$291</c:f>
              <c:strCache>
                <c:ptCount val="1"/>
                <c:pt idx="0">
                  <c:v>Transport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Données!$C$291:$E$291</c:f>
              <c:numCache>
                <c:formatCode>0.0%</c:formatCode>
                <c:ptCount val="3"/>
                <c:pt idx="0">
                  <c:v>-1.191420655165885E-3</c:v>
                </c:pt>
                <c:pt idx="1">
                  <c:v>-1.4662305380576011E-3</c:v>
                </c:pt>
                <c:pt idx="2">
                  <c:v>-1.7247566681395626E-3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CFE-477E-A9C8-4FC424910435}"/>
            </c:ext>
          </c:extLst>
        </c:ser>
        <c:ser>
          <c:idx val="4"/>
          <c:order val="4"/>
          <c:tx>
            <c:strRef>
              <c:f>Données!$B$292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Données!$C$292:$E$292</c:f>
              <c:numCache>
                <c:formatCode>0.0%</c:formatCode>
                <c:ptCount val="3"/>
                <c:pt idx="0">
                  <c:v>-2.285013111641852E-2</c:v>
                </c:pt>
                <c:pt idx="1">
                  <c:v>-2.7160259055106935E-2</c:v>
                </c:pt>
                <c:pt idx="2">
                  <c:v>-3.0119175011881206E-2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CFE-477E-A9C8-4FC424910435}"/>
            </c:ext>
          </c:extLst>
        </c:ser>
        <c:ser>
          <c:idx val="5"/>
          <c:order val="5"/>
          <c:tx>
            <c:strRef>
              <c:f>Données!$B$293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Données!$C$293:$E$293</c:f>
              <c:numCache>
                <c:formatCode>0.0%</c:formatCode>
                <c:ptCount val="3"/>
                <c:pt idx="0">
                  <c:v>-3.1872240995926458E-4</c:v>
                </c:pt>
                <c:pt idx="1">
                  <c:v>-3.7272468484096714E-4</c:v>
                </c:pt>
                <c:pt idx="2">
                  <c:v>-4.096331988865798E-4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CFE-477E-A9C8-4FC424910435}"/>
            </c:ext>
          </c:extLst>
        </c:ser>
        <c:ser>
          <c:idx val="6"/>
          <c:order val="6"/>
          <c:tx>
            <c:strRef>
              <c:f>Données!$B$294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Données!$C$294:$E$294</c:f>
              <c:numCache>
                <c:formatCode>0.0%</c:formatCode>
                <c:ptCount val="3"/>
                <c:pt idx="0">
                  <c:v>-2.8223258927888837E-4</c:v>
                </c:pt>
                <c:pt idx="1">
                  <c:v>-2.7727366156959026E-4</c:v>
                </c:pt>
                <c:pt idx="2">
                  <c:v>-2.6897089098400131E-4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CFE-477E-A9C8-4FC4249104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4"/>
        <c:overlap val="100"/>
        <c:axId val="750236624"/>
        <c:axId val="750231704"/>
      </c:barChart>
      <c:lineChart>
        <c:grouping val="standard"/>
        <c:varyColors val="0"/>
        <c:ser>
          <c:idx val="0"/>
          <c:order val="0"/>
          <c:tx>
            <c:strRef>
              <c:f>Données!$B$288</c:f>
              <c:strCache>
                <c:ptCount val="1"/>
                <c:pt idx="0">
                  <c:v>Firms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Données!$C$288:$E$288</c:f>
              <c:numCache>
                <c:formatCode>0.0%</c:formatCode>
                <c:ptCount val="3"/>
                <c:pt idx="0">
                  <c:v>-6.14392682195396E-2</c:v>
                </c:pt>
                <c:pt idx="1">
                  <c:v>-7.941221505675844E-2</c:v>
                </c:pt>
                <c:pt idx="2">
                  <c:v>-9.0222416277301098E-2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FE-477E-A9C8-4FC4249104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50236624"/>
        <c:axId val="750231704"/>
      </c:lineChart>
      <c:catAx>
        <c:axId val="750236624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50231704"/>
        <c:crosses val="autoZero"/>
        <c:auto val="1"/>
        <c:lblAlgn val="ctr"/>
        <c:lblOffset val="100"/>
        <c:tickLblSkip val="10"/>
        <c:noMultiLvlLbl val="0"/>
      </c:catAx>
      <c:valAx>
        <c:axId val="750231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50236624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Firms' CO2</a:t>
            </a:r>
            <a:r>
              <a:rPr lang="fr-FR" sz="2800" baseline="0"/>
              <a:t> emissions</a:t>
            </a:r>
          </a:p>
          <a:p>
            <a:pPr>
              <a:defRPr/>
            </a:pPr>
            <a:r>
              <a:rPr lang="fr-FR" i="1" baseline="0"/>
              <a:t>MtCO2/y</a:t>
            </a:r>
            <a:endParaRPr lang="fr-FR" i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Données!$B$432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Données!$C$432:$F$432</c:f>
              <c:numCache>
                <c:formatCode>#,##0</c:formatCode>
                <c:ptCount val="4"/>
                <c:pt idx="0">
                  <c:v>15.178127336599999</c:v>
                </c:pt>
                <c:pt idx="1">
                  <c:v>17.629099331399999</c:v>
                </c:pt>
                <c:pt idx="2">
                  <c:v>20.691593811900002</c:v>
                </c:pt>
                <c:pt idx="3">
                  <c:v>23.703531433600002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84-46BD-89B3-C66A209FCBCA}"/>
            </c:ext>
          </c:extLst>
        </c:ser>
        <c:ser>
          <c:idx val="1"/>
          <c:order val="1"/>
          <c:tx>
            <c:strRef>
              <c:f>Données!$B$433</c:f>
              <c:strCache>
                <c:ptCount val="1"/>
                <c:pt idx="0">
                  <c:v>Food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Données!$C$433:$F$433</c:f>
              <c:numCache>
                <c:formatCode>#,##0</c:formatCode>
                <c:ptCount val="4"/>
                <c:pt idx="0">
                  <c:v>8.8871173199999998</c:v>
                </c:pt>
                <c:pt idx="1">
                  <c:v>10.29642922</c:v>
                </c:pt>
                <c:pt idx="2">
                  <c:v>12.019420139999999</c:v>
                </c:pt>
                <c:pt idx="3">
                  <c:v>13.601918489999999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84-46BD-89B3-C66A209FCBCA}"/>
            </c:ext>
          </c:extLst>
        </c:ser>
        <c:ser>
          <c:idx val="2"/>
          <c:order val="2"/>
          <c:tx>
            <c:strRef>
              <c:f>Données!$B$434</c:f>
              <c:strCache>
                <c:ptCount val="1"/>
                <c:pt idx="0">
                  <c:v>Glass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Données!$C$434:$F$434</c:f>
              <c:numCache>
                <c:formatCode>#,##0</c:formatCode>
                <c:ptCount val="4"/>
                <c:pt idx="0">
                  <c:v>19.464802649999999</c:v>
                </c:pt>
                <c:pt idx="1">
                  <c:v>22.413122903000001</c:v>
                </c:pt>
                <c:pt idx="2">
                  <c:v>25.96708091</c:v>
                </c:pt>
                <c:pt idx="3">
                  <c:v>29.736428359999998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C84-46BD-89B3-C66A209FCBCA}"/>
            </c:ext>
          </c:extLst>
        </c:ser>
        <c:ser>
          <c:idx val="3"/>
          <c:order val="3"/>
          <c:tx>
            <c:strRef>
              <c:f>Données!$B$435</c:f>
              <c:strCache>
                <c:ptCount val="1"/>
                <c:pt idx="0">
                  <c:v>Chemicals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Données!$C$435:$F$435</c:f>
              <c:numCache>
                <c:formatCode>#,##0</c:formatCode>
                <c:ptCount val="4"/>
                <c:pt idx="0">
                  <c:v>13.91779824</c:v>
                </c:pt>
                <c:pt idx="1">
                  <c:v>15.934624700000001</c:v>
                </c:pt>
                <c:pt idx="2">
                  <c:v>18.143543430000001</c:v>
                </c:pt>
                <c:pt idx="3">
                  <c:v>20.424011180000001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C84-46BD-89B3-C66A209FCBCA}"/>
            </c:ext>
          </c:extLst>
        </c:ser>
        <c:ser>
          <c:idx val="4"/>
          <c:order val="4"/>
          <c:tx>
            <c:strRef>
              <c:f>Données!$B$436</c:f>
              <c:strCache>
                <c:ptCount val="1"/>
                <c:pt idx="0">
                  <c:v>Metal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Données!$C$436:$F$436</c:f>
              <c:numCache>
                <c:formatCode>#,##0</c:formatCode>
                <c:ptCount val="4"/>
                <c:pt idx="0">
                  <c:v>20.224070449999999</c:v>
                </c:pt>
                <c:pt idx="1">
                  <c:v>23.05447032</c:v>
                </c:pt>
                <c:pt idx="2">
                  <c:v>26.405441280000002</c:v>
                </c:pt>
                <c:pt idx="3">
                  <c:v>29.96986794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C84-46BD-89B3-C66A209FCBCA}"/>
            </c:ext>
          </c:extLst>
        </c:ser>
        <c:ser>
          <c:idx val="5"/>
          <c:order val="5"/>
          <c:tx>
            <c:strRef>
              <c:f>Données!$B$437</c:f>
              <c:strCache>
                <c:ptCount val="1"/>
                <c:pt idx="0">
                  <c:v>Other industry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Données!$C$437:$F$437</c:f>
              <c:numCache>
                <c:formatCode>#,##0</c:formatCode>
                <c:ptCount val="4"/>
                <c:pt idx="0">
                  <c:v>16.367504322999999</c:v>
                </c:pt>
                <c:pt idx="1">
                  <c:v>19.141130963999998</c:v>
                </c:pt>
                <c:pt idx="2">
                  <c:v>22.622232200999996</c:v>
                </c:pt>
                <c:pt idx="3">
                  <c:v>25.631395709000003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C84-46BD-89B3-C66A209FCBCA}"/>
            </c:ext>
          </c:extLst>
        </c:ser>
        <c:ser>
          <c:idx val="6"/>
          <c:order val="6"/>
          <c:tx>
            <c:strRef>
              <c:f>Données!$B$438</c:f>
              <c:strCache>
                <c:ptCount val="1"/>
                <c:pt idx="0">
                  <c:v>Road transport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Données!$C$438:$F$438</c:f>
              <c:numCache>
                <c:formatCode>#,##0</c:formatCode>
                <c:ptCount val="4"/>
                <c:pt idx="0">
                  <c:v>17.897111219999999</c:v>
                </c:pt>
                <c:pt idx="1">
                  <c:v>20.297847430000001</c:v>
                </c:pt>
                <c:pt idx="2">
                  <c:v>23.019530499999998</c:v>
                </c:pt>
                <c:pt idx="3">
                  <c:v>25.730265859999999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C84-46BD-89B3-C66A209FCBCA}"/>
            </c:ext>
          </c:extLst>
        </c:ser>
        <c:ser>
          <c:idx val="7"/>
          <c:order val="7"/>
          <c:tx>
            <c:strRef>
              <c:f>Données!$B$439</c:f>
              <c:strCache>
                <c:ptCount val="1"/>
                <c:pt idx="0">
                  <c:v>Air transport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Données!$C$439:$F$439</c:f>
              <c:numCache>
                <c:formatCode>#,##0</c:formatCode>
                <c:ptCount val="4"/>
                <c:pt idx="0">
                  <c:v>20.055576720000001</c:v>
                </c:pt>
                <c:pt idx="1">
                  <c:v>23.604185180000002</c:v>
                </c:pt>
                <c:pt idx="2">
                  <c:v>27.669892860000001</c:v>
                </c:pt>
                <c:pt idx="3">
                  <c:v>31.788202980000001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C84-46BD-89B3-C66A209FCBCA}"/>
            </c:ext>
          </c:extLst>
        </c:ser>
        <c:ser>
          <c:idx val="8"/>
          <c:order val="8"/>
          <c:tx>
            <c:strRef>
              <c:f>Données!$B$440</c:f>
              <c:strCache>
                <c:ptCount val="1"/>
                <c:pt idx="0">
                  <c:v>Other transport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Données!$C$440:$F$440</c:f>
              <c:numCache>
                <c:formatCode>#,##0</c:formatCode>
                <c:ptCount val="4"/>
                <c:pt idx="0">
                  <c:v>5.6969984060000005</c:v>
                </c:pt>
                <c:pt idx="1">
                  <c:v>6.4711107319999996</c:v>
                </c:pt>
                <c:pt idx="2">
                  <c:v>7.285909019</c:v>
                </c:pt>
                <c:pt idx="3">
                  <c:v>8.1329786129999988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C84-46BD-89B3-C66A209FCBCA}"/>
            </c:ext>
          </c:extLst>
        </c:ser>
        <c:ser>
          <c:idx val="9"/>
          <c:order val="9"/>
          <c:tx>
            <c:strRef>
              <c:f>Données!$B$441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Données!$C$441:$F$441</c:f>
              <c:numCache>
                <c:formatCode>#,##0</c:formatCode>
                <c:ptCount val="4"/>
                <c:pt idx="0">
                  <c:v>52.160624432999995</c:v>
                </c:pt>
                <c:pt idx="1">
                  <c:v>61.249153575999998</c:v>
                </c:pt>
                <c:pt idx="2">
                  <c:v>72.434736768999997</c:v>
                </c:pt>
                <c:pt idx="3">
                  <c:v>83.44225401700001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C84-46BD-89B3-C66A209FCBCA}"/>
            </c:ext>
          </c:extLst>
        </c:ser>
        <c:ser>
          <c:idx val="10"/>
          <c:order val="10"/>
          <c:tx>
            <c:strRef>
              <c:f>Données!$B$442</c:f>
              <c:strCache>
                <c:ptCount val="1"/>
                <c:pt idx="0">
                  <c:v>Oil&amp;Gas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Données!$C$442:$F$442</c:f>
              <c:numCache>
                <c:formatCode>#,##0</c:formatCode>
                <c:ptCount val="4"/>
                <c:pt idx="0">
                  <c:v>21.693272418000003</c:v>
                </c:pt>
                <c:pt idx="1">
                  <c:v>23.997063163000004</c:v>
                </c:pt>
                <c:pt idx="2">
                  <c:v>26.790197779</c:v>
                </c:pt>
                <c:pt idx="3">
                  <c:v>29.560557635000002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C84-46BD-89B3-C66A209FCBCA}"/>
            </c:ext>
          </c:extLst>
        </c:ser>
        <c:ser>
          <c:idx val="11"/>
          <c:order val="11"/>
          <c:tx>
            <c:strRef>
              <c:f>Données!$B$443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Données!$C$443:$F$443</c:f>
              <c:numCache>
                <c:formatCode>#,##0</c:formatCode>
                <c:ptCount val="4"/>
                <c:pt idx="0">
                  <c:v>26.176928167</c:v>
                </c:pt>
                <c:pt idx="1">
                  <c:v>28.724215710000003</c:v>
                </c:pt>
                <c:pt idx="2">
                  <c:v>31.418360593000003</c:v>
                </c:pt>
                <c:pt idx="3">
                  <c:v>34.136479373999997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8C84-46BD-89B3-C66A209FCB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56882840"/>
        <c:axId val="956883496"/>
      </c:barChart>
      <c:catAx>
        <c:axId val="956882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956883496"/>
        <c:crosses val="autoZero"/>
        <c:auto val="1"/>
        <c:lblAlgn val="ctr"/>
        <c:lblOffset val="100"/>
        <c:noMultiLvlLbl val="0"/>
      </c:catAx>
      <c:valAx>
        <c:axId val="956883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95688284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Capital intensity</a:t>
            </a:r>
          </a:p>
          <a:p>
            <a:pPr>
              <a:defRPr/>
            </a:pPr>
            <a:r>
              <a:rPr lang="fr-FR" sz="1800"/>
              <a:t>(%</a:t>
            </a:r>
            <a:r>
              <a:rPr lang="fr-FR" sz="1800" baseline="0"/>
              <a:t> deviation from baseline)</a:t>
            </a:r>
            <a:endParaRPr lang="fr-FR" sz="1800"/>
          </a:p>
        </c:rich>
      </c:tx>
      <c:layout>
        <c:manualLayout>
          <c:xMode val="edge"/>
          <c:yMode val="edge"/>
          <c:x val="0.35804858323293964"/>
          <c:y val="1.25615756238174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Données!$B$185</c:f>
              <c:strCache>
                <c:ptCount val="1"/>
                <c:pt idx="0">
                  <c:v>Agriculture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Données!$C$185:$AL$185</c:f>
              <c:numCache>
                <c:formatCode>0%</c:formatCode>
                <c:ptCount val="36"/>
                <c:pt idx="0">
                  <c:v>1.5920747412602188E-2</c:v>
                </c:pt>
                <c:pt idx="1">
                  <c:v>2.0586457558361193E-2</c:v>
                </c:pt>
                <c:pt idx="2">
                  <c:v>2.3695160583380614E-2</c:v>
                </c:pt>
                <c:pt idx="3">
                  <c:v>2.5722791969282621E-2</c:v>
                </c:pt>
                <c:pt idx="4">
                  <c:v>2.6917299135680528E-2</c:v>
                </c:pt>
                <c:pt idx="5">
                  <c:v>2.7504167432158777E-2</c:v>
                </c:pt>
                <c:pt idx="6">
                  <c:v>2.7679627603612422E-2</c:v>
                </c:pt>
                <c:pt idx="7">
                  <c:v>2.756078079585067E-2</c:v>
                </c:pt>
                <c:pt idx="8">
                  <c:v>2.7250842506950868E-2</c:v>
                </c:pt>
                <c:pt idx="9">
                  <c:v>2.6831221250074311E-2</c:v>
                </c:pt>
                <c:pt idx="10">
                  <c:v>2.7588169759147574E-2</c:v>
                </c:pt>
                <c:pt idx="11">
                  <c:v>2.6459441462563182E-2</c:v>
                </c:pt>
                <c:pt idx="12">
                  <c:v>2.5142653628627443E-2</c:v>
                </c:pt>
                <c:pt idx="13">
                  <c:v>2.3785884182609518E-2</c:v>
                </c:pt>
                <c:pt idx="14">
                  <c:v>2.2458638028467037E-2</c:v>
                </c:pt>
                <c:pt idx="15">
                  <c:v>2.1210995506009356E-2</c:v>
                </c:pt>
                <c:pt idx="16">
                  <c:v>2.0133508047978088E-2</c:v>
                </c:pt>
                <c:pt idx="17">
                  <c:v>1.9225658433166926E-2</c:v>
                </c:pt>
                <c:pt idx="18">
                  <c:v>1.8503021189341329E-2</c:v>
                </c:pt>
                <c:pt idx="19">
                  <c:v>1.7973038777075567E-2</c:v>
                </c:pt>
                <c:pt idx="20">
                  <c:v>1.7633432811194893E-2</c:v>
                </c:pt>
                <c:pt idx="21">
                  <c:v>1.7493149651300888E-2</c:v>
                </c:pt>
                <c:pt idx="22">
                  <c:v>1.7535944424951211E-2</c:v>
                </c:pt>
                <c:pt idx="23">
                  <c:v>1.7754272605944754E-2</c:v>
                </c:pt>
                <c:pt idx="24">
                  <c:v>1.8138421906001456E-2</c:v>
                </c:pt>
                <c:pt idx="25">
                  <c:v>1.8660482687497426E-2</c:v>
                </c:pt>
                <c:pt idx="26">
                  <c:v>1.9324425492839969E-2</c:v>
                </c:pt>
                <c:pt idx="27">
                  <c:v>2.0109931691065341E-2</c:v>
                </c:pt>
                <c:pt idx="28">
                  <c:v>2.1007940488443788E-2</c:v>
                </c:pt>
                <c:pt idx="29">
                  <c:v>2.2010537223891014E-2</c:v>
                </c:pt>
                <c:pt idx="30">
                  <c:v>2.310952191734672E-2</c:v>
                </c:pt>
                <c:pt idx="31">
                  <c:v>2.428425108425758E-2</c:v>
                </c:pt>
                <c:pt idx="32">
                  <c:v>2.5533598940496116E-2</c:v>
                </c:pt>
                <c:pt idx="33">
                  <c:v>2.6851254315203521E-2</c:v>
                </c:pt>
                <c:pt idx="34">
                  <c:v>2.8231569749729291E-2</c:v>
                </c:pt>
                <c:pt idx="35">
                  <c:v>2.9669198924779261E-2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7BC-46A1-8051-5FF16B24E7D2}"/>
            </c:ext>
          </c:extLst>
        </c:ser>
        <c:ser>
          <c:idx val="2"/>
          <c:order val="2"/>
          <c:tx>
            <c:strRef>
              <c:f>Données!$B$186</c:f>
              <c:strCache>
                <c:ptCount val="1"/>
                <c:pt idx="0">
                  <c:v>Industry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Données!$C$186:$AL$186</c:f>
              <c:numCache>
                <c:formatCode>0%</c:formatCode>
                <c:ptCount val="36"/>
                <c:pt idx="0">
                  <c:v>2.1232404649103698E-2</c:v>
                </c:pt>
                <c:pt idx="1">
                  <c:v>2.4972740841717078E-2</c:v>
                </c:pt>
                <c:pt idx="2">
                  <c:v>2.7185079149276481E-2</c:v>
                </c:pt>
                <c:pt idx="3">
                  <c:v>2.8517647121854006E-2</c:v>
                </c:pt>
                <c:pt idx="4">
                  <c:v>2.9269960135705375E-2</c:v>
                </c:pt>
                <c:pt idx="5">
                  <c:v>2.9618112734362878E-2</c:v>
                </c:pt>
                <c:pt idx="6">
                  <c:v>2.9707179167592246E-2</c:v>
                </c:pt>
                <c:pt idx="7">
                  <c:v>2.9584492589707079E-2</c:v>
                </c:pt>
                <c:pt idx="8">
                  <c:v>2.9296277969859563E-2</c:v>
                </c:pt>
                <c:pt idx="9">
                  <c:v>2.8876841538317599E-2</c:v>
                </c:pt>
                <c:pt idx="10">
                  <c:v>2.9941010885073283E-2</c:v>
                </c:pt>
                <c:pt idx="11">
                  <c:v>2.8443605485845902E-2</c:v>
                </c:pt>
                <c:pt idx="12">
                  <c:v>2.6708811050106362E-2</c:v>
                </c:pt>
                <c:pt idx="13">
                  <c:v>2.4887359137752307E-2</c:v>
                </c:pt>
                <c:pt idx="14">
                  <c:v>2.3044084860793346E-2</c:v>
                </c:pt>
                <c:pt idx="15">
                  <c:v>2.1213159746675592E-2</c:v>
                </c:pt>
                <c:pt idx="16">
                  <c:v>1.9486953948808949E-2</c:v>
                </c:pt>
                <c:pt idx="17">
                  <c:v>1.7816753726568546E-2</c:v>
                </c:pt>
                <c:pt idx="18">
                  <c:v>1.6208302211079051E-2</c:v>
                </c:pt>
                <c:pt idx="19">
                  <c:v>1.4666553962047857E-2</c:v>
                </c:pt>
                <c:pt idx="20">
                  <c:v>1.3194259717038692E-2</c:v>
                </c:pt>
                <c:pt idx="21">
                  <c:v>1.1797489108005044E-2</c:v>
                </c:pt>
                <c:pt idx="22">
                  <c:v>1.0472539064328323E-2</c:v>
                </c:pt>
                <c:pt idx="23">
                  <c:v>9.2205885197926829E-3</c:v>
                </c:pt>
                <c:pt idx="24">
                  <c:v>8.0414889727240535E-3</c:v>
                </c:pt>
                <c:pt idx="25">
                  <c:v>6.9290291997670117E-3</c:v>
                </c:pt>
                <c:pt idx="26">
                  <c:v>5.8671737074804664E-3</c:v>
                </c:pt>
                <c:pt idx="27">
                  <c:v>4.8716460999882472E-3</c:v>
                </c:pt>
                <c:pt idx="28">
                  <c:v>3.9443916764856368E-3</c:v>
                </c:pt>
                <c:pt idx="29">
                  <c:v>3.0867860782262113E-3</c:v>
                </c:pt>
                <c:pt idx="30">
                  <c:v>2.2997673596945045E-3</c:v>
                </c:pt>
                <c:pt idx="31">
                  <c:v>1.5668689456524998E-3</c:v>
                </c:pt>
                <c:pt idx="32">
                  <c:v>9.0343561779571147E-4</c:v>
                </c:pt>
                <c:pt idx="33">
                  <c:v>3.1124103398916247E-4</c:v>
                </c:pt>
                <c:pt idx="34">
                  <c:v>-2.0831809401877788E-4</c:v>
                </c:pt>
                <c:pt idx="35">
                  <c:v>-6.5408751770223983E-4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BC-46A1-8051-5FF16B24E7D2}"/>
            </c:ext>
          </c:extLst>
        </c:ser>
        <c:ser>
          <c:idx val="3"/>
          <c:order val="3"/>
          <c:tx>
            <c:strRef>
              <c:f>Données!$B$187</c:f>
              <c:strCache>
                <c:ptCount val="1"/>
                <c:pt idx="0">
                  <c:v>Transports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Données!$C$187:$AL$187</c:f>
              <c:numCache>
                <c:formatCode>0%</c:formatCode>
                <c:ptCount val="36"/>
                <c:pt idx="0">
                  <c:v>1.9708891401547524E-2</c:v>
                </c:pt>
                <c:pt idx="1">
                  <c:v>2.1698227775448498E-2</c:v>
                </c:pt>
                <c:pt idx="2">
                  <c:v>2.253865142649869E-2</c:v>
                </c:pt>
                <c:pt idx="3">
                  <c:v>2.2735515347082735E-2</c:v>
                </c:pt>
                <c:pt idx="4">
                  <c:v>2.2467067310220301E-2</c:v>
                </c:pt>
                <c:pt idx="5">
                  <c:v>2.1843444952511781E-2</c:v>
                </c:pt>
                <c:pt idx="6">
                  <c:v>2.0984026002120126E-2</c:v>
                </c:pt>
                <c:pt idx="7">
                  <c:v>1.9935543084257379E-2</c:v>
                </c:pt>
                <c:pt idx="8">
                  <c:v>1.8756092349867304E-2</c:v>
                </c:pt>
                <c:pt idx="9">
                  <c:v>1.74941099214454E-2</c:v>
                </c:pt>
                <c:pt idx="10">
                  <c:v>1.7704083494580303E-2</c:v>
                </c:pt>
                <c:pt idx="11">
                  <c:v>1.5441414534069775E-2</c:v>
                </c:pt>
                <c:pt idx="12">
                  <c:v>1.309360188454356E-2</c:v>
                </c:pt>
                <c:pt idx="13">
                  <c:v>1.0788180798988689E-2</c:v>
                </c:pt>
                <c:pt idx="14">
                  <c:v>8.5725640039691076E-3</c:v>
                </c:pt>
                <c:pt idx="15">
                  <c:v>6.4708564865501028E-3</c:v>
                </c:pt>
                <c:pt idx="16">
                  <c:v>4.5657643064551667E-3</c:v>
                </c:pt>
                <c:pt idx="17">
                  <c:v>2.7998226739422982E-3</c:v>
                </c:pt>
                <c:pt idx="18">
                  <c:v>1.1725026989981568E-3</c:v>
                </c:pt>
                <c:pt idx="19">
                  <c:v>-3.1881682265766376E-4</c:v>
                </c:pt>
                <c:pt idx="20">
                  <c:v>-1.6836918107032695E-3</c:v>
                </c:pt>
                <c:pt idx="21">
                  <c:v>-2.9194683295228341E-3</c:v>
                </c:pt>
                <c:pt idx="22">
                  <c:v>-4.0430347639468511E-3</c:v>
                </c:pt>
                <c:pt idx="23">
                  <c:v>-5.0640382052579147E-3</c:v>
                </c:pt>
                <c:pt idx="24">
                  <c:v>-5.9930712066464942E-3</c:v>
                </c:pt>
                <c:pt idx="25">
                  <c:v>-6.8564280501618446E-3</c:v>
                </c:pt>
                <c:pt idx="26">
                  <c:v>-7.6620371916578112E-3</c:v>
                </c:pt>
                <c:pt idx="27">
                  <c:v>-8.4055027850217234E-3</c:v>
                </c:pt>
                <c:pt idx="28">
                  <c:v>-9.0934770222724781E-3</c:v>
                </c:pt>
                <c:pt idx="29">
                  <c:v>-9.7327140664554834E-3</c:v>
                </c:pt>
                <c:pt idx="30">
                  <c:v>-1.0329604081724675E-2</c:v>
                </c:pt>
                <c:pt idx="31">
                  <c:v>-1.0906573629831384E-2</c:v>
                </c:pt>
                <c:pt idx="32">
                  <c:v>-1.1452862950369735E-2</c:v>
                </c:pt>
                <c:pt idx="33">
                  <c:v>-1.1971664121153802E-2</c:v>
                </c:pt>
                <c:pt idx="34">
                  <c:v>-1.2465912825547654E-2</c:v>
                </c:pt>
                <c:pt idx="35">
                  <c:v>-1.2938104375054826E-2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BC-46A1-8051-5FF16B24E7D2}"/>
            </c:ext>
          </c:extLst>
        </c:ser>
        <c:ser>
          <c:idx val="4"/>
          <c:order val="4"/>
          <c:tx>
            <c:strRef>
              <c:f>Données!$B$188</c:f>
              <c:strCache>
                <c:ptCount val="1"/>
                <c:pt idx="0">
                  <c:v>Services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Données!$C$188:$AL$188</c:f>
              <c:numCache>
                <c:formatCode>0%</c:formatCode>
                <c:ptCount val="36"/>
                <c:pt idx="0">
                  <c:v>1.0997515153896575E-2</c:v>
                </c:pt>
                <c:pt idx="1">
                  <c:v>1.4518951755474685E-2</c:v>
                </c:pt>
                <c:pt idx="2">
                  <c:v>1.6561232559413552E-2</c:v>
                </c:pt>
                <c:pt idx="3">
                  <c:v>1.7755409119127652E-2</c:v>
                </c:pt>
                <c:pt idx="4">
                  <c:v>1.8364504196777931E-2</c:v>
                </c:pt>
                <c:pt idx="5">
                  <c:v>1.8536654925788376E-2</c:v>
                </c:pt>
                <c:pt idx="6">
                  <c:v>1.8395235819909983E-2</c:v>
                </c:pt>
                <c:pt idx="7">
                  <c:v>1.8002936763021227E-2</c:v>
                </c:pt>
                <c:pt idx="8">
                  <c:v>1.7419717663395673E-2</c:v>
                </c:pt>
                <c:pt idx="9">
                  <c:v>1.6695097394372249E-2</c:v>
                </c:pt>
                <c:pt idx="10">
                  <c:v>1.6656578525789945E-2</c:v>
                </c:pt>
                <c:pt idx="11">
                  <c:v>1.5431985129932935E-2</c:v>
                </c:pt>
                <c:pt idx="12">
                  <c:v>1.3966135511518152E-2</c:v>
                </c:pt>
                <c:pt idx="13">
                  <c:v>1.2398501941503826E-2</c:v>
                </c:pt>
                <c:pt idx="14">
                  <c:v>1.0794522098935388E-2</c:v>
                </c:pt>
                <c:pt idx="15">
                  <c:v>9.1970126827167764E-3</c:v>
                </c:pt>
                <c:pt idx="16">
                  <c:v>7.6733600670206847E-3</c:v>
                </c:pt>
                <c:pt idx="17">
                  <c:v>6.2230805398022504E-3</c:v>
                </c:pt>
                <c:pt idx="18">
                  <c:v>4.8604092444077818E-3</c:v>
                </c:pt>
                <c:pt idx="19">
                  <c:v>3.5958457672824462E-3</c:v>
                </c:pt>
                <c:pt idx="20">
                  <c:v>2.4393901222794501E-3</c:v>
                </c:pt>
                <c:pt idx="21">
                  <c:v>1.3850609389471913E-3</c:v>
                </c:pt>
                <c:pt idx="22">
                  <c:v>4.3685008700555805E-4</c:v>
                </c:pt>
                <c:pt idx="23">
                  <c:v>-4.0784611862509923E-4</c:v>
                </c:pt>
                <c:pt idx="24">
                  <c:v>-1.1537489558980374E-3</c:v>
                </c:pt>
                <c:pt idx="25">
                  <c:v>-1.7993241104341529E-3</c:v>
                </c:pt>
                <c:pt idx="26">
                  <c:v>-2.3811751510570689E-3</c:v>
                </c:pt>
                <c:pt idx="27">
                  <c:v>-2.8896026803008068E-3</c:v>
                </c:pt>
                <c:pt idx="28">
                  <c:v>-3.3286784337297481E-3</c:v>
                </c:pt>
                <c:pt idx="29">
                  <c:v>-3.7031875033975981E-3</c:v>
                </c:pt>
                <c:pt idx="30">
                  <c:v>-4.0184990670565357E-3</c:v>
                </c:pt>
                <c:pt idx="31">
                  <c:v>-4.2886797768050267E-3</c:v>
                </c:pt>
                <c:pt idx="32">
                  <c:v>-4.5131638333787416E-3</c:v>
                </c:pt>
                <c:pt idx="33">
                  <c:v>-4.6959392555732116E-3</c:v>
                </c:pt>
                <c:pt idx="34">
                  <c:v>-4.8410728575163375E-3</c:v>
                </c:pt>
                <c:pt idx="35">
                  <c:v>-4.9524631702796418E-3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BC-46A1-8051-5FF16B24E7D2}"/>
            </c:ext>
          </c:extLst>
        </c:ser>
        <c:ser>
          <c:idx val="5"/>
          <c:order val="5"/>
          <c:tx>
            <c:strRef>
              <c:f>Données!$B$189</c:f>
              <c:strCache>
                <c:ptCount val="1"/>
                <c:pt idx="0">
                  <c:v>Oil&amp;Gas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Données!$C$189:$AL$189</c:f>
              <c:numCache>
                <c:formatCode>0%</c:formatCode>
                <c:ptCount val="36"/>
                <c:pt idx="0">
                  <c:v>1.8739547040874882E-2</c:v>
                </c:pt>
                <c:pt idx="1">
                  <c:v>2.1033684155375321E-2</c:v>
                </c:pt>
                <c:pt idx="2">
                  <c:v>2.2294493142587912E-2</c:v>
                </c:pt>
                <c:pt idx="3">
                  <c:v>2.323274981119039E-2</c:v>
                </c:pt>
                <c:pt idx="4">
                  <c:v>2.3845294603364708E-2</c:v>
                </c:pt>
                <c:pt idx="5">
                  <c:v>2.4170046105491005E-2</c:v>
                </c:pt>
                <c:pt idx="6">
                  <c:v>2.4263518710582188E-2</c:v>
                </c:pt>
                <c:pt idx="7">
                  <c:v>2.4139820625234565E-2</c:v>
                </c:pt>
                <c:pt idx="8">
                  <c:v>2.3835053807783391E-2</c:v>
                </c:pt>
                <c:pt idx="9">
                  <c:v>2.3398724058816711E-2</c:v>
                </c:pt>
                <c:pt idx="10">
                  <c:v>2.4428898316260828E-2</c:v>
                </c:pt>
                <c:pt idx="11">
                  <c:v>2.2924074055435062E-2</c:v>
                </c:pt>
                <c:pt idx="12">
                  <c:v>2.1164080610090785E-2</c:v>
                </c:pt>
                <c:pt idx="13">
                  <c:v>1.933598948310844E-2</c:v>
                </c:pt>
                <c:pt idx="14">
                  <c:v>1.7494369905650231E-2</c:v>
                </c:pt>
                <c:pt idx="15">
                  <c:v>1.567015942748351E-2</c:v>
                </c:pt>
                <c:pt idx="16">
                  <c:v>1.3949700591471714E-2</c:v>
                </c:pt>
                <c:pt idx="17">
                  <c:v>1.2297043856050571E-2</c:v>
                </c:pt>
                <c:pt idx="18">
                  <c:v>1.072485408446866E-2</c:v>
                </c:pt>
                <c:pt idx="19">
                  <c:v>9.2445663225548813E-3</c:v>
                </c:pt>
                <c:pt idx="20">
                  <c:v>7.8529426628075605E-3</c:v>
                </c:pt>
                <c:pt idx="21">
                  <c:v>6.5789506184210644E-3</c:v>
                </c:pt>
                <c:pt idx="22">
                  <c:v>5.408200835232968E-3</c:v>
                </c:pt>
                <c:pt idx="23">
                  <c:v>4.3386719197884283E-3</c:v>
                </c:pt>
                <c:pt idx="24">
                  <c:v>3.3666866117723071E-3</c:v>
                </c:pt>
                <c:pt idx="25">
                  <c:v>2.4526404700027093E-3</c:v>
                </c:pt>
                <c:pt idx="26">
                  <c:v>1.6275823021825175E-3</c:v>
                </c:pt>
                <c:pt idx="27">
                  <c:v>8.8531801898095175E-4</c:v>
                </c:pt>
                <c:pt idx="28">
                  <c:v>2.1906893866674437E-4</c:v>
                </c:pt>
                <c:pt idx="29">
                  <c:v>-3.786950490984875E-4</c:v>
                </c:pt>
                <c:pt idx="30">
                  <c:v>-9.1502146627642222E-4</c:v>
                </c:pt>
                <c:pt idx="31">
                  <c:v>-1.4111946530639408E-3</c:v>
                </c:pt>
                <c:pt idx="32">
                  <c:v>-1.8588643852156528E-3</c:v>
                </c:pt>
                <c:pt idx="33">
                  <c:v>-2.2619518521681536E-3</c:v>
                </c:pt>
                <c:pt idx="34">
                  <c:v>-2.6244265710857473E-3</c:v>
                </c:pt>
                <c:pt idx="35">
                  <c:v>-2.9501702799689111E-3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BC-46A1-8051-5FF16B24E7D2}"/>
            </c:ext>
          </c:extLst>
        </c:ser>
        <c:ser>
          <c:idx val="6"/>
          <c:order val="6"/>
          <c:tx>
            <c:strRef>
              <c:f>Données!$B$190</c:f>
              <c:strCache>
                <c:ptCount val="1"/>
                <c:pt idx="0">
                  <c:v>Electricity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Données!$C$190:$AL$190</c:f>
              <c:numCache>
                <c:formatCode>0%</c:formatCode>
                <c:ptCount val="36"/>
                <c:pt idx="0">
                  <c:v>1.6125453580091431E-2</c:v>
                </c:pt>
                <c:pt idx="1">
                  <c:v>1.9488736466929835E-2</c:v>
                </c:pt>
                <c:pt idx="2">
                  <c:v>2.136684404667144E-2</c:v>
                </c:pt>
                <c:pt idx="3">
                  <c:v>2.2533968075250321E-2</c:v>
                </c:pt>
                <c:pt idx="4">
                  <c:v>2.2958798657601198E-2</c:v>
                </c:pt>
                <c:pt idx="5">
                  <c:v>2.2820987327916598E-2</c:v>
                </c:pt>
                <c:pt idx="6">
                  <c:v>2.2383551713885952E-2</c:v>
                </c:pt>
                <c:pt idx="7">
                  <c:v>2.1847002093539958E-2</c:v>
                </c:pt>
                <c:pt idx="8">
                  <c:v>2.1354510304122387E-2</c:v>
                </c:pt>
                <c:pt idx="9">
                  <c:v>2.1027571181422511E-2</c:v>
                </c:pt>
                <c:pt idx="10">
                  <c:v>2.1887383585910802E-2</c:v>
                </c:pt>
                <c:pt idx="11">
                  <c:v>2.170985301991335E-2</c:v>
                </c:pt>
                <c:pt idx="12">
                  <c:v>2.1499269175316638E-2</c:v>
                </c:pt>
                <c:pt idx="13">
                  <c:v>2.137442106478149E-2</c:v>
                </c:pt>
                <c:pt idx="14">
                  <c:v>2.1354297787731902E-2</c:v>
                </c:pt>
                <c:pt idx="15">
                  <c:v>2.1446957065215599E-2</c:v>
                </c:pt>
                <c:pt idx="16">
                  <c:v>2.1695855195372538E-2</c:v>
                </c:pt>
                <c:pt idx="17">
                  <c:v>2.2100621079228722E-2</c:v>
                </c:pt>
                <c:pt idx="18">
                  <c:v>2.2656043888080291E-2</c:v>
                </c:pt>
                <c:pt idx="19">
                  <c:v>2.3355798424062213E-2</c:v>
                </c:pt>
                <c:pt idx="20">
                  <c:v>2.4190168204949902E-2</c:v>
                </c:pt>
                <c:pt idx="21">
                  <c:v>2.5157076969000602E-2</c:v>
                </c:pt>
                <c:pt idx="22">
                  <c:v>2.6239976087911954E-2</c:v>
                </c:pt>
                <c:pt idx="23">
                  <c:v>2.7428509145082103E-2</c:v>
                </c:pt>
                <c:pt idx="24">
                  <c:v>2.871172152771595E-2</c:v>
                </c:pt>
                <c:pt idx="25">
                  <c:v>3.0071573754926639E-2</c:v>
                </c:pt>
                <c:pt idx="26">
                  <c:v>3.1500704075983155E-2</c:v>
                </c:pt>
                <c:pt idx="27">
                  <c:v>3.2977620271851915E-2</c:v>
                </c:pt>
                <c:pt idx="28">
                  <c:v>3.4496568714906362E-2</c:v>
                </c:pt>
                <c:pt idx="29">
                  <c:v>3.6053158160239018E-2</c:v>
                </c:pt>
                <c:pt idx="30">
                  <c:v>3.7643342218362852E-2</c:v>
                </c:pt>
                <c:pt idx="31">
                  <c:v>3.9255806674856952E-2</c:v>
                </c:pt>
                <c:pt idx="32">
                  <c:v>4.0888231101174233E-2</c:v>
                </c:pt>
                <c:pt idx="33">
                  <c:v>4.2540177420884451E-2</c:v>
                </c:pt>
                <c:pt idx="34">
                  <c:v>4.4211722882685267E-2</c:v>
                </c:pt>
                <c:pt idx="35">
                  <c:v>4.5903228327466961E-2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BC-46A1-8051-5FF16B24E7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477712"/>
        <c:axId val="10084747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Données!$B$184</c15:sqref>
                        </c15:formulaRef>
                      </c:ext>
                    </c:extLst>
                    <c:strCache>
                      <c:ptCount val="1"/>
                      <c:pt idx="0">
                        <c:v>Average</c:v>
                      </c:pt>
                    </c:strCache>
                  </c:strRef>
                </c:tx>
                <c:spPr>
                  <a:ln w="38100" cap="rnd">
                    <a:solidFill>
                      <a:schemeClr val="tx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Données!$C$183:$AL$183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Données!$C$184:$AL$184</c15:sqref>
                        </c15:formulaRef>
                      </c:ext>
                    </c:extLst>
                    <c:numCache>
                      <c:formatCode>0%</c:formatCode>
                      <c:ptCount val="36"/>
                      <c:pt idx="0">
                        <c:v>1.4104159056971266E-2</c:v>
                      </c:pt>
                      <c:pt idx="1">
                        <c:v>1.7595645534212112E-2</c:v>
                      </c:pt>
                      <c:pt idx="2">
                        <c:v>1.9593848396557867E-2</c:v>
                      </c:pt>
                      <c:pt idx="3">
                        <c:v>2.0730168302115048E-2</c:v>
                      </c:pt>
                      <c:pt idx="4">
                        <c:v>2.1265684773866145E-2</c:v>
                      </c:pt>
                      <c:pt idx="5">
                        <c:v>2.1354454242900722E-2</c:v>
                      </c:pt>
                      <c:pt idx="6">
                        <c:v>2.1126879817674915E-2</c:v>
                      </c:pt>
                      <c:pt idx="7">
                        <c:v>2.0642467352744553E-2</c:v>
                      </c:pt>
                      <c:pt idx="8">
                        <c:v>1.9958124765136143E-2</c:v>
                      </c:pt>
                      <c:pt idx="9">
                        <c:v>1.9120212976577511E-2</c:v>
                      </c:pt>
                      <c:pt idx="10">
                        <c:v>1.9191437502823927E-2</c:v>
                      </c:pt>
                      <c:pt idx="11">
                        <c:v>1.7645837405452891E-2</c:v>
                      </c:pt>
                      <c:pt idx="12">
                        <c:v>1.584877673302576E-2</c:v>
                      </c:pt>
                      <c:pt idx="13">
                        <c:v>1.3943407843586275E-2</c:v>
                      </c:pt>
                      <c:pt idx="14">
                        <c:v>1.1994551558958566E-2</c:v>
                      </c:pt>
                      <c:pt idx="15">
                        <c:v>1.004273521132637E-2</c:v>
                      </c:pt>
                      <c:pt idx="16">
                        <c:v>8.16329415478112E-3</c:v>
                      </c:pt>
                      <c:pt idx="17">
                        <c:v>6.3431317002813348E-3</c:v>
                      </c:pt>
                      <c:pt idx="18">
                        <c:v>4.5954009539588281E-3</c:v>
                      </c:pt>
                      <c:pt idx="19">
                        <c:v>2.9305252406008897E-3</c:v>
                      </c:pt>
                      <c:pt idx="20">
                        <c:v>1.3578523322665959E-3</c:v>
                      </c:pt>
                      <c:pt idx="21">
                        <c:v>-1.2257900407819378E-4</c:v>
                      </c:pt>
                      <c:pt idx="22">
                        <c:v>-1.5079018606135586E-3</c:v>
                      </c:pt>
                      <c:pt idx="23">
                        <c:v>-2.7978531781885918E-3</c:v>
                      </c:pt>
                      <c:pt idx="24">
                        <c:v>-3.9940823204223097E-3</c:v>
                      </c:pt>
                      <c:pt idx="25">
                        <c:v>-5.0961710190653431E-3</c:v>
                      </c:pt>
                      <c:pt idx="26">
                        <c:v>-6.1310414846229566E-3</c:v>
                      </c:pt>
                      <c:pt idx="27">
                        <c:v>-7.0869415665042457E-3</c:v>
                      </c:pt>
                      <c:pt idx="28">
                        <c:v>-7.9647830494123939E-3</c:v>
                      </c:pt>
                      <c:pt idx="29">
                        <c:v>-8.7662169554508784E-3</c:v>
                      </c:pt>
                      <c:pt idx="30">
                        <c:v>-9.4935152081703222E-3</c:v>
                      </c:pt>
                      <c:pt idx="31">
                        <c:v>-1.0160171462523904E-2</c:v>
                      </c:pt>
                      <c:pt idx="32">
                        <c:v>-1.0760337692607869E-2</c:v>
                      </c:pt>
                      <c:pt idx="33">
                        <c:v>-1.1295354534937463E-2</c:v>
                      </c:pt>
                      <c:pt idx="34">
                        <c:v>-1.1766836038900941E-2</c:v>
                      </c:pt>
                      <c:pt idx="35">
                        <c:v>-1.2176478096803001E-2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57BC-46A1-8051-5FF16B24E7D2}"/>
                  </c:ext>
                </c:extLst>
              </c15:ser>
            </c15:filteredLineSeries>
          </c:ext>
        </c:extLst>
      </c:lineChart>
      <c:dateAx>
        <c:axId val="1008477712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4760"/>
        <c:crosses val="autoZero"/>
        <c:auto val="1"/>
        <c:lblOffset val="100"/>
        <c:baseTimeUnit val="years"/>
        <c:majorUnit val="5"/>
        <c:majorTimeUnit val="years"/>
      </c:dateAx>
      <c:valAx>
        <c:axId val="1008474760"/>
        <c:scaling>
          <c:orientation val="minMax"/>
          <c:min val="-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7712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Energy intensity</a:t>
            </a:r>
          </a:p>
          <a:p>
            <a:pPr>
              <a:defRPr/>
            </a:pPr>
            <a:r>
              <a:rPr lang="fr-FR" sz="1800"/>
              <a:t>(%</a:t>
            </a:r>
            <a:r>
              <a:rPr lang="fr-FR" sz="1800" baseline="0"/>
              <a:t> deviation from baseline)</a:t>
            </a:r>
            <a:endParaRPr lang="fr-FR" sz="1800"/>
          </a:p>
        </c:rich>
      </c:tx>
      <c:layout>
        <c:manualLayout>
          <c:xMode val="edge"/>
          <c:yMode val="edge"/>
          <c:x val="0.35804858323293964"/>
          <c:y val="1.25615756238174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Données!$B$254</c:f>
              <c:strCache>
                <c:ptCount val="1"/>
                <c:pt idx="0">
                  <c:v>Firms</c:v>
                </c:pt>
              </c:strCache>
            </c:strRef>
          </c:tx>
          <c:spPr>
            <a:ln w="41275" cap="rnd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Données!$C$254:$AL$254</c:f>
              <c:numCache>
                <c:formatCode>0%</c:formatCode>
                <c:ptCount val="36"/>
                <c:pt idx="0">
                  <c:v>-3.3516655163275955E-3</c:v>
                </c:pt>
                <c:pt idx="1">
                  <c:v>-5.805302907924359E-3</c:v>
                </c:pt>
                <c:pt idx="2">
                  <c:v>-7.2793938659471147E-3</c:v>
                </c:pt>
                <c:pt idx="3">
                  <c:v>-8.5223763980358802E-3</c:v>
                </c:pt>
                <c:pt idx="4">
                  <c:v>-9.527947406124615E-3</c:v>
                </c:pt>
                <c:pt idx="5">
                  <c:v>-1.0272262224525042E-2</c:v>
                </c:pt>
                <c:pt idx="6">
                  <c:v>-1.0779762545019889E-2</c:v>
                </c:pt>
                <c:pt idx="7">
                  <c:v>-1.1105676640936646E-2</c:v>
                </c:pt>
                <c:pt idx="8">
                  <c:v>-1.1301059579332806E-2</c:v>
                </c:pt>
                <c:pt idx="9">
                  <c:v>-1.1408928039949973E-2</c:v>
                </c:pt>
                <c:pt idx="10">
                  <c:v>-1.1810009277721023E-2</c:v>
                </c:pt>
                <c:pt idx="11">
                  <c:v>-1.1774073324080314E-2</c:v>
                </c:pt>
                <c:pt idx="12">
                  <c:v>-1.1496440872524327E-2</c:v>
                </c:pt>
                <c:pt idx="13">
                  <c:v>-1.1146696591757821E-2</c:v>
                </c:pt>
                <c:pt idx="14">
                  <c:v>-1.0768074472707445E-2</c:v>
                </c:pt>
                <c:pt idx="15">
                  <c:v>-1.03871710324005E-2</c:v>
                </c:pt>
                <c:pt idx="16">
                  <c:v>-1.001466328791345E-2</c:v>
                </c:pt>
                <c:pt idx="17">
                  <c:v>-9.6810243639616766E-3</c:v>
                </c:pt>
                <c:pt idx="18">
                  <c:v>-9.3961988879417424E-3</c:v>
                </c:pt>
                <c:pt idx="19">
                  <c:v>-9.1663387698845966E-3</c:v>
                </c:pt>
                <c:pt idx="20">
                  <c:v>-8.9899125977710437E-3</c:v>
                </c:pt>
                <c:pt idx="21">
                  <c:v>-8.8757443768952005E-3</c:v>
                </c:pt>
                <c:pt idx="22">
                  <c:v>-8.8146606397243588E-3</c:v>
                </c:pt>
                <c:pt idx="23">
                  <c:v>-8.802178686264428E-3</c:v>
                </c:pt>
                <c:pt idx="24">
                  <c:v>-8.833810534540576E-3</c:v>
                </c:pt>
                <c:pt idx="25">
                  <c:v>-8.8932321208573528E-3</c:v>
                </c:pt>
                <c:pt idx="26">
                  <c:v>-9.0037327279373081E-3</c:v>
                </c:pt>
                <c:pt idx="27">
                  <c:v>-9.1425870016734745E-3</c:v>
                </c:pt>
                <c:pt idx="28">
                  <c:v>-9.3019891444980907E-3</c:v>
                </c:pt>
                <c:pt idx="29">
                  <c:v>-9.4756320139762762E-3</c:v>
                </c:pt>
                <c:pt idx="30">
                  <c:v>-9.6585862703717495E-3</c:v>
                </c:pt>
                <c:pt idx="31">
                  <c:v>-9.8497225994189641E-3</c:v>
                </c:pt>
                <c:pt idx="32">
                  <c:v>-1.0042270183456714E-2</c:v>
                </c:pt>
                <c:pt idx="33">
                  <c:v>-1.0233525528041687E-2</c:v>
                </c:pt>
                <c:pt idx="34">
                  <c:v>-1.0421048202645777E-2</c:v>
                </c:pt>
                <c:pt idx="35">
                  <c:v>-1.0602979589038219E-2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6-044A-4877-A4A9-C7609B9F9543}"/>
            </c:ext>
          </c:extLst>
        </c:ser>
        <c:ser>
          <c:idx val="1"/>
          <c:order val="1"/>
          <c:tx>
            <c:strRef>
              <c:f>Données!$B$255</c:f>
              <c:strCache>
                <c:ptCount val="1"/>
                <c:pt idx="0">
                  <c:v>Agriculture</c:v>
                </c:pt>
              </c:strCache>
            </c:strRef>
          </c:tx>
          <c:spPr>
            <a:ln w="28575" cap="rnd">
              <a:solidFill>
                <a:srgbClr val="00B05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Données!$C$255:$AL$255</c:f>
              <c:numCache>
                <c:formatCode>0%</c:formatCode>
                <c:ptCount val="36"/>
                <c:pt idx="0">
                  <c:v>6.4056498534386108E-3</c:v>
                </c:pt>
                <c:pt idx="1">
                  <c:v>6.4250188819090504E-3</c:v>
                </c:pt>
                <c:pt idx="2">
                  <c:v>6.6097674380070082E-3</c:v>
                </c:pt>
                <c:pt idx="3">
                  <c:v>6.8247659632512114E-3</c:v>
                </c:pt>
                <c:pt idx="4">
                  <c:v>7.1487128268994393E-3</c:v>
                </c:pt>
                <c:pt idx="5">
                  <c:v>7.6607701783217852E-3</c:v>
                </c:pt>
                <c:pt idx="6">
                  <c:v>8.4030991341343952E-3</c:v>
                </c:pt>
                <c:pt idx="7">
                  <c:v>9.3298745676562156E-3</c:v>
                </c:pt>
                <c:pt idx="8">
                  <c:v>1.0411531016855324E-2</c:v>
                </c:pt>
                <c:pt idx="9">
                  <c:v>1.1621051650671177E-2</c:v>
                </c:pt>
                <c:pt idx="10">
                  <c:v>1.295902573572616E-2</c:v>
                </c:pt>
                <c:pt idx="11">
                  <c:v>1.4234836454636746E-2</c:v>
                </c:pt>
                <c:pt idx="12">
                  <c:v>1.5775346537433288E-2</c:v>
                </c:pt>
                <c:pt idx="13">
                  <c:v>1.7440404625882922E-2</c:v>
                </c:pt>
                <c:pt idx="14">
                  <c:v>1.9192101003050022E-2</c:v>
                </c:pt>
                <c:pt idx="15">
                  <c:v>2.1006449332603205E-2</c:v>
                </c:pt>
                <c:pt idx="16">
                  <c:v>2.2977974098748577E-2</c:v>
                </c:pt>
                <c:pt idx="17">
                  <c:v>2.4984544381073892E-2</c:v>
                </c:pt>
                <c:pt idx="18">
                  <c:v>2.7002281637094949E-2</c:v>
                </c:pt>
                <c:pt idx="19">
                  <c:v>2.9019648897061767E-2</c:v>
                </c:pt>
                <c:pt idx="20">
                  <c:v>3.1028935528513824E-2</c:v>
                </c:pt>
                <c:pt idx="21">
                  <c:v>3.3022265210828738E-2</c:v>
                </c:pt>
                <c:pt idx="22">
                  <c:v>3.5000283293622036E-2</c:v>
                </c:pt>
                <c:pt idx="23">
                  <c:v>3.6963322674435917E-2</c:v>
                </c:pt>
                <c:pt idx="24">
                  <c:v>3.8911011413205188E-2</c:v>
                </c:pt>
                <c:pt idx="25">
                  <c:v>4.0841371241426394E-2</c:v>
                </c:pt>
                <c:pt idx="26">
                  <c:v>4.2697342553812856E-2</c:v>
                </c:pt>
                <c:pt idx="27">
                  <c:v>4.4533011981318982E-2</c:v>
                </c:pt>
                <c:pt idx="28">
                  <c:v>4.6359008608669816E-2</c:v>
                </c:pt>
                <c:pt idx="29">
                  <c:v>4.8179159165510743E-2</c:v>
                </c:pt>
                <c:pt idx="30">
                  <c:v>4.9995775362160488E-2</c:v>
                </c:pt>
                <c:pt idx="31">
                  <c:v>5.1781552202366354E-2</c:v>
                </c:pt>
                <c:pt idx="32">
                  <c:v>5.35645210776865E-2</c:v>
                </c:pt>
                <c:pt idx="33">
                  <c:v>5.5349044510684564E-2</c:v>
                </c:pt>
                <c:pt idx="34">
                  <c:v>5.7137168040831909E-2</c:v>
                </c:pt>
                <c:pt idx="35">
                  <c:v>5.8930346983626869E-2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44A-4877-A4A9-C7609B9F9543}"/>
            </c:ext>
          </c:extLst>
        </c:ser>
        <c:ser>
          <c:idx val="2"/>
          <c:order val="2"/>
          <c:tx>
            <c:strRef>
              <c:f>Données!$B$256</c:f>
              <c:strCache>
                <c:ptCount val="1"/>
                <c:pt idx="0">
                  <c:v>Industry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Données!$C$256:$AL$256</c:f>
              <c:numCache>
                <c:formatCode>0%</c:formatCode>
                <c:ptCount val="36"/>
                <c:pt idx="0">
                  <c:v>-2.9622356936850336E-3</c:v>
                </c:pt>
                <c:pt idx="1">
                  <c:v>-6.6400285631671441E-3</c:v>
                </c:pt>
                <c:pt idx="2">
                  <c:v>-8.6534307098403707E-3</c:v>
                </c:pt>
                <c:pt idx="3">
                  <c:v>-1.0326546738459674E-2</c:v>
                </c:pt>
                <c:pt idx="4">
                  <c:v>-1.1692199967107464E-2</c:v>
                </c:pt>
                <c:pt idx="5">
                  <c:v>-1.2717994612897243E-2</c:v>
                </c:pt>
                <c:pt idx="6">
                  <c:v>-1.3433886034718623E-2</c:v>
                </c:pt>
                <c:pt idx="7">
                  <c:v>-1.3898016416196923E-2</c:v>
                </c:pt>
                <c:pt idx="8">
                  <c:v>-1.4171819347355785E-2</c:v>
                </c:pt>
                <c:pt idx="9">
                  <c:v>-1.4310598235042771E-2</c:v>
                </c:pt>
                <c:pt idx="10">
                  <c:v>-1.4593467302157714E-2</c:v>
                </c:pt>
                <c:pt idx="11">
                  <c:v>-1.4683238565601942E-2</c:v>
                </c:pt>
                <c:pt idx="12">
                  <c:v>-1.4424627448069938E-2</c:v>
                </c:pt>
                <c:pt idx="13">
                  <c:v>-1.4058480290986441E-2</c:v>
                </c:pt>
                <c:pt idx="14">
                  <c:v>-1.3639961838964987E-2</c:v>
                </c:pt>
                <c:pt idx="15">
                  <c:v>-1.320364609946767E-2</c:v>
                </c:pt>
                <c:pt idx="16">
                  <c:v>-1.2785995828248575E-2</c:v>
                </c:pt>
                <c:pt idx="17">
                  <c:v>-1.24129890544179E-2</c:v>
                </c:pt>
                <c:pt idx="18">
                  <c:v>-1.2097587298624202E-2</c:v>
                </c:pt>
                <c:pt idx="19">
                  <c:v>-1.1851523854476076E-2</c:v>
                </c:pt>
                <c:pt idx="20">
                  <c:v>-1.1680959551025327E-2</c:v>
                </c:pt>
                <c:pt idx="21">
                  <c:v>-1.1588009962360535E-2</c:v>
                </c:pt>
                <c:pt idx="22">
                  <c:v>-1.1572318353162636E-2</c:v>
                </c:pt>
                <c:pt idx="23">
                  <c:v>-1.1630238971553242E-2</c:v>
                </c:pt>
                <c:pt idx="24">
                  <c:v>-1.1757479267364812E-2</c:v>
                </c:pt>
                <c:pt idx="25">
                  <c:v>-1.1946847931234794E-2</c:v>
                </c:pt>
                <c:pt idx="26">
                  <c:v>-1.2190203569977132E-2</c:v>
                </c:pt>
                <c:pt idx="27">
                  <c:v>-1.2481696992272973E-2</c:v>
                </c:pt>
                <c:pt idx="28">
                  <c:v>-1.2814402175481909E-2</c:v>
                </c:pt>
                <c:pt idx="29">
                  <c:v>-1.3180886778687229E-2</c:v>
                </c:pt>
                <c:pt idx="30">
                  <c:v>-1.3574936083080358E-2</c:v>
                </c:pt>
                <c:pt idx="31">
                  <c:v>-1.3990127286510279E-2</c:v>
                </c:pt>
                <c:pt idx="32">
                  <c:v>-1.4421727419361097E-2</c:v>
                </c:pt>
                <c:pt idx="33">
                  <c:v>-1.4866912781506536E-2</c:v>
                </c:pt>
                <c:pt idx="34">
                  <c:v>-1.5322152424062208E-2</c:v>
                </c:pt>
                <c:pt idx="35">
                  <c:v>-1.5784450458998234E-2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4A-4877-A4A9-C7609B9F9543}"/>
            </c:ext>
          </c:extLst>
        </c:ser>
        <c:ser>
          <c:idx val="3"/>
          <c:order val="3"/>
          <c:tx>
            <c:strRef>
              <c:f>Données!$B$257</c:f>
              <c:strCache>
                <c:ptCount val="1"/>
                <c:pt idx="0">
                  <c:v>Transport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Données!$C$257:$AL$257</c:f>
              <c:numCache>
                <c:formatCode>0%</c:formatCode>
                <c:ptCount val="36"/>
                <c:pt idx="0">
                  <c:v>4.9456429382215283E-3</c:v>
                </c:pt>
                <c:pt idx="1">
                  <c:v>3.4783830766171864E-3</c:v>
                </c:pt>
                <c:pt idx="2">
                  <c:v>3.1964906224490885E-3</c:v>
                </c:pt>
                <c:pt idx="3">
                  <c:v>3.1064731263195089E-3</c:v>
                </c:pt>
                <c:pt idx="4">
                  <c:v>3.0734103826366432E-3</c:v>
                </c:pt>
                <c:pt idx="5">
                  <c:v>3.0870457377849547E-3</c:v>
                </c:pt>
                <c:pt idx="6">
                  <c:v>3.1558370138451419E-3</c:v>
                </c:pt>
                <c:pt idx="7">
                  <c:v>3.2670794332583242E-3</c:v>
                </c:pt>
                <c:pt idx="8">
                  <c:v>3.4169867647997343E-3</c:v>
                </c:pt>
                <c:pt idx="9">
                  <c:v>3.6000452639926017E-3</c:v>
                </c:pt>
                <c:pt idx="10">
                  <c:v>4.1794096067309106E-3</c:v>
                </c:pt>
                <c:pt idx="11">
                  <c:v>4.0316102918573904E-3</c:v>
                </c:pt>
                <c:pt idx="12">
                  <c:v>4.1057819750756064E-3</c:v>
                </c:pt>
                <c:pt idx="13">
                  <c:v>4.2473760427590435E-3</c:v>
                </c:pt>
                <c:pt idx="14">
                  <c:v>4.4256315473227836E-3</c:v>
                </c:pt>
                <c:pt idx="15">
                  <c:v>4.6298038468746139E-3</c:v>
                </c:pt>
                <c:pt idx="16">
                  <c:v>4.8714249358381423E-3</c:v>
                </c:pt>
                <c:pt idx="17">
                  <c:v>5.1215084210172179E-3</c:v>
                </c:pt>
                <c:pt idx="18">
                  <c:v>5.3797293936845847E-3</c:v>
                </c:pt>
                <c:pt idx="19">
                  <c:v>5.6429305257388318E-3</c:v>
                </c:pt>
                <c:pt idx="20">
                  <c:v>5.9069983275381599E-3</c:v>
                </c:pt>
                <c:pt idx="21">
                  <c:v>6.1727813923337926E-3</c:v>
                </c:pt>
                <c:pt idx="22">
                  <c:v>6.4361431956081461E-3</c:v>
                </c:pt>
                <c:pt idx="23">
                  <c:v>6.6966558838708057E-3</c:v>
                </c:pt>
                <c:pt idx="24">
                  <c:v>6.9535594719658533E-3</c:v>
                </c:pt>
                <c:pt idx="25">
                  <c:v>7.2023980973574542E-3</c:v>
                </c:pt>
                <c:pt idx="26">
                  <c:v>7.4437724278049178E-3</c:v>
                </c:pt>
                <c:pt idx="27">
                  <c:v>7.6822441249564388E-3</c:v>
                </c:pt>
                <c:pt idx="28">
                  <c:v>7.9173978758400043E-3</c:v>
                </c:pt>
                <c:pt idx="29">
                  <c:v>8.1495103773374655E-3</c:v>
                </c:pt>
                <c:pt idx="30">
                  <c:v>8.3789331180155191E-3</c:v>
                </c:pt>
                <c:pt idx="31">
                  <c:v>8.6014233045779154E-3</c:v>
                </c:pt>
                <c:pt idx="32">
                  <c:v>8.8230633752897081E-3</c:v>
                </c:pt>
                <c:pt idx="33">
                  <c:v>9.0432315996640256E-3</c:v>
                </c:pt>
                <c:pt idx="34">
                  <c:v>9.2622374431852172E-3</c:v>
                </c:pt>
                <c:pt idx="35">
                  <c:v>9.4804815686182486E-3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44A-4877-A4A9-C7609B9F9543}"/>
            </c:ext>
          </c:extLst>
        </c:ser>
        <c:ser>
          <c:idx val="4"/>
          <c:order val="4"/>
          <c:tx>
            <c:strRef>
              <c:f>Données!$B$258</c:f>
              <c:strCache>
                <c:ptCount val="1"/>
                <c:pt idx="0">
                  <c:v>Services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Données!$C$258:$AL$258</c:f>
              <c:numCache>
                <c:formatCode>0%</c:formatCode>
                <c:ptCount val="36"/>
                <c:pt idx="0">
                  <c:v>2.4947192441477917E-3</c:v>
                </c:pt>
                <c:pt idx="1">
                  <c:v>8.8686313153440999E-4</c:v>
                </c:pt>
                <c:pt idx="2">
                  <c:v>-7.5875811113323977E-4</c:v>
                </c:pt>
                <c:pt idx="3">
                  <c:v>-2.1436994040069379E-3</c:v>
                </c:pt>
                <c:pt idx="4">
                  <c:v>-3.0745213170486618E-3</c:v>
                </c:pt>
                <c:pt idx="5">
                  <c:v>-3.5175191184805277E-3</c:v>
                </c:pt>
                <c:pt idx="6">
                  <c:v>-3.5178653799796678E-3</c:v>
                </c:pt>
                <c:pt idx="7">
                  <c:v>-3.1955872845567113E-3</c:v>
                </c:pt>
                <c:pt idx="8">
                  <c:v>-2.6447139818215337E-3</c:v>
                </c:pt>
                <c:pt idx="9">
                  <c:v>-1.9379442715883322E-3</c:v>
                </c:pt>
                <c:pt idx="10">
                  <c:v>-1.1350068355041598E-3</c:v>
                </c:pt>
                <c:pt idx="11">
                  <c:v>-3.6363503758274351E-4</c:v>
                </c:pt>
                <c:pt idx="12">
                  <c:v>6.1963116984831146E-4</c:v>
                </c:pt>
                <c:pt idx="13">
                  <c:v>1.7520732699234376E-3</c:v>
                </c:pt>
                <c:pt idx="14">
                  <c:v>2.9908857280696033E-3</c:v>
                </c:pt>
                <c:pt idx="15">
                  <c:v>4.2930478741942668E-3</c:v>
                </c:pt>
                <c:pt idx="16">
                  <c:v>5.7007476968566895E-3</c:v>
                </c:pt>
                <c:pt idx="17">
                  <c:v>7.1039811005899622E-3</c:v>
                </c:pt>
                <c:pt idx="18">
                  <c:v>8.4733149071962721E-3</c:v>
                </c:pt>
                <c:pt idx="19">
                  <c:v>9.7943682130277043E-3</c:v>
                </c:pt>
                <c:pt idx="20">
                  <c:v>1.1060505827393374E-2</c:v>
                </c:pt>
                <c:pt idx="21">
                  <c:v>1.2261947744263813E-2</c:v>
                </c:pt>
                <c:pt idx="22">
                  <c:v>1.3406133239995288E-2</c:v>
                </c:pt>
                <c:pt idx="23">
                  <c:v>1.4495237994716081E-2</c:v>
                </c:pt>
                <c:pt idx="24">
                  <c:v>1.5532074984815347E-2</c:v>
                </c:pt>
                <c:pt idx="25">
                  <c:v>1.6522938657508313E-2</c:v>
                </c:pt>
                <c:pt idx="26">
                  <c:v>1.7420053474594077E-2</c:v>
                </c:pt>
                <c:pt idx="27">
                  <c:v>1.8278360110815184E-2</c:v>
                </c:pt>
                <c:pt idx="28">
                  <c:v>1.911003665917832E-2</c:v>
                </c:pt>
                <c:pt idx="29">
                  <c:v>1.9922268521590958E-2</c:v>
                </c:pt>
                <c:pt idx="30">
                  <c:v>2.0720320853797825E-2</c:v>
                </c:pt>
                <c:pt idx="31">
                  <c:v>2.1488950242037896E-2</c:v>
                </c:pt>
                <c:pt idx="32">
                  <c:v>2.225101745570468E-2</c:v>
                </c:pt>
                <c:pt idx="33">
                  <c:v>2.3012060093537956E-2</c:v>
                </c:pt>
                <c:pt idx="34">
                  <c:v>2.3775423218692637E-2</c:v>
                </c:pt>
                <c:pt idx="35">
                  <c:v>2.4543599077929912E-2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44A-4877-A4A9-C7609B9F9543}"/>
            </c:ext>
          </c:extLst>
        </c:ser>
        <c:ser>
          <c:idx val="5"/>
          <c:order val="5"/>
          <c:tx>
            <c:strRef>
              <c:f>Données!$B$259</c:f>
              <c:strCache>
                <c:ptCount val="1"/>
                <c:pt idx="0">
                  <c:v>Households</c:v>
                </c:pt>
              </c:strCache>
            </c:strRef>
          </c:tx>
          <c:spPr>
            <a:ln w="41275" cap="rnd">
              <a:solidFill>
                <a:schemeClr val="accent5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Données!$C$259:$AL$259</c:f>
              <c:numCache>
                <c:formatCode>0%</c:formatCode>
                <c:ptCount val="36"/>
                <c:pt idx="0">
                  <c:v>4.7944532525352468E-3</c:v>
                </c:pt>
                <c:pt idx="1">
                  <c:v>1.158804771624955E-2</c:v>
                </c:pt>
                <c:pt idx="2">
                  <c:v>1.6570198440506001E-2</c:v>
                </c:pt>
                <c:pt idx="3">
                  <c:v>2.0301365781930869E-2</c:v>
                </c:pt>
                <c:pt idx="4">
                  <c:v>2.3396177670578222E-2</c:v>
                </c:pt>
                <c:pt idx="5">
                  <c:v>2.5770011674391968E-2</c:v>
                </c:pt>
                <c:pt idx="6">
                  <c:v>2.7401140485896702E-2</c:v>
                </c:pt>
                <c:pt idx="7">
                  <c:v>2.8364462257487233E-2</c:v>
                </c:pt>
                <c:pt idx="8">
                  <c:v>2.8731093933888729E-2</c:v>
                </c:pt>
                <c:pt idx="9">
                  <c:v>2.8478245222762988E-2</c:v>
                </c:pt>
                <c:pt idx="10">
                  <c:v>2.7848359587062443E-2</c:v>
                </c:pt>
                <c:pt idx="11">
                  <c:v>2.6513105212651267E-2</c:v>
                </c:pt>
                <c:pt idx="12">
                  <c:v>2.4558586579587427E-2</c:v>
                </c:pt>
                <c:pt idx="13">
                  <c:v>2.2143213055530797E-2</c:v>
                </c:pt>
                <c:pt idx="14">
                  <c:v>1.9415827838395794E-2</c:v>
                </c:pt>
                <c:pt idx="15">
                  <c:v>1.6504897948424357E-2</c:v>
                </c:pt>
                <c:pt idx="16">
                  <c:v>1.3471876931525628E-2</c:v>
                </c:pt>
                <c:pt idx="17">
                  <c:v>1.0427755032773822E-2</c:v>
                </c:pt>
                <c:pt idx="18">
                  <c:v>7.436703399860356E-3</c:v>
                </c:pt>
                <c:pt idx="19">
                  <c:v>4.5367814508061599E-3</c:v>
                </c:pt>
                <c:pt idx="20">
                  <c:v>1.7537397175295677E-3</c:v>
                </c:pt>
                <c:pt idx="21">
                  <c:v>-9.0688323347776212E-4</c:v>
                </c:pt>
                <c:pt idx="22">
                  <c:v>-3.4367264087236116E-3</c:v>
                </c:pt>
                <c:pt idx="23">
                  <c:v>-5.8327893653895568E-3</c:v>
                </c:pt>
                <c:pt idx="24">
                  <c:v>-8.0957278858966308E-3</c:v>
                </c:pt>
                <c:pt idx="25">
                  <c:v>-1.0223354280741614E-2</c:v>
                </c:pt>
                <c:pt idx="26">
                  <c:v>-1.2219141418704837E-2</c:v>
                </c:pt>
                <c:pt idx="27">
                  <c:v>-1.4103994053201729E-2</c:v>
                </c:pt>
                <c:pt idx="28">
                  <c:v>-1.5887128099211889E-2</c:v>
                </c:pt>
                <c:pt idx="29">
                  <c:v>-1.7570338107561922E-2</c:v>
                </c:pt>
                <c:pt idx="30">
                  <c:v>-1.9156515127792817E-2</c:v>
                </c:pt>
                <c:pt idx="31">
                  <c:v>-2.0641894751277756E-2</c:v>
                </c:pt>
                <c:pt idx="32">
                  <c:v>-2.2039393072225466E-2</c:v>
                </c:pt>
                <c:pt idx="33">
                  <c:v>-2.3358170460087702E-2</c:v>
                </c:pt>
                <c:pt idx="34">
                  <c:v>-2.4605703581486948E-2</c:v>
                </c:pt>
                <c:pt idx="35">
                  <c:v>-2.5786782774822714E-2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44A-4877-A4A9-C7609B9F9543}"/>
            </c:ext>
          </c:extLst>
        </c:ser>
        <c:ser>
          <c:idx val="6"/>
          <c:order val="6"/>
          <c:tx>
            <c:strRef>
              <c:f>Données!$B$260</c:f>
              <c:strCache>
                <c:ptCount val="1"/>
                <c:pt idx="0">
                  <c:v>Households (housing)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Données!$C$260:$AL$260</c:f>
              <c:numCache>
                <c:formatCode>0%</c:formatCode>
                <c:ptCount val="36"/>
                <c:pt idx="0">
                  <c:v>4.7944530962722443E-3</c:v>
                </c:pt>
                <c:pt idx="1">
                  <c:v>1.2537711762372172E-2</c:v>
                </c:pt>
                <c:pt idx="2">
                  <c:v>1.803311214152914E-2</c:v>
                </c:pt>
                <c:pt idx="3">
                  <c:v>2.2166116540850211E-2</c:v>
                </c:pt>
                <c:pt idx="4">
                  <c:v>2.5772460627671245E-2</c:v>
                </c:pt>
                <c:pt idx="5">
                  <c:v>2.862101086440072E-2</c:v>
                </c:pt>
                <c:pt idx="6">
                  <c:v>3.058255081380179E-2</c:v>
                </c:pt>
                <c:pt idx="7">
                  <c:v>3.1698626456007073E-2</c:v>
                </c:pt>
                <c:pt idx="8">
                  <c:v>3.2020833189116304E-2</c:v>
                </c:pt>
                <c:pt idx="9">
                  <c:v>3.146980946991107E-2</c:v>
                </c:pt>
                <c:pt idx="10">
                  <c:v>3.0265333055853771E-2</c:v>
                </c:pt>
                <c:pt idx="11">
                  <c:v>2.805167841299272E-2</c:v>
                </c:pt>
                <c:pt idx="12">
                  <c:v>2.4981846986639633E-2</c:v>
                </c:pt>
                <c:pt idx="13">
                  <c:v>2.127733873004245E-2</c:v>
                </c:pt>
                <c:pt idx="14">
                  <c:v>1.713654056484093E-2</c:v>
                </c:pt>
                <c:pt idx="15">
                  <c:v>1.272835007337747E-2</c:v>
                </c:pt>
                <c:pt idx="16">
                  <c:v>8.1141206959041146E-3</c:v>
                </c:pt>
                <c:pt idx="17">
                  <c:v>3.4457009473807254E-3</c:v>
                </c:pt>
                <c:pt idx="18">
                  <c:v>-1.1902487352277724E-3</c:v>
                </c:pt>
                <c:pt idx="19">
                  <c:v>-5.7428685065729068E-3</c:v>
                </c:pt>
                <c:pt idx="20">
                  <c:v>-1.0182129401723583E-2</c:v>
                </c:pt>
                <c:pt idx="21">
                  <c:v>-1.4491327808548893E-2</c:v>
                </c:pt>
                <c:pt idx="22">
                  <c:v>-1.8660115258938736E-2</c:v>
                </c:pt>
                <c:pt idx="23">
                  <c:v>-2.268357075998928E-2</c:v>
                </c:pt>
                <c:pt idx="24">
                  <c:v>-2.6560564914113516E-2</c:v>
                </c:pt>
                <c:pt idx="25">
                  <c:v>-3.0304116135894454E-2</c:v>
                </c:pt>
                <c:pt idx="26">
                  <c:v>-3.3883350235740406E-2</c:v>
                </c:pt>
                <c:pt idx="27">
                  <c:v>-3.732991156614629E-2</c:v>
                </c:pt>
                <c:pt idx="28">
                  <c:v>-4.065764176637332E-2</c:v>
                </c:pt>
                <c:pt idx="29">
                  <c:v>-4.3868163966914286E-2</c:v>
                </c:pt>
                <c:pt idx="30">
                  <c:v>-4.6964283182797106E-2</c:v>
                </c:pt>
                <c:pt idx="31">
                  <c:v>-4.9935274269097385E-2</c:v>
                </c:pt>
                <c:pt idx="32">
                  <c:v>-5.2799970327797596E-2</c:v>
                </c:pt>
                <c:pt idx="33">
                  <c:v>-5.5571938732782211E-2</c:v>
                </c:pt>
                <c:pt idx="34">
                  <c:v>-5.8262320416907154E-2</c:v>
                </c:pt>
                <c:pt idx="35">
                  <c:v>-6.0878042133924004E-2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44A-4877-A4A9-C7609B9F9543}"/>
            </c:ext>
          </c:extLst>
        </c:ser>
        <c:ser>
          <c:idx val="7"/>
          <c:order val="7"/>
          <c:tx>
            <c:strRef>
              <c:f>Données!$B$261</c:f>
              <c:strCache>
                <c:ptCount val="1"/>
                <c:pt idx="0">
                  <c:v>Households (transport)</c:v>
                </c:pt>
              </c:strCache>
            </c:strRef>
          </c:tx>
          <c:spPr>
            <a:ln w="28575" cap="rnd">
              <a:solidFill>
                <a:srgbClr val="7030A0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Données!$C$261:$AL$261</c:f>
              <c:numCache>
                <c:formatCode>0%</c:formatCode>
                <c:ptCount val="36"/>
                <c:pt idx="0">
                  <c:v>4.7944530962722443E-3</c:v>
                </c:pt>
                <c:pt idx="1">
                  <c:v>9.7003428566242444E-3</c:v>
                </c:pt>
                <c:pt idx="2">
                  <c:v>1.3651688926020089E-2</c:v>
                </c:pt>
                <c:pt idx="3">
                  <c:v>1.6592443803113754E-2</c:v>
                </c:pt>
                <c:pt idx="4">
                  <c:v>1.8700192469260246E-2</c:v>
                </c:pt>
                <c:pt idx="5">
                  <c:v>2.0179297283404285E-2</c:v>
                </c:pt>
                <c:pt idx="6">
                  <c:v>2.1214087012947802E-2</c:v>
                </c:pt>
                <c:pt idx="7">
                  <c:v>2.1934578667601734E-2</c:v>
                </c:pt>
                <c:pt idx="8">
                  <c:v>2.2440086837284268E-2</c:v>
                </c:pt>
                <c:pt idx="9">
                  <c:v>2.2805813043393242E-2</c:v>
                </c:pt>
                <c:pt idx="10">
                  <c:v>2.330289291723342E-2</c:v>
                </c:pt>
                <c:pt idx="11">
                  <c:v>2.3644557965040836E-2</c:v>
                </c:pt>
                <c:pt idx="12">
                  <c:v>2.377645670195383E-2</c:v>
                </c:pt>
                <c:pt idx="13">
                  <c:v>2.3728814676832632E-2</c:v>
                </c:pt>
                <c:pt idx="14">
                  <c:v>2.3551833975699932E-2</c:v>
                </c:pt>
                <c:pt idx="15">
                  <c:v>2.3295626721709484E-2</c:v>
                </c:pt>
                <c:pt idx="16">
                  <c:v>2.3018627870079689E-2</c:v>
                </c:pt>
                <c:pt idx="17">
                  <c:v>2.2756830663961614E-2</c:v>
                </c:pt>
                <c:pt idx="18">
                  <c:v>2.2534423109930479E-2</c:v>
                </c:pt>
                <c:pt idx="19">
                  <c:v>2.2367848419076353E-2</c:v>
                </c:pt>
                <c:pt idx="20">
                  <c:v>2.2271281900754891E-2</c:v>
                </c:pt>
                <c:pt idx="21">
                  <c:v>2.2241794320727815E-2</c:v>
                </c:pt>
                <c:pt idx="22">
                  <c:v>2.2284764726672401E-2</c:v>
                </c:pt>
                <c:pt idx="23">
                  <c:v>2.2400860876951034E-2</c:v>
                </c:pt>
                <c:pt idx="24">
                  <c:v>2.2587743691781403E-2</c:v>
                </c:pt>
                <c:pt idx="25">
                  <c:v>2.2849796468706662E-2</c:v>
                </c:pt>
                <c:pt idx="26">
                  <c:v>2.3158163065835513E-2</c:v>
                </c:pt>
                <c:pt idx="27">
                  <c:v>2.3510873523965081E-2</c:v>
                </c:pt>
                <c:pt idx="28">
                  <c:v>2.3907088633862816E-2</c:v>
                </c:pt>
                <c:pt idx="29">
                  <c:v>2.4345215561600408E-2</c:v>
                </c:pt>
                <c:pt idx="30">
                  <c:v>2.48228033830169E-2</c:v>
                </c:pt>
                <c:pt idx="31">
                  <c:v>2.5333402223917334E-2</c:v>
                </c:pt>
                <c:pt idx="32">
                  <c:v>2.5874354655143428E-2</c:v>
                </c:pt>
                <c:pt idx="33">
                  <c:v>2.6444193341396582E-2</c:v>
                </c:pt>
                <c:pt idx="34">
                  <c:v>2.704182292167534E-2</c:v>
                </c:pt>
                <c:pt idx="35">
                  <c:v>2.7666360035005999E-2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44A-4877-A4A9-C7609B9F95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477712"/>
        <c:axId val="1008474760"/>
        <c:extLst/>
      </c:lineChart>
      <c:dateAx>
        <c:axId val="1008477712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4760"/>
        <c:crosses val="autoZero"/>
        <c:auto val="1"/>
        <c:lblOffset val="100"/>
        <c:baseTimeUnit val="years"/>
        <c:majorUnit val="5"/>
        <c:majorTimeUnit val="years"/>
      </c:dateAx>
      <c:valAx>
        <c:axId val="1008474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7712"/>
        <c:crosses val="autoZero"/>
        <c:crossBetween val="between"/>
        <c:majorUnit val="4.0000000000000008E-2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Sectoral value</a:t>
            </a:r>
            <a:r>
              <a:rPr lang="fr-FR" sz="2800" baseline="0"/>
              <a:t> added</a:t>
            </a:r>
          </a:p>
          <a:p>
            <a:pPr>
              <a:defRPr/>
            </a:pPr>
            <a:r>
              <a:rPr lang="fr-FR" sz="1800" i="0" baseline="0"/>
              <a:t>(% deviation from baseline</a:t>
            </a:r>
            <a:r>
              <a:rPr lang="fr-FR" baseline="0"/>
              <a:t>)</a:t>
            </a:r>
          </a:p>
          <a:p>
            <a:pPr>
              <a:defRPr/>
            </a:pP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8498092735021525E-2"/>
          <c:y val="0.17564708710766092"/>
          <c:w val="0.88919974947941849"/>
          <c:h val="0.6553054435295909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Données!$B$108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Données!$C$108:$E$108</c:f>
              <c:numCache>
                <c:formatCode>0.0%</c:formatCode>
                <c:ptCount val="3"/>
                <c:pt idx="0">
                  <c:v>-9.6168953729442702E-2</c:v>
                </c:pt>
                <c:pt idx="1">
                  <c:v>-0.13396599771207018</c:v>
                </c:pt>
                <c:pt idx="2">
                  <c:v>-0.17389445326495756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EF-431D-9A51-747E617C00CC}"/>
            </c:ext>
          </c:extLst>
        </c:ser>
        <c:ser>
          <c:idx val="1"/>
          <c:order val="1"/>
          <c:tx>
            <c:strRef>
              <c:f>Données!$B$109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Données!$C$109:$E$109</c:f>
              <c:numCache>
                <c:formatCode>0.0%</c:formatCode>
                <c:ptCount val="3"/>
                <c:pt idx="0">
                  <c:v>-5.9420431633208343E-2</c:v>
                </c:pt>
                <c:pt idx="1">
                  <c:v>-7.6251275514124736E-2</c:v>
                </c:pt>
                <c:pt idx="2">
                  <c:v>-9.0990168876605812E-2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EF-431D-9A51-747E617C00CC}"/>
            </c:ext>
          </c:extLst>
        </c:ser>
        <c:ser>
          <c:idx val="2"/>
          <c:order val="2"/>
          <c:tx>
            <c:strRef>
              <c:f>Données!$B$110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Données!$C$110:$E$110</c:f>
              <c:numCache>
                <c:formatCode>0.0%</c:formatCode>
                <c:ptCount val="3"/>
                <c:pt idx="0">
                  <c:v>-4.726128511632801E-2</c:v>
                </c:pt>
                <c:pt idx="1">
                  <c:v>-5.7170366902068628E-2</c:v>
                </c:pt>
                <c:pt idx="2">
                  <c:v>-7.0448461561827061E-2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3EF-431D-9A51-747E617C00CC}"/>
            </c:ext>
          </c:extLst>
        </c:ser>
        <c:ser>
          <c:idx val="3"/>
          <c:order val="3"/>
          <c:tx>
            <c:strRef>
              <c:f>Données!$B$111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Données!$C$111:$E$111</c:f>
              <c:numCache>
                <c:formatCode>0.0%</c:formatCode>
                <c:ptCount val="3"/>
                <c:pt idx="0">
                  <c:v>-3.7105269257389877E-2</c:v>
                </c:pt>
                <c:pt idx="1">
                  <c:v>-4.2723408511378111E-2</c:v>
                </c:pt>
                <c:pt idx="2">
                  <c:v>-5.041046254619462E-2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3EF-431D-9A51-747E617C00CC}"/>
            </c:ext>
          </c:extLst>
        </c:ser>
        <c:ser>
          <c:idx val="5"/>
          <c:order val="5"/>
          <c:tx>
            <c:strRef>
              <c:f>Données!$B$114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Données!$C$114:$E$114</c:f>
              <c:numCache>
                <c:formatCode>0.0%</c:formatCode>
                <c:ptCount val="3"/>
                <c:pt idx="0">
                  <c:v>-6.0778778864782793E-2</c:v>
                </c:pt>
                <c:pt idx="1">
                  <c:v>-8.8943226429453986E-2</c:v>
                </c:pt>
                <c:pt idx="2">
                  <c:v>-0.11860571647090483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3EF-431D-9A51-747E617C00CC}"/>
            </c:ext>
          </c:extLst>
        </c:ser>
        <c:ser>
          <c:idx val="6"/>
          <c:order val="6"/>
          <c:tx>
            <c:v>Average</c:v>
          </c:tx>
          <c:spPr>
            <a:solidFill>
              <a:schemeClr val="bg1"/>
            </a:solidFill>
            <a:ln w="25400">
              <a:solidFill>
                <a:schemeClr val="tx1"/>
              </a:solidFill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Données!$C$107:$E$107</c:f>
              <c:numCache>
                <c:formatCode>0.0%</c:formatCode>
                <c:ptCount val="3"/>
                <c:pt idx="0">
                  <c:v>-4.2593556345380978E-2</c:v>
                </c:pt>
                <c:pt idx="1">
                  <c:v>-5.1161451696908632E-2</c:v>
                </c:pt>
                <c:pt idx="2">
                  <c:v>-6.1097466613737099E-2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7-4A45-A893-6FC38B935A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  <c:extLst>
          <c:ext xmlns:c15="http://schemas.microsoft.com/office/drawing/2012/chart" uri="{02D57815-91ED-43cb-92C2-25804820EDAC}">
            <c15:filteredBarSeries>
              <c15:ser>
                <c:idx val="4"/>
                <c:order val="4"/>
                <c:tx>
                  <c:strRef>
                    <c:extLst>
                      <c:ext uri="{02D57815-91ED-43cb-92C2-25804820EDAC}">
                        <c15:formulaRef>
                          <c15:sqref>Données!$B$112</c15:sqref>
                        </c15:formulaRef>
                      </c:ext>
                    </c:extLst>
                    <c:strCache>
                      <c:ptCount val="1"/>
                      <c:pt idx="0">
                        <c:v>Oil&amp;Gas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Données!$C$106:$E$106</c15:sqref>
                        </c15:formulaRef>
                      </c:ext>
                    </c:extLst>
                    <c:strCache>
                      <c:ptCount val="3"/>
                      <c:pt idx="0">
                        <c:v>2030</c:v>
                      </c:pt>
                      <c:pt idx="1">
                        <c:v>2040</c:v>
                      </c:pt>
                      <c:pt idx="2">
                        <c:v>2050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Données!$C$112:$E$112</c15:sqref>
                        </c15:formulaRef>
                      </c:ext>
                    </c:extLst>
                    <c:numCache>
                      <c:formatCode>0.0%</c:formatCode>
                      <c:ptCount val="3"/>
                      <c:pt idx="0">
                        <c:v>3.7123346762631897E-2</c:v>
                      </c:pt>
                      <c:pt idx="1">
                        <c:v>4.9395361772328263E-2</c:v>
                      </c:pt>
                      <c:pt idx="2">
                        <c:v>5.7851910226257436E-2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C3EF-431D-9A51-747E617C00CC}"/>
                  </c:ext>
                </c:extLst>
              </c15:ser>
            </c15:filteredBarSeries>
          </c:ext>
        </c:extLst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Valeur</a:t>
            </a:r>
            <a:r>
              <a:rPr lang="fr-FR" baseline="0"/>
              <a:t> ajoutée sectorielle (en %)</a:t>
            </a:r>
          </a:p>
          <a:p>
            <a:pPr>
              <a:defRPr/>
            </a:pP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Données!$B$117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Données!$C$117:$E$117</c:f>
              <c:numCache>
                <c:formatCode>0.0%</c:formatCode>
                <c:ptCount val="3"/>
                <c:pt idx="0">
                  <c:v>-9.6168953729442674E-2</c:v>
                </c:pt>
                <c:pt idx="1">
                  <c:v>-0.13396599771207018</c:v>
                </c:pt>
                <c:pt idx="2">
                  <c:v>-0.17389445326495756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82-485E-9582-B510024133C5}"/>
            </c:ext>
          </c:extLst>
        </c:ser>
        <c:ser>
          <c:idx val="1"/>
          <c:order val="1"/>
          <c:tx>
            <c:strRef>
              <c:f>Données!$B$118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Données!$C$118:$E$118</c:f>
              <c:numCache>
                <c:formatCode>0.0%</c:formatCode>
                <c:ptCount val="3"/>
                <c:pt idx="0">
                  <c:v>-5.9420431633208315E-2</c:v>
                </c:pt>
                <c:pt idx="1">
                  <c:v>-7.6251275514124695E-2</c:v>
                </c:pt>
                <c:pt idx="2">
                  <c:v>-9.0990168876605826E-2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82-485E-9582-B510024133C5}"/>
            </c:ext>
          </c:extLst>
        </c:ser>
        <c:ser>
          <c:idx val="2"/>
          <c:order val="2"/>
          <c:tx>
            <c:strRef>
              <c:f>Données!$B$119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Données!$C$119:$E$119</c:f>
              <c:numCache>
                <c:formatCode>0.0%</c:formatCode>
                <c:ptCount val="3"/>
                <c:pt idx="0">
                  <c:v>-4.7261285116327989E-2</c:v>
                </c:pt>
                <c:pt idx="1">
                  <c:v>-5.717036690206867E-2</c:v>
                </c:pt>
                <c:pt idx="2">
                  <c:v>-7.0448461561827047E-2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282-485E-9582-B510024133C5}"/>
            </c:ext>
          </c:extLst>
        </c:ser>
        <c:ser>
          <c:idx val="3"/>
          <c:order val="3"/>
          <c:tx>
            <c:strRef>
              <c:f>Données!$B$120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Données!$C$120:$E$120</c:f>
              <c:numCache>
                <c:formatCode>0.0%</c:formatCode>
                <c:ptCount val="3"/>
                <c:pt idx="0">
                  <c:v>-3.7105269257389883E-2</c:v>
                </c:pt>
                <c:pt idx="1">
                  <c:v>-4.2723408511378125E-2</c:v>
                </c:pt>
                <c:pt idx="2">
                  <c:v>-5.0410462546194634E-2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282-485E-9582-B510024133C5}"/>
            </c:ext>
          </c:extLst>
        </c:ser>
        <c:ser>
          <c:idx val="4"/>
          <c:order val="4"/>
          <c:tx>
            <c:strRef>
              <c:f>Données!$B$121</c:f>
              <c:strCache>
                <c:ptCount val="1"/>
                <c:pt idx="0">
                  <c:v>Oil&amp;Gas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Données!$C$121:$E$121</c:f>
              <c:numCache>
                <c:formatCode>0.0%</c:formatCode>
                <c:ptCount val="3"/>
                <c:pt idx="0">
                  <c:v>3.7123346762631959E-2</c:v>
                </c:pt>
                <c:pt idx="1">
                  <c:v>4.9395361772328172E-2</c:v>
                </c:pt>
                <c:pt idx="2">
                  <c:v>5.7851910226257353E-2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282-485E-9582-B510024133C5}"/>
            </c:ext>
          </c:extLst>
        </c:ser>
        <c:ser>
          <c:idx val="5"/>
          <c:order val="5"/>
          <c:tx>
            <c:strRef>
              <c:f>Données!$B$122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Données!$C$122:$E$122</c:f>
              <c:numCache>
                <c:formatCode>0.0%</c:formatCode>
                <c:ptCount val="3"/>
                <c:pt idx="0">
                  <c:v>-6.0778778864782779E-2</c:v>
                </c:pt>
                <c:pt idx="1">
                  <c:v>-8.8943226429453959E-2</c:v>
                </c:pt>
                <c:pt idx="2">
                  <c:v>-0.11860571647090479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282-485E-9582-B510024133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Sectoral production</a:t>
            </a:r>
          </a:p>
          <a:p>
            <a:pPr>
              <a:defRPr/>
            </a:pPr>
            <a:r>
              <a:rPr lang="fr-FR" sz="1800" baseline="0"/>
              <a:t>(% deviation from baseline)</a:t>
            </a:r>
          </a:p>
          <a:p>
            <a:pPr>
              <a:defRPr/>
            </a:pPr>
            <a:endParaRPr lang="fr-FR"/>
          </a:p>
        </c:rich>
      </c:tx>
      <c:layout>
        <c:manualLayout>
          <c:xMode val="edge"/>
          <c:yMode val="edge"/>
          <c:x val="0.32042331569230875"/>
          <c:y val="1.25748508923028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1663560631932678E-2"/>
          <c:y val="0.16258101222189938"/>
          <c:w val="0.88919974947941849"/>
          <c:h val="0.5784454513859894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Données!$B$147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Données!$C$147:$E$147</c:f>
              <c:numCache>
                <c:formatCode>0.0%</c:formatCode>
                <c:ptCount val="3"/>
                <c:pt idx="0">
                  <c:v>-5.6435115596525684E-2</c:v>
                </c:pt>
                <c:pt idx="1">
                  <c:v>-4.6492961126529966E-2</c:v>
                </c:pt>
                <c:pt idx="2">
                  <c:v>-8.2134499502747302E-2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2D-4067-BD64-AD80378C548C}"/>
            </c:ext>
          </c:extLst>
        </c:ser>
        <c:ser>
          <c:idx val="1"/>
          <c:order val="1"/>
          <c:tx>
            <c:strRef>
              <c:f>Données!$B$148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Données!$C$148:$E$148</c:f>
              <c:numCache>
                <c:formatCode>0.0%</c:formatCode>
                <c:ptCount val="3"/>
                <c:pt idx="0">
                  <c:v>-6.1171474934391831E-2</c:v>
                </c:pt>
                <c:pt idx="1">
                  <c:v>-5.730390227646201E-2</c:v>
                </c:pt>
                <c:pt idx="2">
                  <c:v>-9.3389386564619856E-2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2D-4067-BD64-AD80378C548C}"/>
            </c:ext>
          </c:extLst>
        </c:ser>
        <c:ser>
          <c:idx val="2"/>
          <c:order val="2"/>
          <c:tx>
            <c:strRef>
              <c:f>Données!$B$149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Données!$C$149:$E$149</c:f>
              <c:numCache>
                <c:formatCode>0.0%</c:formatCode>
                <c:ptCount val="3"/>
                <c:pt idx="0">
                  <c:v>-5.0958987843529736E-2</c:v>
                </c:pt>
                <c:pt idx="1">
                  <c:v>-6.2717743588259822E-2</c:v>
                </c:pt>
                <c:pt idx="2">
                  <c:v>-7.6743692571885805E-2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2D-4067-BD64-AD80378C548C}"/>
            </c:ext>
          </c:extLst>
        </c:ser>
        <c:ser>
          <c:idx val="3"/>
          <c:order val="3"/>
          <c:tx>
            <c:strRef>
              <c:f>Données!$B$150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Données!$C$150:$E$150</c:f>
              <c:numCache>
                <c:formatCode>0.0%</c:formatCode>
                <c:ptCount val="3"/>
                <c:pt idx="0">
                  <c:v>-3.8924666382398124E-2</c:v>
                </c:pt>
                <c:pt idx="1">
                  <c:v>-5.178033452544184E-2</c:v>
                </c:pt>
                <c:pt idx="2">
                  <c:v>-5.2693885050238198E-2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A2D-4067-BD64-AD80378C548C}"/>
            </c:ext>
          </c:extLst>
        </c:ser>
        <c:ser>
          <c:idx val="4"/>
          <c:order val="4"/>
          <c:tx>
            <c:strRef>
              <c:f>Données!$B$151</c:f>
              <c:strCache>
                <c:ptCount val="1"/>
                <c:pt idx="0">
                  <c:v>Oil&amp;Gas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Données!$C$151:$E$151</c:f>
              <c:numCache>
                <c:formatCode>0.0%</c:formatCode>
                <c:ptCount val="3"/>
                <c:pt idx="0">
                  <c:v>-5.8232600112537218E-2</c:v>
                </c:pt>
                <c:pt idx="1">
                  <c:v>-3.9393321393405761E-2</c:v>
                </c:pt>
                <c:pt idx="2">
                  <c:v>-8.4408259422250567E-2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A2D-4067-BD64-AD80378C548C}"/>
            </c:ext>
          </c:extLst>
        </c:ser>
        <c:ser>
          <c:idx val="5"/>
          <c:order val="5"/>
          <c:tx>
            <c:strRef>
              <c:f>Données!$B$152</c:f>
              <c:strCache>
                <c:ptCount val="1"/>
                <c:pt idx="0">
                  <c:v>Renewable Oil&amp;Gas</c:v>
                </c:pt>
              </c:strCache>
            </c:strRef>
          </c:tx>
          <c:spPr>
            <a:pattFill prst="narHorz">
              <a:fgClr>
                <a:srgbClr val="7030A0"/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Données!$C$152:$E$152</c:f>
              <c:numCache>
                <c:formatCode>0.0%</c:formatCode>
                <c:ptCount val="3"/>
                <c:pt idx="0">
                  <c:v>-5.4739984035321813E-2</c:v>
                </c:pt>
                <c:pt idx="1">
                  <c:v>-5.9481324289261658E-2</c:v>
                </c:pt>
                <c:pt idx="2">
                  <c:v>-7.5594438120677343E-2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A2D-4067-BD64-AD80378C548C}"/>
            </c:ext>
          </c:extLst>
        </c:ser>
        <c:ser>
          <c:idx val="7"/>
          <c:order val="6"/>
          <c:tx>
            <c:strRef>
              <c:f>Données!$B$153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Données!$C$153:$E$153</c:f>
              <c:numCache>
                <c:formatCode>0.0%</c:formatCode>
                <c:ptCount val="3"/>
                <c:pt idx="0">
                  <c:v>-4.8096730429210456E-2</c:v>
                </c:pt>
                <c:pt idx="1">
                  <c:v>-5.5772509755938192E-2</c:v>
                </c:pt>
                <c:pt idx="2">
                  <c:v>-8.4801886027736958E-2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52-45B6-A986-EF05989A50E2}"/>
            </c:ext>
          </c:extLst>
        </c:ser>
        <c:ser>
          <c:idx val="6"/>
          <c:order val="7"/>
          <c:tx>
            <c:strRef>
              <c:f>Données!$B$146</c:f>
              <c:strCache>
                <c:ptCount val="1"/>
                <c:pt idx="0">
                  <c:v>Average</c:v>
                </c:pt>
              </c:strCache>
            </c:strRef>
          </c:tx>
          <c:spPr>
            <a:solidFill>
              <a:schemeClr val="bg1"/>
            </a:solidFill>
            <a:ln w="15875">
              <a:solidFill>
                <a:schemeClr val="tx1"/>
              </a:solidFill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Données!$C$146:$E$146</c:f>
              <c:numCache>
                <c:formatCode>0.0%</c:formatCode>
                <c:ptCount val="3"/>
                <c:pt idx="0">
                  <c:v>-4.5705935774116885E-2</c:v>
                </c:pt>
                <c:pt idx="1">
                  <c:v>0</c:v>
                </c:pt>
                <c:pt idx="2">
                  <c:v>-6.5345487914409556E-2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52-45B6-A986-EF05989A50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  <c:max val="4.0000000000000008E-2"/>
          <c:min val="-8.000000000000001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  <c:userShapes r:id="rId3"/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Valeur</a:t>
            </a:r>
            <a:r>
              <a:rPr lang="fr-FR" baseline="0"/>
              <a:t> ajoutée sectorielle (en %)</a:t>
            </a:r>
          </a:p>
          <a:p>
            <a:pPr>
              <a:defRPr/>
            </a:pP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Données!$B$156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Données!$C$156:$E$156</c:f>
              <c:numCache>
                <c:formatCode>0.0%</c:formatCode>
                <c:ptCount val="3"/>
                <c:pt idx="0">
                  <c:v>-5.6435115596525698E-2</c:v>
                </c:pt>
                <c:pt idx="1">
                  <c:v>-6.7302788421118809E-2</c:v>
                </c:pt>
                <c:pt idx="2">
                  <c:v>-8.2134499502747316E-2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F1-4B6A-9132-8653F2D77B61}"/>
            </c:ext>
          </c:extLst>
        </c:ser>
        <c:ser>
          <c:idx val="1"/>
          <c:order val="1"/>
          <c:tx>
            <c:strRef>
              <c:f>Données!$B$157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Données!$C$157:$E$157</c:f>
              <c:numCache>
                <c:formatCode>0.0%</c:formatCode>
                <c:ptCount val="3"/>
                <c:pt idx="0">
                  <c:v>-6.117147493439179E-2</c:v>
                </c:pt>
                <c:pt idx="1">
                  <c:v>-7.7823844794644215E-2</c:v>
                </c:pt>
                <c:pt idx="2">
                  <c:v>-9.3389386564619814E-2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7F1-4B6A-9132-8653F2D77B61}"/>
            </c:ext>
          </c:extLst>
        </c:ser>
        <c:ser>
          <c:idx val="2"/>
          <c:order val="2"/>
          <c:tx>
            <c:strRef>
              <c:f>Données!$B$158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Données!$C$158:$E$158</c:f>
              <c:numCache>
                <c:formatCode>0.0%</c:formatCode>
                <c:ptCount val="3"/>
                <c:pt idx="0">
                  <c:v>-5.0958987843529702E-2</c:v>
                </c:pt>
                <c:pt idx="1">
                  <c:v>-6.2129077923268716E-2</c:v>
                </c:pt>
                <c:pt idx="2">
                  <c:v>-7.6743692571885846E-2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7F1-4B6A-9132-8653F2D77B61}"/>
            </c:ext>
          </c:extLst>
        </c:ser>
        <c:ser>
          <c:idx val="3"/>
          <c:order val="3"/>
          <c:tx>
            <c:strRef>
              <c:f>Données!$B$159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Données!$C$159:$E$159</c:f>
              <c:numCache>
                <c:formatCode>0.0%</c:formatCode>
                <c:ptCount val="3"/>
                <c:pt idx="0">
                  <c:v>-3.892466638239811E-2</c:v>
                </c:pt>
                <c:pt idx="1">
                  <c:v>-4.4669470632085595E-2</c:v>
                </c:pt>
                <c:pt idx="2">
                  <c:v>-5.2693885050238198E-2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7F1-4B6A-9132-8653F2D77B61}"/>
            </c:ext>
          </c:extLst>
        </c:ser>
        <c:ser>
          <c:idx val="4"/>
          <c:order val="4"/>
          <c:tx>
            <c:strRef>
              <c:f>Données!$B$160</c:f>
              <c:strCache>
                <c:ptCount val="1"/>
                <c:pt idx="0">
                  <c:v>Pétrole et gaz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Données!$C$160:$E$160</c:f>
              <c:numCache>
                <c:formatCode>0.0%</c:formatCode>
                <c:ptCount val="3"/>
                <c:pt idx="0">
                  <c:v>-5.823260011253717E-2</c:v>
                </c:pt>
                <c:pt idx="1">
                  <c:v>-7.0891217399938644E-2</c:v>
                </c:pt>
                <c:pt idx="2">
                  <c:v>-8.4408259422250609E-2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7F1-4B6A-9132-8653F2D77B61}"/>
            </c:ext>
          </c:extLst>
        </c:ser>
        <c:ser>
          <c:idx val="5"/>
          <c:order val="5"/>
          <c:tx>
            <c:strRef>
              <c:f>Données!$B$161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Données!$C$161:$E$161</c:f>
              <c:numCache>
                <c:formatCode>0.0%</c:formatCode>
                <c:ptCount val="3"/>
                <c:pt idx="0">
                  <c:v>-4.8096730429210477E-2</c:v>
                </c:pt>
                <c:pt idx="1">
                  <c:v>-6.5396558670711702E-2</c:v>
                </c:pt>
                <c:pt idx="2">
                  <c:v>-8.4801886027736972E-2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7F1-4B6A-9132-8653F2D77B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chart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chart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chart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chart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chart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chart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chart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chart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chart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chart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chart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chart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chart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chart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chart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chart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chartsheets/sheet1.xml><?xml version="1.0" encoding="utf-8"?>
<chartsheet xmlns="http://schemas.openxmlformats.org/spreadsheetml/2006/main" xmlns:r="http://schemas.openxmlformats.org/officeDocument/2006/relationships">
  <sheetPr codeName="Graphique2">
    <tabColor rgb="FFFF0000"/>
  </sheetPr>
  <sheetViews>
    <sheetView tabSelected="1" zoomScale="70"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>
  <sheetPr codeName="Graphique3">
    <tabColor rgb="FFFF0000"/>
  </sheetPr>
  <sheetViews>
    <sheetView zoomScale="40" workbookViewId="0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>
  <sheetPr codeName="Graphique4">
    <tabColor rgb="FFFF0000"/>
  </sheetPr>
  <sheetViews>
    <sheetView zoomScale="55" workbookViewId="0"/>
  </sheetViews>
  <pageMargins left="0.7" right="0.7" top="0.75" bottom="0.75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>
  <sheetPr codeName="Graphique5">
    <tabColor rgb="FFFF000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5.xml><?xml version="1.0" encoding="utf-8"?>
<chartsheet xmlns="http://schemas.openxmlformats.org/spreadsheetml/2006/main" xmlns:r="http://schemas.openxmlformats.org/officeDocument/2006/relationships">
  <sheetPr codeName="Graphique6"/>
  <sheetViews>
    <sheetView zoomScale="70" workbookViewId="0"/>
  </sheetViews>
  <pageMargins left="0.7" right="0.7" top="0.75" bottom="0.75" header="0.3" footer="0.3"/>
  <drawing r:id="rId1"/>
</chartsheet>
</file>

<file path=xl/chartsheets/sheet6.xml><?xml version="1.0" encoding="utf-8"?>
<chartsheet xmlns="http://schemas.openxmlformats.org/spreadsheetml/2006/main" xmlns:r="http://schemas.openxmlformats.org/officeDocument/2006/relationships">
  <sheetPr codeName="Graphique7">
    <tabColor rgb="FFFF000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7.xml><?xml version="1.0" encoding="utf-8"?>
<chartsheet xmlns="http://schemas.openxmlformats.org/spreadsheetml/2006/main" xmlns:r="http://schemas.openxmlformats.org/officeDocument/2006/relationships">
  <sheetPr codeName="Graphique8">
    <tabColor theme="7"/>
  </sheetPr>
  <sheetViews>
    <sheetView zoomScale="55" workbookViewId="0"/>
  </sheetViews>
  <pageMargins left="0.7" right="0.7" top="0.75" bottom="0.75" header="0.3" footer="0.3"/>
  <drawing r:id="rId1"/>
</chartsheet>
</file>

<file path=xl/chartsheets/sheet8.xml><?xml version="1.0" encoding="utf-8"?>
<chartsheet xmlns="http://schemas.openxmlformats.org/spreadsheetml/2006/main" xmlns:r="http://schemas.openxmlformats.org/officeDocument/2006/relationships">
  <sheetPr codeName="Graphique9">
    <tabColor theme="7"/>
  </sheetPr>
  <sheetViews>
    <sheetView zoomScale="55" workbookViewId="0"/>
  </sheetViews>
  <pageMargins left="0.7" right="0.7" top="0.75" bottom="0.75" header="0.3" footer="0.3"/>
  <drawing r:id="rId1"/>
</chartsheet>
</file>

<file path=xl/chartsheets/sheet9.xml><?xml version="1.0" encoding="utf-8"?>
<chartsheet xmlns="http://schemas.openxmlformats.org/spreadsheetml/2006/main" xmlns:r="http://schemas.openxmlformats.org/officeDocument/2006/relationships">
  <sheetPr codeName="Graphique10">
    <tabColor theme="7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0.xml><?xml version="1.0" encoding="utf-8"?>
<chartsheet xmlns="http://schemas.openxmlformats.org/spreadsheetml/2006/main" xmlns:r="http://schemas.openxmlformats.org/officeDocument/2006/relationships">
  <sheetPr codeName="Graphique11">
    <tabColor theme="7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1.xml><?xml version="1.0" encoding="utf-8"?>
<chartsheet xmlns="http://schemas.openxmlformats.org/spreadsheetml/2006/main" xmlns:r="http://schemas.openxmlformats.org/officeDocument/2006/relationships">
  <sheetPr codeName="Graphique12">
    <tabColor theme="7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2.xml><?xml version="1.0" encoding="utf-8"?>
<chartsheet xmlns="http://schemas.openxmlformats.org/spreadsheetml/2006/main" xmlns:r="http://schemas.openxmlformats.org/officeDocument/2006/relationships">
  <sheetPr codeName="Graphique13">
    <tabColor theme="7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3.xml><?xml version="1.0" encoding="utf-8"?>
<chartsheet xmlns="http://schemas.openxmlformats.org/spreadsheetml/2006/main" xmlns:r="http://schemas.openxmlformats.org/officeDocument/2006/relationships">
  <sheetPr codeName="Graphique14"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4.xml><?xml version="1.0" encoding="utf-8"?>
<chartsheet xmlns="http://schemas.openxmlformats.org/spreadsheetml/2006/main" xmlns:r="http://schemas.openxmlformats.org/officeDocument/2006/relationships">
  <sheetPr codeName="Graphique15"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5.xml><?xml version="1.0" encoding="utf-8"?>
<chartsheet xmlns="http://schemas.openxmlformats.org/spreadsheetml/2006/main" xmlns:r="http://schemas.openxmlformats.org/officeDocument/2006/relationships">
  <sheetPr codeName="Graphique16">
    <tabColor rgb="FF7030A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6.xml><?xml version="1.0" encoding="utf-8"?>
<chartsheet xmlns="http://schemas.openxmlformats.org/spreadsheetml/2006/main" xmlns:r="http://schemas.openxmlformats.org/officeDocument/2006/relationships">
  <sheetPr codeName="Graphique17"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7.xml><?xml version="1.0" encoding="utf-8"?>
<chartsheet xmlns="http://schemas.openxmlformats.org/spreadsheetml/2006/main" xmlns:r="http://schemas.openxmlformats.org/officeDocument/2006/relationships">
  <sheetPr codeName="Graphique18"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8.xml><?xml version="1.0" encoding="utf-8"?>
<chartsheet xmlns="http://schemas.openxmlformats.org/spreadsheetml/2006/main" xmlns:r="http://schemas.openxmlformats.org/officeDocument/2006/relationships">
  <sheetPr codeName="Graphique19">
    <tabColor rgb="FF7030A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9.xml><?xml version="1.0" encoding="utf-8"?>
<chartsheet xmlns="http://schemas.openxmlformats.org/spreadsheetml/2006/main" xmlns:r="http://schemas.openxmlformats.org/officeDocument/2006/relationships">
  <sheetPr codeName="Graphique20">
    <tabColor rgb="FF7030A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20.xml><?xml version="1.0" encoding="utf-8"?>
<chartsheet xmlns="http://schemas.openxmlformats.org/spreadsheetml/2006/main" xmlns:r="http://schemas.openxmlformats.org/officeDocument/2006/relationships">
  <sheetPr codeName="Graphique21">
    <tabColor rgb="FF7030A0"/>
  </sheetPr>
  <sheetViews>
    <sheetView zoomScale="70" workbookViewId="0"/>
  </sheetViews>
  <pageMargins left="0.7" right="0.7" top="0.75" bottom="0.75" header="0.3" footer="0.3"/>
  <drawing r:id="rId1"/>
</chartsheet>
</file>

<file path=xl/chartsheets/sheet21.xml><?xml version="1.0" encoding="utf-8"?>
<chartsheet xmlns="http://schemas.openxmlformats.org/spreadsheetml/2006/main" xmlns:r="http://schemas.openxmlformats.org/officeDocument/2006/relationships">
  <sheetPr codeName="Graphique22">
    <tabColor rgb="FF7030A0"/>
  </sheetPr>
  <sheetViews>
    <sheetView zoomScale="57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302750" cy="608012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7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8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0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1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2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3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4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5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6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7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8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9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0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1.xml><?xml version="1.0" encoding="utf-8"?>
<c:userShapes xmlns:c="http://schemas.openxmlformats.org/drawingml/2006/chart">
  <cdr:relSizeAnchor xmlns:cdr="http://schemas.openxmlformats.org/drawingml/2006/chartDrawing">
    <cdr:from>
      <cdr:x>0.85707</cdr:x>
      <cdr:y>0.69417</cdr:y>
    </cdr:from>
    <cdr:to>
      <cdr:x>0.94221</cdr:x>
      <cdr:y>0.74196</cdr:y>
    </cdr:to>
    <cdr:sp macro="" textlink="">
      <cdr:nvSpPr>
        <cdr:cNvPr id="2" name="ZoneTexte 1"/>
        <cdr:cNvSpPr txBox="1"/>
      </cdr:nvSpPr>
      <cdr:spPr>
        <a:xfrm xmlns:a="http://schemas.openxmlformats.org/drawingml/2006/main">
          <a:off x="7963123" y="4206915"/>
          <a:ext cx="790965" cy="28964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fr-FR" sz="2000" b="1">
            <a:latin typeface="Marianne Light" panose="02000000000000000000" pitchFamily="50" charset="0"/>
          </a:endParaRPr>
        </a:p>
      </cdr:txBody>
    </cdr:sp>
  </cdr:relSizeAnchor>
  <cdr:relSizeAnchor xmlns:cdr="http://schemas.openxmlformats.org/drawingml/2006/chartDrawing">
    <cdr:from>
      <cdr:x>0.86541</cdr:x>
      <cdr:y>0.19309</cdr:y>
    </cdr:from>
    <cdr:to>
      <cdr:x>0.98047</cdr:x>
      <cdr:y>0.26796</cdr:y>
    </cdr:to>
    <cdr:sp macro="" textlink="">
      <cdr:nvSpPr>
        <cdr:cNvPr id="4" name="ZoneTexte 3"/>
        <cdr:cNvSpPr txBox="1"/>
      </cdr:nvSpPr>
      <cdr:spPr>
        <a:xfrm xmlns:a="http://schemas.openxmlformats.org/drawingml/2006/main">
          <a:off x="8038886" y="1170088"/>
          <a:ext cx="1068828" cy="45369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fr-FR" sz="1800" b="0" i="0">
              <a:latin typeface="Marianne Light" panose="02000000000000000000" pitchFamily="50" charset="0"/>
            </a:rPr>
            <a:t>+500%</a:t>
          </a:r>
        </a:p>
      </cdr:txBody>
    </cdr:sp>
  </cdr:relSizeAnchor>
  <cdr:relSizeAnchor xmlns:cdr="http://schemas.openxmlformats.org/drawingml/2006/chartDrawing">
    <cdr:from>
      <cdr:x>0.78711</cdr:x>
      <cdr:y>0.67216</cdr:y>
    </cdr:from>
    <cdr:to>
      <cdr:x>0.88477</cdr:x>
      <cdr:y>0.73503</cdr:y>
    </cdr:to>
    <cdr:sp macro="" textlink="">
      <cdr:nvSpPr>
        <cdr:cNvPr id="5" name="ZoneTexte 4"/>
        <cdr:cNvSpPr txBox="1"/>
      </cdr:nvSpPr>
      <cdr:spPr>
        <a:xfrm xmlns:a="http://schemas.openxmlformats.org/drawingml/2006/main">
          <a:off x="7311571" y="4073072"/>
          <a:ext cx="907143" cy="3810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fr-FR" sz="1800" b="0">
              <a:latin typeface="Marianne Light" panose="02000000000000000000" pitchFamily="50" charset="0"/>
            </a:rPr>
            <a:t>-42%</a:t>
          </a:r>
        </a:p>
      </cdr:txBody>
    </cdr:sp>
  </cdr:relSizeAnchor>
</c:userShapes>
</file>

<file path=xl/drawings/drawing22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022-02-26_20-22-43_Result_Fra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  <sheetName val="Import"/>
      <sheetName val="Carbontax"/>
      <sheetName val="Production"/>
      <sheetName val="Capital"/>
      <sheetName val="PIB"/>
      <sheetName val="Results"/>
      <sheetName val="date"/>
      <sheetName val="Emissions"/>
      <sheetName val="Consumption"/>
      <sheetName val="Value_Added"/>
      <sheetName val="INV"/>
      <sheetName val="Labor"/>
      <sheetName val="Final_nrj"/>
      <sheetName val="Primary_nrj"/>
      <sheetName val="Energy_Mix"/>
      <sheetName val="Transports"/>
      <sheetName val="Hybrid"/>
      <sheetName val="Tab-macro"/>
      <sheetName val="Tab-baseline"/>
      <sheetName val="Macro"/>
      <sheetName val="Baseline"/>
      <sheetName val="produits-secteurs V2-V3"/>
      <sheetName val="Sect&amp;Com_V3"/>
    </sheetNames>
    <sheetDataSet>
      <sheetData sheetId="0"/>
      <sheetData sheetId="1"/>
      <sheetData sheetId="2"/>
      <sheetData sheetId="3">
        <row r="2">
          <cell r="B2">
            <v>3802365.2170000002</v>
          </cell>
          <cell r="C2">
            <v>3831979.4010000001</v>
          </cell>
          <cell r="D2">
            <v>3870438.1329999999</v>
          </cell>
          <cell r="E2">
            <v>3914558.0520000001</v>
          </cell>
          <cell r="F2">
            <v>3963263.537</v>
          </cell>
          <cell r="G2">
            <v>4015756.1460000002</v>
          </cell>
          <cell r="H2">
            <v>4068759.676</v>
          </cell>
          <cell r="I2">
            <v>4123507.26</v>
          </cell>
          <cell r="J2">
            <v>4179840.87</v>
          </cell>
          <cell r="K2">
            <v>4237566.6339999996</v>
          </cell>
          <cell r="L2">
            <v>4296323.8499999996</v>
          </cell>
          <cell r="M2">
            <v>4359657.5199999996</v>
          </cell>
          <cell r="N2">
            <v>4424551.3380000005</v>
          </cell>
          <cell r="O2">
            <v>4490626.898</v>
          </cell>
          <cell r="P2">
            <v>4557701.6950000003</v>
          </cell>
          <cell r="Q2">
            <v>4625667.7410000004</v>
          </cell>
          <cell r="R2">
            <v>4694232.6540000001</v>
          </cell>
          <cell r="S2">
            <v>4763509.97</v>
          </cell>
          <cell r="T2">
            <v>4833495.9060000004</v>
          </cell>
          <cell r="U2">
            <v>4904195.977</v>
          </cell>
          <cell r="V2">
            <v>4972362.9460000005</v>
          </cell>
          <cell r="W2">
            <v>5043439.9740000004</v>
          </cell>
          <cell r="X2">
            <v>5115628.3279999997</v>
          </cell>
          <cell r="Y2">
            <v>5188849.51</v>
          </cell>
          <cell r="Z2">
            <v>5263097.6030000001</v>
          </cell>
          <cell r="AA2">
            <v>5329001.8439999996</v>
          </cell>
          <cell r="AB2">
            <v>5397797.7529999996</v>
          </cell>
          <cell r="AC2">
            <v>5467053.5360000003</v>
          </cell>
          <cell r="AD2">
            <v>5536875.6390000004</v>
          </cell>
          <cell r="AE2">
            <v>5607420.5039999997</v>
          </cell>
          <cell r="AF2">
            <v>5678823.4139999999</v>
          </cell>
          <cell r="AG2">
            <v>5751251.4780000001</v>
          </cell>
          <cell r="AH2">
            <v>5824724.6979999999</v>
          </cell>
          <cell r="AI2">
            <v>5899274.4330000002</v>
          </cell>
          <cell r="AJ2">
            <v>5974912.7630000003</v>
          </cell>
          <cell r="AK2">
            <v>6051638.8849999998</v>
          </cell>
          <cell r="AL2">
            <v>6127836.3509999998</v>
          </cell>
          <cell r="AM2">
            <v>6204511.3109999998</v>
          </cell>
          <cell r="AN2">
            <v>6281812.165</v>
          </cell>
          <cell r="AO2">
            <v>6359828.3119999999</v>
          </cell>
          <cell r="AP2">
            <v>6438631.932</v>
          </cell>
          <cell r="AQ2">
            <v>6518394.017</v>
          </cell>
          <cell r="AR2">
            <v>6599091.7560000001</v>
          </cell>
          <cell r="AS2">
            <v>6680752.7010000004</v>
          </cell>
          <cell r="AT2">
            <v>6763394.3300000001</v>
          </cell>
          <cell r="AU2">
            <v>6847025.4670000002</v>
          </cell>
          <cell r="AV2">
            <v>6932242.949</v>
          </cell>
          <cell r="AW2">
            <v>7018653.2580000004</v>
          </cell>
          <cell r="AX2">
            <v>7106199.4139999999</v>
          </cell>
          <cell r="AY2">
            <v>7194841.1660000002</v>
          </cell>
          <cell r="AZ2">
            <v>7284550.0499999998</v>
          </cell>
          <cell r="BA2">
            <v>8694272.4759999998</v>
          </cell>
          <cell r="BB2">
            <v>8840634.7420000006</v>
          </cell>
          <cell r="BC2">
            <v>8989308.7599999998</v>
          </cell>
          <cell r="BD2">
            <v>9140327.6300000008</v>
          </cell>
          <cell r="BE2">
            <v>9293727.1170000006</v>
          </cell>
        </row>
        <row r="3">
          <cell r="B3">
            <v>3859362.8769999999</v>
          </cell>
          <cell r="C3">
            <v>3908270.1009999998</v>
          </cell>
          <cell r="D3">
            <v>3962069.2280000001</v>
          </cell>
          <cell r="E3">
            <v>4019511.3670000001</v>
          </cell>
          <cell r="F3">
            <v>4080255.4750000001</v>
          </cell>
          <cell r="G3">
            <v>4143927.4419999998</v>
          </cell>
          <cell r="H3">
            <v>4207559.4890000001</v>
          </cell>
          <cell r="I3">
            <v>4272581.2709999997</v>
          </cell>
          <cell r="J3">
            <v>4339001.517</v>
          </cell>
          <cell r="K3">
            <v>4406764.1679999996</v>
          </cell>
          <cell r="L3">
            <v>4480406.0329999998</v>
          </cell>
          <cell r="M3">
            <v>4552217.8289999999</v>
          </cell>
          <cell r="N3">
            <v>4624727.4239999996</v>
          </cell>
          <cell r="O3">
            <v>4698046.068</v>
          </cell>
          <cell r="P3">
            <v>4772200.3480000002</v>
          </cell>
          <cell r="Q3">
            <v>4847214.2019999996</v>
          </cell>
          <cell r="R3">
            <v>4923123.2309999997</v>
          </cell>
          <cell r="S3">
            <v>4999973.1310000001</v>
          </cell>
          <cell r="T3">
            <v>5077814.9989999998</v>
          </cell>
          <cell r="U3">
            <v>5156701.102</v>
          </cell>
          <cell r="V3">
            <v>5233255.7680000002</v>
          </cell>
          <cell r="W3">
            <v>5313205.6320000002</v>
          </cell>
          <cell r="X3">
            <v>5394678.6030000001</v>
          </cell>
          <cell r="Y3">
            <v>5477598.7450000001</v>
          </cell>
          <cell r="Z3">
            <v>5561956.7220000001</v>
          </cell>
          <cell r="AA3">
            <v>5637837.6509999996</v>
          </cell>
          <cell r="AB3">
            <v>5716951.4349999996</v>
          </cell>
          <cell r="AC3">
            <v>5796788.8870000001</v>
          </cell>
          <cell r="AD3">
            <v>5877455.5650000004</v>
          </cell>
          <cell r="AE3">
            <v>5959108.4539999999</v>
          </cell>
          <cell r="AF3">
            <v>6041880.5729999999</v>
          </cell>
          <cell r="AG3">
            <v>6125866.5250000004</v>
          </cell>
          <cell r="AH3">
            <v>6211124.6909999996</v>
          </cell>
          <cell r="AI3">
            <v>6297684.6050000004</v>
          </cell>
          <cell r="AJ3">
            <v>6385555.3959999997</v>
          </cell>
          <cell r="AK3">
            <v>6474733.5049999999</v>
          </cell>
          <cell r="AL3">
            <v>6562799.7130000005</v>
          </cell>
          <cell r="AM3">
            <v>6651295.6140000001</v>
          </cell>
          <cell r="AN3">
            <v>6740437.574</v>
          </cell>
          <cell r="AO3">
            <v>6830366.6540000001</v>
          </cell>
          <cell r="AP3">
            <v>6921197.2130000005</v>
          </cell>
          <cell r="AQ3">
            <v>7013024.5619999999</v>
          </cell>
          <cell r="AR3">
            <v>7105925.4689999996</v>
          </cell>
          <cell r="AS3">
            <v>7199958.9230000004</v>
          </cell>
          <cell r="AT3">
            <v>7295168.3439999996</v>
          </cell>
          <cell r="AU3">
            <v>7391584.9139999999</v>
          </cell>
          <cell r="AV3">
            <v>7489450.551</v>
          </cell>
          <cell r="AW3">
            <v>7588641.1490000002</v>
          </cell>
          <cell r="AX3">
            <v>7689151.8480000002</v>
          </cell>
          <cell r="AY3">
            <v>7790980.6100000003</v>
          </cell>
          <cell r="AZ3">
            <v>7894128.3990000002</v>
          </cell>
          <cell r="BA3">
            <v>8712181.8599999994</v>
          </cell>
          <cell r="BB3">
            <v>8859098.2300000004</v>
          </cell>
          <cell r="BC3">
            <v>9008308.0109999999</v>
          </cell>
          <cell r="BD3">
            <v>9159849.0710000005</v>
          </cell>
          <cell r="BE3">
            <v>9313761.7990000006</v>
          </cell>
        </row>
        <row r="4">
          <cell r="B4">
            <v>80401.070720000003</v>
          </cell>
          <cell r="C4">
            <v>80580.532800000001</v>
          </cell>
          <cell r="D4">
            <v>80983.449869999997</v>
          </cell>
          <cell r="E4">
            <v>81582.771040000007</v>
          </cell>
          <cell r="F4">
            <v>82355.477679999996</v>
          </cell>
          <cell r="G4">
            <v>83272.963099999994</v>
          </cell>
          <cell r="H4">
            <v>84256.359460000007</v>
          </cell>
          <cell r="I4">
            <v>85310.672030000002</v>
          </cell>
          <cell r="J4">
            <v>86422.769310000003</v>
          </cell>
          <cell r="K4">
            <v>87581.329159999994</v>
          </cell>
          <cell r="L4">
            <v>88743.950289999993</v>
          </cell>
          <cell r="M4">
            <v>90055.767970000001</v>
          </cell>
          <cell r="N4">
            <v>91405.781959999993</v>
          </cell>
          <cell r="O4">
            <v>92783.20723</v>
          </cell>
          <cell r="P4">
            <v>94182.190839999996</v>
          </cell>
          <cell r="Q4">
            <v>95598.475130000006</v>
          </cell>
          <cell r="R4">
            <v>97023.857690000004</v>
          </cell>
          <cell r="S4">
            <v>98458.550879999995</v>
          </cell>
          <cell r="T4">
            <v>99901.253760000007</v>
          </cell>
          <cell r="U4">
            <v>101351.45110000001</v>
          </cell>
          <cell r="V4">
            <v>102746.708</v>
          </cell>
          <cell r="W4">
            <v>104183.7862</v>
          </cell>
          <cell r="X4">
            <v>105637.3089</v>
          </cell>
          <cell r="Y4">
            <v>107106.08500000001</v>
          </cell>
          <cell r="Z4">
            <v>108590.1841</v>
          </cell>
          <cell r="AA4">
            <v>109911.1713</v>
          </cell>
          <cell r="AB4">
            <v>111262.2956</v>
          </cell>
          <cell r="AC4">
            <v>112613.7519</v>
          </cell>
          <cell r="AD4">
            <v>113970.34669999999</v>
          </cell>
          <cell r="AE4">
            <v>115337.3496</v>
          </cell>
          <cell r="AF4">
            <v>116719.09789999999</v>
          </cell>
          <cell r="AG4">
            <v>118120.2423</v>
          </cell>
          <cell r="AH4">
            <v>119542.1896</v>
          </cell>
          <cell r="AI4">
            <v>120986.1302</v>
          </cell>
          <cell r="AJ4">
            <v>122452.5949</v>
          </cell>
          <cell r="AK4">
            <v>123941.7157</v>
          </cell>
          <cell r="AL4">
            <v>125424.951</v>
          </cell>
          <cell r="AM4">
            <v>126917.4644</v>
          </cell>
          <cell r="AN4">
            <v>128423.28509999999</v>
          </cell>
          <cell r="AO4">
            <v>129944.63740000001</v>
          </cell>
          <cell r="AP4">
            <v>131483.30009999999</v>
          </cell>
          <cell r="AQ4">
            <v>133043.19440000001</v>
          </cell>
          <cell r="AR4">
            <v>134624.45610000001</v>
          </cell>
          <cell r="AS4">
            <v>136227.85750000001</v>
          </cell>
          <cell r="AT4">
            <v>137853.75390000001</v>
          </cell>
          <cell r="AU4">
            <v>139502.2334</v>
          </cell>
          <cell r="AV4">
            <v>141185.4724</v>
          </cell>
          <cell r="AW4">
            <v>142897.22829999999</v>
          </cell>
          <cell r="AX4">
            <v>144636.1545</v>
          </cell>
          <cell r="AY4">
            <v>146400.7501</v>
          </cell>
          <cell r="AZ4">
            <v>148189.70730000001</v>
          </cell>
          <cell r="BA4">
            <v>179121.29980000001</v>
          </cell>
          <cell r="BB4">
            <v>182052.38750000001</v>
          </cell>
          <cell r="BC4">
            <v>185032.44380000001</v>
          </cell>
          <cell r="BD4">
            <v>188062.4975</v>
          </cell>
          <cell r="BE4">
            <v>191143.62390000001</v>
          </cell>
        </row>
        <row r="5">
          <cell r="B5">
            <v>81862.317689999996</v>
          </cell>
          <cell r="C5">
            <v>82566.293350000007</v>
          </cell>
          <cell r="D5">
            <v>83408.247109999997</v>
          </cell>
          <cell r="E5">
            <v>84394.135469999994</v>
          </cell>
          <cell r="F5">
            <v>85513.737250000006</v>
          </cell>
          <cell r="G5">
            <v>86747.141099999993</v>
          </cell>
          <cell r="H5">
            <v>88023.011849999995</v>
          </cell>
          <cell r="I5">
            <v>89352.745750000002</v>
          </cell>
          <cell r="J5">
            <v>90728.791670000006</v>
          </cell>
          <cell r="K5">
            <v>92144.440780000004</v>
          </cell>
          <cell r="L5">
            <v>93684.438450000001</v>
          </cell>
          <cell r="M5">
            <v>95204.28155</v>
          </cell>
          <cell r="N5">
            <v>96739.494139999995</v>
          </cell>
          <cell r="O5">
            <v>98290.115699999995</v>
          </cell>
          <cell r="P5">
            <v>99855.244179999994</v>
          </cell>
          <cell r="Q5">
            <v>101434.5433</v>
          </cell>
          <cell r="R5">
            <v>103028.3468</v>
          </cell>
          <cell r="S5">
            <v>104637.4743</v>
          </cell>
          <cell r="T5">
            <v>106263.03170000001</v>
          </cell>
          <cell r="U5">
            <v>107906.2586</v>
          </cell>
          <cell r="V5">
            <v>109501.3659</v>
          </cell>
          <cell r="W5">
            <v>111153.59390000001</v>
          </cell>
          <cell r="X5">
            <v>112835.3913</v>
          </cell>
          <cell r="Y5">
            <v>114545.86320000001</v>
          </cell>
          <cell r="Z5">
            <v>116285.1918</v>
          </cell>
          <cell r="AA5">
            <v>117859.65059999999</v>
          </cell>
          <cell r="AB5">
            <v>119477.60709999999</v>
          </cell>
          <cell r="AC5">
            <v>121105.55409999999</v>
          </cell>
          <cell r="AD5">
            <v>122748.32090000001</v>
          </cell>
          <cell r="AE5">
            <v>124411.4102</v>
          </cell>
          <cell r="AF5">
            <v>126099.30869999999</v>
          </cell>
          <cell r="AG5">
            <v>127815.2175</v>
          </cell>
          <cell r="AH5">
            <v>129561.1897</v>
          </cell>
          <cell r="AI5">
            <v>131338.3829</v>
          </cell>
          <cell r="AJ5">
            <v>133147.32149999999</v>
          </cell>
          <cell r="AK5">
            <v>134988.12450000001</v>
          </cell>
          <cell r="AL5">
            <v>136813.6244</v>
          </cell>
          <cell r="AM5">
            <v>138648.9896</v>
          </cell>
          <cell r="AN5">
            <v>140499.5232</v>
          </cell>
          <cell r="AO5">
            <v>142369.18229999999</v>
          </cell>
          <cell r="AP5">
            <v>144261.37609999999</v>
          </cell>
          <cell r="AQ5">
            <v>146178.98449999999</v>
          </cell>
          <cell r="AR5">
            <v>148124.30129999999</v>
          </cell>
          <cell r="AS5">
            <v>150099.03880000001</v>
          </cell>
          <cell r="AT5">
            <v>152104.39559999999</v>
          </cell>
          <cell r="AU5">
            <v>154141.1679</v>
          </cell>
          <cell r="AV5">
            <v>156214.19450000001</v>
          </cell>
          <cell r="AW5">
            <v>158321.61350000001</v>
          </cell>
          <cell r="AX5">
            <v>160463.21160000001</v>
          </cell>
          <cell r="AY5">
            <v>162638.50150000001</v>
          </cell>
          <cell r="AZ5">
            <v>164847.02069999999</v>
          </cell>
          <cell r="BA5">
            <v>179820.1868</v>
          </cell>
          <cell r="BB5">
            <v>182786.1537</v>
          </cell>
          <cell r="BC5">
            <v>185801.83230000001</v>
          </cell>
          <cell r="BD5">
            <v>188868.416</v>
          </cell>
          <cell r="BE5">
            <v>191987.14980000001</v>
          </cell>
        </row>
        <row r="6">
          <cell r="B6">
            <v>6519.642159</v>
          </cell>
          <cell r="C6">
            <v>6469.2829039999997</v>
          </cell>
          <cell r="D6">
            <v>6416.7539589999997</v>
          </cell>
          <cell r="E6">
            <v>6374.4817579999999</v>
          </cell>
          <cell r="F6">
            <v>6343.4778699999997</v>
          </cell>
          <cell r="G6">
            <v>6322.280898</v>
          </cell>
          <cell r="H6">
            <v>6305.8949359999997</v>
          </cell>
          <cell r="I6">
            <v>6293.787859</v>
          </cell>
          <cell r="J6">
            <v>6284.0044150000003</v>
          </cell>
          <cell r="K6">
            <v>6274.6927349999996</v>
          </cell>
          <cell r="L6">
            <v>6267.0328049999998</v>
          </cell>
          <cell r="M6">
            <v>6262.6224670000001</v>
          </cell>
          <cell r="N6">
            <v>6258.8147220000001</v>
          </cell>
          <cell r="O6">
            <v>6255.8255909999998</v>
          </cell>
          <cell r="P6">
            <v>6253.7298739999997</v>
          </cell>
          <cell r="Q6">
            <v>6252.5105530000001</v>
          </cell>
          <cell r="R6">
            <v>6251.6228819999997</v>
          </cell>
          <cell r="S6">
            <v>6251.2293959999997</v>
          </cell>
          <cell r="T6">
            <v>6251.4202429999996</v>
          </cell>
          <cell r="U6">
            <v>6252.2403619999995</v>
          </cell>
          <cell r="V6">
            <v>6250.6082239999996</v>
          </cell>
          <cell r="W6">
            <v>6251.6758559999998</v>
          </cell>
          <cell r="X6">
            <v>6253.9958329999999</v>
          </cell>
          <cell r="Y6">
            <v>6257.2310500000003</v>
          </cell>
          <cell r="Z6">
            <v>6261.243082</v>
          </cell>
          <cell r="AA6">
            <v>6257.3992310000003</v>
          </cell>
          <cell r="AB6">
            <v>6256.1250099999997</v>
          </cell>
          <cell r="AC6">
            <v>6255.9280529999996</v>
          </cell>
          <cell r="AD6">
            <v>6256.5889539999998</v>
          </cell>
          <cell r="AE6">
            <v>6258.0181259999999</v>
          </cell>
          <cell r="AF6">
            <v>6260.1852140000001</v>
          </cell>
          <cell r="AG6">
            <v>6263.1993899999998</v>
          </cell>
          <cell r="AH6">
            <v>6267.0109890000003</v>
          </cell>
          <cell r="AI6">
            <v>6271.5853219999999</v>
          </cell>
          <cell r="AJ6">
            <v>6276.8956520000002</v>
          </cell>
          <cell r="AK6">
            <v>6282.9215009999998</v>
          </cell>
          <cell r="AL6">
            <v>6288.7624210000004</v>
          </cell>
          <cell r="AM6">
            <v>6295.2315840000001</v>
          </cell>
          <cell r="AN6">
            <v>6302.3757050000004</v>
          </cell>
          <cell r="AO6">
            <v>6310.1451880000004</v>
          </cell>
          <cell r="AP6">
            <v>6318.4982870000003</v>
          </cell>
          <cell r="AQ6">
            <v>6327.5763010000001</v>
          </cell>
          <cell r="AR6">
            <v>6337.3094259999998</v>
          </cell>
          <cell r="AS6">
            <v>6347.6557050000001</v>
          </cell>
          <cell r="AT6">
            <v>6358.5894630000003</v>
          </cell>
          <cell r="AU6">
            <v>6370.097949</v>
          </cell>
          <cell r="AV6">
            <v>6382.8746209999999</v>
          </cell>
          <cell r="AW6">
            <v>6396.6021920000003</v>
          </cell>
          <cell r="AX6">
            <v>6411.1063169999998</v>
          </cell>
          <cell r="AY6">
            <v>6426.2765790000003</v>
          </cell>
          <cell r="AZ6">
            <v>6442.0621160000001</v>
          </cell>
          <cell r="BA6">
            <v>7275.9010410000001</v>
          </cell>
          <cell r="BB6">
            <v>7319.939942</v>
          </cell>
          <cell r="BC6">
            <v>7365.0971440000003</v>
          </cell>
          <cell r="BD6">
            <v>7411.357497</v>
          </cell>
          <cell r="BE6">
            <v>7458.7240760000004</v>
          </cell>
        </row>
        <row r="7">
          <cell r="B7">
            <v>6537.0436380000001</v>
          </cell>
          <cell r="C7">
            <v>6520.5894909999997</v>
          </cell>
          <cell r="D7">
            <v>6493.4031530000002</v>
          </cell>
          <cell r="E7">
            <v>6466.5478649999995</v>
          </cell>
          <cell r="F7">
            <v>6443.1967690000001</v>
          </cell>
          <cell r="G7">
            <v>6427.5787909999999</v>
          </cell>
          <cell r="H7">
            <v>6417.7670669999998</v>
          </cell>
          <cell r="I7">
            <v>6414.4662490000001</v>
          </cell>
          <cell r="J7">
            <v>6416.5245029999996</v>
          </cell>
          <cell r="K7">
            <v>6422.583318</v>
          </cell>
          <cell r="L7">
            <v>6436.2885969999998</v>
          </cell>
          <cell r="M7">
            <v>6449.0609839999997</v>
          </cell>
          <cell r="N7">
            <v>6462.5598650000002</v>
          </cell>
          <cell r="O7">
            <v>6476.9382969999997</v>
          </cell>
          <cell r="P7">
            <v>6492.1743839999999</v>
          </cell>
          <cell r="Q7">
            <v>6508.2037929999997</v>
          </cell>
          <cell r="R7">
            <v>6524.966109</v>
          </cell>
          <cell r="S7">
            <v>6542.4181280000003</v>
          </cell>
          <cell r="T7">
            <v>6560.5347270000002</v>
          </cell>
          <cell r="U7">
            <v>6579.3055340000001</v>
          </cell>
          <cell r="V7">
            <v>6595.4415239999998</v>
          </cell>
          <cell r="W7">
            <v>6614.416545</v>
          </cell>
          <cell r="X7">
            <v>6634.6809919999996</v>
          </cell>
          <cell r="Y7">
            <v>6655.9049910000003</v>
          </cell>
          <cell r="Z7">
            <v>6677.9569510000001</v>
          </cell>
          <cell r="AA7">
            <v>6691.5639730000003</v>
          </cell>
          <cell r="AB7">
            <v>6707.707453</v>
          </cell>
          <cell r="AC7">
            <v>6724.81844</v>
          </cell>
          <cell r="AD7">
            <v>6742.7438519999996</v>
          </cell>
          <cell r="AE7">
            <v>6761.4378489999999</v>
          </cell>
          <cell r="AF7">
            <v>6780.8923459999996</v>
          </cell>
          <cell r="AG7">
            <v>6801.1091720000004</v>
          </cell>
          <cell r="AH7">
            <v>6822.0894559999997</v>
          </cell>
          <cell r="AI7">
            <v>6843.8304360000002</v>
          </cell>
          <cell r="AJ7">
            <v>6866.3255490000001</v>
          </cell>
          <cell r="AK7">
            <v>6889.565783</v>
          </cell>
          <cell r="AL7">
            <v>6911.4454690000002</v>
          </cell>
          <cell r="AM7">
            <v>6933.3502330000001</v>
          </cell>
          <cell r="AN7">
            <v>6955.6449350000003</v>
          </cell>
          <cell r="AO7">
            <v>6978.4907839999996</v>
          </cell>
          <cell r="AP7">
            <v>7001.9660219999996</v>
          </cell>
          <cell r="AQ7">
            <v>7026.1136619999997</v>
          </cell>
          <cell r="AR7">
            <v>7050.9595239999999</v>
          </cell>
          <cell r="AS7">
            <v>7076.5144689999997</v>
          </cell>
          <cell r="AT7">
            <v>7102.764991</v>
          </cell>
          <cell r="AU7">
            <v>7129.632689</v>
          </cell>
          <cell r="AV7">
            <v>7156.9145330000001</v>
          </cell>
          <cell r="AW7">
            <v>7184.394577</v>
          </cell>
          <cell r="AX7">
            <v>7212.1426769999998</v>
          </cell>
          <cell r="AY7">
            <v>7240.3718220000001</v>
          </cell>
          <cell r="AZ7">
            <v>7269.2771679999996</v>
          </cell>
          <cell r="BA7">
            <v>7529.5319959999997</v>
          </cell>
          <cell r="BB7">
            <v>7579.4214339999999</v>
          </cell>
          <cell r="BC7">
            <v>7630.342662</v>
          </cell>
          <cell r="BD7">
            <v>7682.333181</v>
          </cell>
          <cell r="BE7">
            <v>7735.4170240000003</v>
          </cell>
        </row>
        <row r="8">
          <cell r="B8">
            <v>155468.42619999999</v>
          </cell>
          <cell r="C8">
            <v>156172.48639999999</v>
          </cell>
          <cell r="D8">
            <v>157225.4178</v>
          </cell>
          <cell r="E8">
            <v>158611.02669999999</v>
          </cell>
          <cell r="F8">
            <v>160299.37090000001</v>
          </cell>
          <cell r="G8">
            <v>162246.06210000001</v>
          </cell>
          <cell r="H8">
            <v>164309.3186</v>
          </cell>
          <cell r="I8">
            <v>166500.82870000001</v>
          </cell>
          <cell r="J8">
            <v>168799.4094</v>
          </cell>
          <cell r="K8">
            <v>171186.49050000001</v>
          </cell>
          <cell r="L8">
            <v>173622.0097</v>
          </cell>
          <cell r="M8">
            <v>176286.06950000001</v>
          </cell>
          <cell r="N8">
            <v>179022.44289999999</v>
          </cell>
          <cell r="O8">
            <v>181817.65590000001</v>
          </cell>
          <cell r="P8">
            <v>184661.13879999999</v>
          </cell>
          <cell r="Q8">
            <v>187544.24290000001</v>
          </cell>
          <cell r="R8">
            <v>190450.9044</v>
          </cell>
          <cell r="S8">
            <v>193381.2133</v>
          </cell>
          <cell r="T8">
            <v>196331.7402</v>
          </cell>
          <cell r="U8">
            <v>199300.44409999999</v>
          </cell>
          <cell r="V8">
            <v>202166.45689999999</v>
          </cell>
          <cell r="W8">
            <v>205110.36079999999</v>
          </cell>
          <cell r="X8">
            <v>208086.86679999999</v>
          </cell>
          <cell r="Y8">
            <v>211094.00020000001</v>
          </cell>
          <cell r="Z8">
            <v>214131.6378</v>
          </cell>
          <cell r="AA8">
            <v>216855.5815</v>
          </cell>
          <cell r="AB8">
            <v>219625.3726</v>
          </cell>
          <cell r="AC8">
            <v>222388.7966</v>
          </cell>
          <cell r="AD8">
            <v>225157.152</v>
          </cell>
          <cell r="AE8">
            <v>227942.00580000001</v>
          </cell>
          <cell r="AF8">
            <v>230752.77669999999</v>
          </cell>
          <cell r="AG8">
            <v>233599.16709999999</v>
          </cell>
          <cell r="AH8">
            <v>236484.32759999999</v>
          </cell>
          <cell r="AI8">
            <v>239411.0883</v>
          </cell>
          <cell r="AJ8">
            <v>242380.97380000001</v>
          </cell>
          <cell r="AK8">
            <v>245394.68229999999</v>
          </cell>
          <cell r="AL8">
            <v>248396.57980000001</v>
          </cell>
          <cell r="AM8">
            <v>251411.73439999999</v>
          </cell>
          <cell r="AN8">
            <v>254448.33730000001</v>
          </cell>
          <cell r="AO8">
            <v>257512.12090000001</v>
          </cell>
          <cell r="AP8">
            <v>260608.0056</v>
          </cell>
          <cell r="AQ8">
            <v>263744.71730000002</v>
          </cell>
          <cell r="AR8">
            <v>266923.12079999998</v>
          </cell>
          <cell r="AS8">
            <v>270145.43800000002</v>
          </cell>
          <cell r="AT8">
            <v>273412.96549999999</v>
          </cell>
          <cell r="AU8">
            <v>276726.32799999998</v>
          </cell>
          <cell r="AV8">
            <v>280109.12849999999</v>
          </cell>
          <cell r="AW8">
            <v>283548.41800000001</v>
          </cell>
          <cell r="AX8">
            <v>287041.87660000002</v>
          </cell>
          <cell r="AY8">
            <v>290587.09710000001</v>
          </cell>
          <cell r="AZ8">
            <v>294181.98440000002</v>
          </cell>
          <cell r="BA8">
            <v>350298.37439999997</v>
          </cell>
          <cell r="BB8">
            <v>355986.72869999998</v>
          </cell>
          <cell r="BC8">
            <v>361766.7818</v>
          </cell>
          <cell r="BD8">
            <v>367640.6189</v>
          </cell>
          <cell r="BE8">
            <v>373610.44949999999</v>
          </cell>
        </row>
        <row r="9">
          <cell r="B9">
            <v>157864.05040000001</v>
          </cell>
          <cell r="C9">
            <v>159519.2034</v>
          </cell>
          <cell r="D9">
            <v>161394.6176</v>
          </cell>
          <cell r="E9">
            <v>163504.99280000001</v>
          </cell>
          <cell r="F9">
            <v>165840.0484</v>
          </cell>
          <cell r="G9">
            <v>168370.1182</v>
          </cell>
          <cell r="H9">
            <v>170966.9197</v>
          </cell>
          <cell r="I9">
            <v>173653.30300000001</v>
          </cell>
          <cell r="J9">
            <v>176418.4368</v>
          </cell>
          <cell r="K9">
            <v>179252.5105</v>
          </cell>
          <cell r="L9">
            <v>182317.94149999999</v>
          </cell>
          <cell r="M9">
            <v>185349.57930000001</v>
          </cell>
          <cell r="N9">
            <v>188408.7671</v>
          </cell>
          <cell r="O9">
            <v>191494.78909999999</v>
          </cell>
          <cell r="P9">
            <v>194605.95689999999</v>
          </cell>
          <cell r="Q9">
            <v>197741.8296</v>
          </cell>
          <cell r="R9">
            <v>200903.23329999999</v>
          </cell>
          <cell r="S9">
            <v>204091.86360000001</v>
          </cell>
          <cell r="T9">
            <v>207309.89929999999</v>
          </cell>
          <cell r="U9">
            <v>210559.7212</v>
          </cell>
          <cell r="V9">
            <v>213716.65779999999</v>
          </cell>
          <cell r="W9">
            <v>216974.95439999999</v>
          </cell>
          <cell r="X9">
            <v>220287.4552</v>
          </cell>
          <cell r="Y9">
            <v>223653.40729999999</v>
          </cell>
          <cell r="Z9">
            <v>227073.3272</v>
          </cell>
          <cell r="AA9">
            <v>230179.86369999999</v>
          </cell>
          <cell r="AB9">
            <v>233353.08749999999</v>
          </cell>
          <cell r="AC9">
            <v>236537.01579999999</v>
          </cell>
          <cell r="AD9">
            <v>239743.33540000001</v>
          </cell>
          <cell r="AE9">
            <v>242984.07310000001</v>
          </cell>
          <cell r="AF9">
            <v>246268.8749</v>
          </cell>
          <cell r="AG9">
            <v>249604.65580000001</v>
          </cell>
          <cell r="AH9">
            <v>252995.94399999999</v>
          </cell>
          <cell r="AI9">
            <v>256445.4192</v>
          </cell>
          <cell r="AJ9">
            <v>259954.4564</v>
          </cell>
          <cell r="AK9">
            <v>263523.5956</v>
          </cell>
          <cell r="AL9">
            <v>267063.73259999999</v>
          </cell>
          <cell r="AM9">
            <v>270619.2267</v>
          </cell>
          <cell r="AN9">
            <v>274200.2758</v>
          </cell>
          <cell r="AO9">
            <v>277815.17009999999</v>
          </cell>
          <cell r="AP9">
            <v>281471.26059999998</v>
          </cell>
          <cell r="AQ9">
            <v>285174.81780000002</v>
          </cell>
          <cell r="AR9">
            <v>288930.87310000003</v>
          </cell>
          <cell r="AS9">
            <v>292743.22039999999</v>
          </cell>
          <cell r="AT9">
            <v>296614.56140000001</v>
          </cell>
          <cell r="AU9">
            <v>300546.74300000002</v>
          </cell>
          <cell r="AV9">
            <v>304549.22230000002</v>
          </cell>
          <cell r="AW9">
            <v>308619.06209999998</v>
          </cell>
          <cell r="AX9">
            <v>312756.04609999998</v>
          </cell>
          <cell r="AY9">
            <v>316959.22340000002</v>
          </cell>
          <cell r="AZ9">
            <v>321227.6936</v>
          </cell>
          <cell r="BA9">
            <v>351018.65299999999</v>
          </cell>
          <cell r="BB9">
            <v>356745.55609999999</v>
          </cell>
          <cell r="BC9">
            <v>362565.28129999997</v>
          </cell>
          <cell r="BD9">
            <v>368480.17609999998</v>
          </cell>
          <cell r="BE9">
            <v>374492.70890000003</v>
          </cell>
        </row>
        <row r="10">
          <cell r="B10">
            <v>121065.2917</v>
          </cell>
          <cell r="C10">
            <v>122903.55250000001</v>
          </cell>
          <cell r="D10">
            <v>125142.35980000001</v>
          </cell>
          <cell r="E10">
            <v>127361.4281</v>
          </cell>
          <cell r="F10">
            <v>129457.8079</v>
          </cell>
          <cell r="G10">
            <v>131423.42490000001</v>
          </cell>
          <cell r="H10">
            <v>133159.14379999999</v>
          </cell>
          <cell r="I10">
            <v>134807.9878</v>
          </cell>
          <cell r="J10">
            <v>136402.2936</v>
          </cell>
          <cell r="K10">
            <v>137962.57750000001</v>
          </cell>
          <cell r="L10">
            <v>139289.68119999999</v>
          </cell>
          <cell r="M10">
            <v>141078.3517</v>
          </cell>
          <cell r="N10">
            <v>142867.14799999999</v>
          </cell>
          <cell r="O10">
            <v>144646.81169999999</v>
          </cell>
          <cell r="P10">
            <v>146415.74549999999</v>
          </cell>
          <cell r="Q10">
            <v>148175.97020000001</v>
          </cell>
          <cell r="R10">
            <v>149910.6415</v>
          </cell>
          <cell r="S10">
            <v>151643.3609</v>
          </cell>
          <cell r="T10">
            <v>153379.32990000001</v>
          </cell>
          <cell r="U10">
            <v>155123.13570000001</v>
          </cell>
          <cell r="V10">
            <v>156735.86720000001</v>
          </cell>
          <cell r="W10">
            <v>158497.93840000001</v>
          </cell>
          <cell r="X10">
            <v>160288.2303</v>
          </cell>
          <cell r="Y10">
            <v>162104.0919</v>
          </cell>
          <cell r="Z10">
            <v>163945.57769999999</v>
          </cell>
          <cell r="AA10">
            <v>165407.08919999999</v>
          </cell>
          <cell r="AB10">
            <v>167094.22690000001</v>
          </cell>
          <cell r="AC10">
            <v>168822.51490000001</v>
          </cell>
          <cell r="AD10">
            <v>170589.7028</v>
          </cell>
          <cell r="AE10">
            <v>172394.9454</v>
          </cell>
          <cell r="AF10">
            <v>174237.35500000001</v>
          </cell>
          <cell r="AG10">
            <v>176121.91029999999</v>
          </cell>
          <cell r="AH10">
            <v>178041.64679999999</v>
          </cell>
          <cell r="AI10">
            <v>179994.93</v>
          </cell>
          <cell r="AJ10">
            <v>181980.22440000001</v>
          </cell>
          <cell r="AK10">
            <v>183996.12530000001</v>
          </cell>
          <cell r="AL10">
            <v>186003.48069999999</v>
          </cell>
          <cell r="AM10">
            <v>188035.80549999999</v>
          </cell>
          <cell r="AN10">
            <v>190096.2077</v>
          </cell>
          <cell r="AO10">
            <v>192185.3694</v>
          </cell>
          <cell r="AP10">
            <v>194303.1404</v>
          </cell>
          <cell r="AQ10">
            <v>196458.91819999999</v>
          </cell>
          <cell r="AR10">
            <v>198643.03390000001</v>
          </cell>
          <cell r="AS10">
            <v>200854.5049</v>
          </cell>
          <cell r="AT10">
            <v>203092.50820000001</v>
          </cell>
          <cell r="AU10">
            <v>205356.36120000001</v>
          </cell>
          <cell r="AV10">
            <v>207689.32339999999</v>
          </cell>
          <cell r="AW10">
            <v>210050.5429</v>
          </cell>
          <cell r="AX10">
            <v>212437.90220000001</v>
          </cell>
          <cell r="AY10">
            <v>214850.32430000001</v>
          </cell>
          <cell r="AZ10">
            <v>217287.38380000001</v>
          </cell>
          <cell r="BA10">
            <v>275411.86959999998</v>
          </cell>
          <cell r="BB10">
            <v>279995.66629999998</v>
          </cell>
          <cell r="BC10">
            <v>284667.75870000001</v>
          </cell>
          <cell r="BD10">
            <v>289429.39720000001</v>
          </cell>
          <cell r="BE10">
            <v>294281.80160000001</v>
          </cell>
        </row>
        <row r="11">
          <cell r="B11">
            <v>125926.7249</v>
          </cell>
          <cell r="C11">
            <v>128329.38370000001</v>
          </cell>
          <cell r="D11">
            <v>131029.2882</v>
          </cell>
          <cell r="E11">
            <v>133658.57019999999</v>
          </cell>
          <cell r="F11">
            <v>136145.41740000001</v>
          </cell>
          <cell r="G11">
            <v>138504.73250000001</v>
          </cell>
          <cell r="H11">
            <v>140655.02540000001</v>
          </cell>
          <cell r="I11">
            <v>142745.69219999999</v>
          </cell>
          <cell r="J11">
            <v>144813.21170000001</v>
          </cell>
          <cell r="K11">
            <v>146879.6838</v>
          </cell>
          <cell r="L11">
            <v>149169.66279999999</v>
          </cell>
          <cell r="M11">
            <v>151281.39749999999</v>
          </cell>
          <cell r="N11">
            <v>153401.56330000001</v>
          </cell>
          <cell r="O11">
            <v>155539.91560000001</v>
          </cell>
          <cell r="P11">
            <v>157701.51790000001</v>
          </cell>
          <cell r="Q11">
            <v>159889.83360000001</v>
          </cell>
          <cell r="R11">
            <v>162107.6937</v>
          </cell>
          <cell r="S11">
            <v>164357.63029999999</v>
          </cell>
          <cell r="T11">
            <v>166641.97700000001</v>
          </cell>
          <cell r="U11">
            <v>168962.8854</v>
          </cell>
          <cell r="V11">
            <v>171165.92540000001</v>
          </cell>
          <cell r="W11">
            <v>173554.7427</v>
          </cell>
          <cell r="X11">
            <v>175995.3352</v>
          </cell>
          <cell r="Y11">
            <v>178483.4901</v>
          </cell>
          <cell r="Z11">
            <v>181017.90359999999</v>
          </cell>
          <cell r="AA11">
            <v>183147.2536</v>
          </cell>
          <cell r="AB11">
            <v>185528.3977</v>
          </cell>
          <cell r="AC11">
            <v>187966.56520000001</v>
          </cell>
          <cell r="AD11">
            <v>190459.27489999999</v>
          </cell>
          <cell r="AE11">
            <v>193005.45</v>
          </cell>
          <cell r="AF11">
            <v>195603.94529999999</v>
          </cell>
          <cell r="AG11">
            <v>198253.39139999999</v>
          </cell>
          <cell r="AH11">
            <v>200952.27530000001</v>
          </cell>
          <cell r="AI11">
            <v>203699.06080000001</v>
          </cell>
          <cell r="AJ11">
            <v>206492.29509999999</v>
          </cell>
          <cell r="AK11">
            <v>209330.68859999999</v>
          </cell>
          <cell r="AL11">
            <v>212103.88709999999</v>
          </cell>
          <cell r="AM11">
            <v>214911.7121</v>
          </cell>
          <cell r="AN11">
            <v>217760.11780000001</v>
          </cell>
          <cell r="AO11">
            <v>220651.5013</v>
          </cell>
          <cell r="AP11">
            <v>223586.7561</v>
          </cell>
          <cell r="AQ11">
            <v>226566.0159</v>
          </cell>
          <cell r="AR11">
            <v>229589.00899999999</v>
          </cell>
          <cell r="AS11">
            <v>232655.25949999999</v>
          </cell>
          <cell r="AT11">
            <v>235764.2162</v>
          </cell>
          <cell r="AU11">
            <v>238915.34160000001</v>
          </cell>
          <cell r="AV11">
            <v>242118.08549999999</v>
          </cell>
          <cell r="AW11">
            <v>245362.93350000001</v>
          </cell>
          <cell r="AX11">
            <v>248649.0785</v>
          </cell>
          <cell r="AY11">
            <v>251976.1557</v>
          </cell>
          <cell r="AZ11">
            <v>255344.07279999999</v>
          </cell>
          <cell r="BA11">
            <v>276935.37959999999</v>
          </cell>
          <cell r="BB11">
            <v>281600.92109999998</v>
          </cell>
          <cell r="BC11">
            <v>286356.38660000003</v>
          </cell>
          <cell r="BD11">
            <v>291203.18199999997</v>
          </cell>
          <cell r="BE11">
            <v>296142.67499999999</v>
          </cell>
        </row>
        <row r="12">
          <cell r="B12">
            <v>21775.996729999999</v>
          </cell>
          <cell r="C12">
            <v>21932.76297</v>
          </cell>
          <cell r="D12">
            <v>22144.519179999999</v>
          </cell>
          <cell r="E12">
            <v>22393.148730000001</v>
          </cell>
          <cell r="F12">
            <v>22670.360089999998</v>
          </cell>
          <cell r="G12">
            <v>22969.895550000001</v>
          </cell>
          <cell r="H12">
            <v>23274.53198</v>
          </cell>
          <cell r="I12">
            <v>23587.766220000001</v>
          </cell>
          <cell r="J12">
            <v>23908.626840000001</v>
          </cell>
          <cell r="K12">
            <v>24236.251769999999</v>
          </cell>
          <cell r="L12">
            <v>24561.383160000001</v>
          </cell>
          <cell r="M12">
            <v>24921.822169999999</v>
          </cell>
          <cell r="N12">
            <v>25291.950870000001</v>
          </cell>
          <cell r="O12">
            <v>25669.283210000001</v>
          </cell>
          <cell r="P12">
            <v>26052.77421</v>
          </cell>
          <cell r="Q12">
            <v>26441.994709999999</v>
          </cell>
          <cell r="R12">
            <v>26835.409909999998</v>
          </cell>
          <cell r="S12">
            <v>27234.093860000001</v>
          </cell>
          <cell r="T12">
            <v>27638.344160000001</v>
          </cell>
          <cell r="U12">
            <v>28048.484649999999</v>
          </cell>
          <cell r="V12">
            <v>28449.635460000001</v>
          </cell>
          <cell r="W12">
            <v>28865.602859999999</v>
          </cell>
          <cell r="X12">
            <v>29290.265909999998</v>
          </cell>
          <cell r="Y12">
            <v>29723.339459999999</v>
          </cell>
          <cell r="Z12">
            <v>30164.846959999999</v>
          </cell>
          <cell r="AA12">
            <v>30571.20162</v>
          </cell>
          <cell r="AB12">
            <v>30989.578450000001</v>
          </cell>
          <cell r="AC12">
            <v>31412.03371</v>
          </cell>
          <cell r="AD12">
            <v>31839.114389999999</v>
          </cell>
          <cell r="AE12">
            <v>32271.49422</v>
          </cell>
          <cell r="AF12">
            <v>32709.71962</v>
          </cell>
          <cell r="AG12">
            <v>33154.586300000003</v>
          </cell>
          <cell r="AH12">
            <v>33605.990769999997</v>
          </cell>
          <cell r="AI12">
            <v>34063.92452</v>
          </cell>
          <cell r="AJ12">
            <v>34528.26053</v>
          </cell>
          <cell r="AK12">
            <v>34998.788289999997</v>
          </cell>
          <cell r="AL12">
            <v>35468.894619999999</v>
          </cell>
          <cell r="AM12">
            <v>35940.970439999997</v>
          </cell>
          <cell r="AN12">
            <v>36415.583530000004</v>
          </cell>
          <cell r="AO12">
            <v>36892.985650000002</v>
          </cell>
          <cell r="AP12">
            <v>37373.322760000003</v>
          </cell>
          <cell r="AQ12">
            <v>37857.405420000003</v>
          </cell>
          <cell r="AR12">
            <v>38344.860589999997</v>
          </cell>
          <cell r="AS12">
            <v>38835.690670000004</v>
          </cell>
          <cell r="AT12">
            <v>39329.873939999998</v>
          </cell>
          <cell r="AU12">
            <v>39827.367059999997</v>
          </cell>
          <cell r="AV12">
            <v>40331.578970000002</v>
          </cell>
          <cell r="AW12">
            <v>40840.330150000002</v>
          </cell>
          <cell r="AX12">
            <v>41353.274949999999</v>
          </cell>
          <cell r="AY12">
            <v>41870.154040000001</v>
          </cell>
          <cell r="AZ12">
            <v>42390.782030000002</v>
          </cell>
          <cell r="BA12">
            <v>52774.763420000003</v>
          </cell>
          <cell r="BB12">
            <v>53722.473180000001</v>
          </cell>
          <cell r="BC12">
            <v>54682.407440000003</v>
          </cell>
          <cell r="BD12">
            <v>55654.485569999997</v>
          </cell>
          <cell r="BE12">
            <v>56638.647239999998</v>
          </cell>
        </row>
        <row r="13">
          <cell r="B13">
            <v>22135.232380000001</v>
          </cell>
          <cell r="C13">
            <v>22414.733619999999</v>
          </cell>
          <cell r="D13">
            <v>22724.067210000001</v>
          </cell>
          <cell r="E13">
            <v>23057.3652</v>
          </cell>
          <cell r="F13">
            <v>23411.98028</v>
          </cell>
          <cell r="G13">
            <v>23785.15899</v>
          </cell>
          <cell r="H13">
            <v>24162.095359999999</v>
          </cell>
          <cell r="I13">
            <v>24547.676289999999</v>
          </cell>
          <cell r="J13">
            <v>24941.930369999998</v>
          </cell>
          <cell r="K13">
            <v>25344.723379999999</v>
          </cell>
          <cell r="L13">
            <v>25777.720219999999</v>
          </cell>
          <cell r="M13">
            <v>26207.088169999999</v>
          </cell>
          <cell r="N13">
            <v>26642.20117</v>
          </cell>
          <cell r="O13">
            <v>27083.857029999999</v>
          </cell>
          <cell r="P13">
            <v>27532.431240000002</v>
          </cell>
          <cell r="Q13">
            <v>27988.230100000001</v>
          </cell>
          <cell r="R13">
            <v>28451.57445</v>
          </cell>
          <cell r="S13">
            <v>28922.808079999999</v>
          </cell>
          <cell r="T13">
            <v>29402.282190000002</v>
          </cell>
          <cell r="U13">
            <v>29890.334579999999</v>
          </cell>
          <cell r="V13">
            <v>30371.02666</v>
          </cell>
          <cell r="W13">
            <v>30869.647550000002</v>
          </cell>
          <cell r="X13">
            <v>31379.448820000001</v>
          </cell>
          <cell r="Y13">
            <v>31899.99396</v>
          </cell>
          <cell r="Z13">
            <v>32431.131140000001</v>
          </cell>
          <cell r="AA13">
            <v>32925.675029999999</v>
          </cell>
          <cell r="AB13">
            <v>33433.45321</v>
          </cell>
          <cell r="AC13">
            <v>33945.950409999998</v>
          </cell>
          <cell r="AD13">
            <v>34463.59618</v>
          </cell>
          <cell r="AE13">
            <v>34986.97378</v>
          </cell>
          <cell r="AF13">
            <v>35516.543339999997</v>
          </cell>
          <cell r="AG13">
            <v>36052.581740000001</v>
          </cell>
          <cell r="AH13">
            <v>36595.184849999998</v>
          </cell>
          <cell r="AI13">
            <v>37144.296199999997</v>
          </cell>
          <cell r="AJ13">
            <v>37699.746870000003</v>
          </cell>
          <cell r="AK13">
            <v>38261.297070000001</v>
          </cell>
          <cell r="AL13">
            <v>38817.180910000003</v>
          </cell>
          <cell r="AM13">
            <v>39373.111069999999</v>
          </cell>
          <cell r="AN13">
            <v>39930.039830000002</v>
          </cell>
          <cell r="AO13">
            <v>40488.556360000002</v>
          </cell>
          <cell r="AP13">
            <v>41049.11591</v>
          </cell>
          <cell r="AQ13">
            <v>41612.09446</v>
          </cell>
          <cell r="AR13">
            <v>42177.80169</v>
          </cell>
          <cell r="AS13">
            <v>42746.48691</v>
          </cell>
          <cell r="AT13">
            <v>43318.347800000003</v>
          </cell>
          <cell r="AU13">
            <v>43893.543969999999</v>
          </cell>
          <cell r="AV13">
            <v>44473.263619999998</v>
          </cell>
          <cell r="AW13">
            <v>45057.092340000003</v>
          </cell>
          <cell r="AX13">
            <v>45645.058360000003</v>
          </cell>
          <cell r="AY13">
            <v>46237.224869999998</v>
          </cell>
          <cell r="AZ13">
            <v>46833.692790000001</v>
          </cell>
          <cell r="BA13">
            <v>52895.144769999999</v>
          </cell>
          <cell r="BB13">
            <v>53841.176039999998</v>
          </cell>
          <cell r="BC13">
            <v>54798.63222</v>
          </cell>
          <cell r="BD13">
            <v>55767.451399999998</v>
          </cell>
          <cell r="BE13">
            <v>56747.601349999997</v>
          </cell>
        </row>
        <row r="14">
          <cell r="B14">
            <v>15930.52829</v>
          </cell>
          <cell r="C14">
            <v>16030.59772</v>
          </cell>
          <cell r="D14">
            <v>16178.23746</v>
          </cell>
          <cell r="E14">
            <v>16355.542090000001</v>
          </cell>
          <cell r="F14">
            <v>16556.376810000002</v>
          </cell>
          <cell r="G14">
            <v>16775.851770000001</v>
          </cell>
          <cell r="H14">
            <v>16997.580849999998</v>
          </cell>
          <cell r="I14">
            <v>17227.04752</v>
          </cell>
          <cell r="J14">
            <v>17462.638299999999</v>
          </cell>
          <cell r="K14">
            <v>17702.784479999998</v>
          </cell>
          <cell r="L14">
            <v>17933.00848</v>
          </cell>
          <cell r="M14">
            <v>18201.2006</v>
          </cell>
          <cell r="N14">
            <v>18473.692589999999</v>
          </cell>
          <cell r="O14">
            <v>18748.319960000001</v>
          </cell>
          <cell r="P14">
            <v>19024.215629999999</v>
          </cell>
          <cell r="Q14">
            <v>19300.964540000001</v>
          </cell>
          <cell r="R14">
            <v>19576.745709999999</v>
          </cell>
          <cell r="S14">
            <v>19852.907800000001</v>
          </cell>
          <cell r="T14">
            <v>20129.65223</v>
          </cell>
          <cell r="U14">
            <v>20407.237809999999</v>
          </cell>
          <cell r="V14">
            <v>20671.32519</v>
          </cell>
          <cell r="W14">
            <v>20947.5985</v>
          </cell>
          <cell r="X14">
            <v>21227.242010000002</v>
          </cell>
          <cell r="Y14">
            <v>21510.068660000001</v>
          </cell>
          <cell r="Z14">
            <v>21796.287110000001</v>
          </cell>
          <cell r="AA14">
            <v>22044.2618</v>
          </cell>
          <cell r="AB14">
            <v>22307.42641</v>
          </cell>
          <cell r="AC14">
            <v>22573.246749999998</v>
          </cell>
          <cell r="AD14">
            <v>22842.096109999999</v>
          </cell>
          <cell r="AE14">
            <v>23114.69283</v>
          </cell>
          <cell r="AF14">
            <v>23391.664270000001</v>
          </cell>
          <cell r="AG14">
            <v>23673.955109999999</v>
          </cell>
          <cell r="AH14">
            <v>23961.4519</v>
          </cell>
          <cell r="AI14">
            <v>24254.269370000002</v>
          </cell>
          <cell r="AJ14">
            <v>24552.423340000001</v>
          </cell>
          <cell r="AK14">
            <v>24855.857309999999</v>
          </cell>
          <cell r="AL14">
            <v>25159.17499</v>
          </cell>
          <cell r="AM14">
            <v>25465.515800000001</v>
          </cell>
          <cell r="AN14">
            <v>25775.45436</v>
          </cell>
          <cell r="AO14">
            <v>26089.26658</v>
          </cell>
          <cell r="AP14">
            <v>26407.143090000001</v>
          </cell>
          <cell r="AQ14">
            <v>26730.025310000001</v>
          </cell>
          <cell r="AR14">
            <v>27057.38034</v>
          </cell>
          <cell r="AS14">
            <v>27389.223580000002</v>
          </cell>
          <cell r="AT14">
            <v>27725.541229999999</v>
          </cell>
          <cell r="AU14">
            <v>28066.28933</v>
          </cell>
          <cell r="AV14">
            <v>28415.14831</v>
          </cell>
          <cell r="AW14">
            <v>28769.129250000002</v>
          </cell>
          <cell r="AX14">
            <v>29127.914720000001</v>
          </cell>
          <cell r="AY14">
            <v>29491.285</v>
          </cell>
          <cell r="AZ14">
            <v>29859.068630000002</v>
          </cell>
          <cell r="BA14">
            <v>36300.431920000003</v>
          </cell>
          <cell r="BB14">
            <v>36916.198770000003</v>
          </cell>
          <cell r="BC14">
            <v>37543.095710000001</v>
          </cell>
          <cell r="BD14">
            <v>38181.311820000003</v>
          </cell>
          <cell r="BE14">
            <v>38831.034959999997</v>
          </cell>
        </row>
        <row r="15">
          <cell r="B15">
            <v>16338.48991</v>
          </cell>
          <cell r="C15">
            <v>16530.087790000001</v>
          </cell>
          <cell r="D15">
            <v>16748.270390000001</v>
          </cell>
          <cell r="E15">
            <v>16986.67971</v>
          </cell>
          <cell r="F15">
            <v>17242.737799999999</v>
          </cell>
          <cell r="G15">
            <v>17513.36695</v>
          </cell>
          <cell r="H15">
            <v>17783.64213</v>
          </cell>
          <cell r="I15">
            <v>18060.022239999998</v>
          </cell>
          <cell r="J15">
            <v>18341.854749999999</v>
          </cell>
          <cell r="K15">
            <v>18628.39847</v>
          </cell>
          <cell r="L15">
            <v>18940.293580000001</v>
          </cell>
          <cell r="M15">
            <v>19240.397870000001</v>
          </cell>
          <cell r="N15">
            <v>19541.91864</v>
          </cell>
          <cell r="O15">
            <v>19845.5236</v>
          </cell>
          <cell r="P15">
            <v>20151.425309999999</v>
          </cell>
          <cell r="Q15">
            <v>20459.847170000001</v>
          </cell>
          <cell r="R15">
            <v>20771.090889999999</v>
          </cell>
          <cell r="S15">
            <v>21085.520659999998</v>
          </cell>
          <cell r="T15">
            <v>21403.533510000001</v>
          </cell>
          <cell r="U15">
            <v>21725.533100000001</v>
          </cell>
          <cell r="V15">
            <v>22036.169249999999</v>
          </cell>
          <cell r="W15">
            <v>22363.016039999999</v>
          </cell>
          <cell r="X15">
            <v>22696.441139999999</v>
          </cell>
          <cell r="Y15">
            <v>23036.149069999999</v>
          </cell>
          <cell r="Z15">
            <v>23382.221010000001</v>
          </cell>
          <cell r="AA15">
            <v>23689.30013</v>
          </cell>
          <cell r="AB15">
            <v>24014.405159999998</v>
          </cell>
          <cell r="AC15">
            <v>24344.25231</v>
          </cell>
          <cell r="AD15">
            <v>24679.116999999998</v>
          </cell>
          <cell r="AE15">
            <v>25019.646250000002</v>
          </cell>
          <cell r="AF15">
            <v>25366.401819999999</v>
          </cell>
          <cell r="AG15">
            <v>25719.773509999999</v>
          </cell>
          <cell r="AH15">
            <v>26079.983530000001</v>
          </cell>
          <cell r="AI15">
            <v>26447.117559999999</v>
          </cell>
          <cell r="AJ15">
            <v>26821.16217</v>
          </cell>
          <cell r="AK15">
            <v>27202.040130000001</v>
          </cell>
          <cell r="AL15">
            <v>27578.586780000001</v>
          </cell>
          <cell r="AM15">
            <v>27958.581279999999</v>
          </cell>
          <cell r="AN15">
            <v>28342.914540000002</v>
          </cell>
          <cell r="AO15">
            <v>28732.080330000001</v>
          </cell>
          <cell r="AP15">
            <v>29126.460620000002</v>
          </cell>
          <cell r="AQ15">
            <v>29526.366989999999</v>
          </cell>
          <cell r="AR15">
            <v>29932.040799999999</v>
          </cell>
          <cell r="AS15">
            <v>30343.65353</v>
          </cell>
          <cell r="AT15">
            <v>30761.314180000001</v>
          </cell>
          <cell r="AU15">
            <v>31185.082770000001</v>
          </cell>
          <cell r="AV15">
            <v>31615.99912</v>
          </cell>
          <cell r="AW15">
            <v>32053.36117</v>
          </cell>
          <cell r="AX15">
            <v>32497.081770000001</v>
          </cell>
          <cell r="AY15">
            <v>32947.073450000004</v>
          </cell>
          <cell r="AZ15">
            <v>33403.263480000001</v>
          </cell>
          <cell r="BA15">
            <v>36460.51715</v>
          </cell>
          <cell r="BB15">
            <v>37084.866710000002</v>
          </cell>
          <cell r="BC15">
            <v>37720.52203</v>
          </cell>
          <cell r="BD15">
            <v>38367.690739999998</v>
          </cell>
          <cell r="BE15">
            <v>39026.581709999999</v>
          </cell>
        </row>
        <row r="16">
          <cell r="B16">
            <v>84334.838780000005</v>
          </cell>
          <cell r="C16">
            <v>84969.496740000002</v>
          </cell>
          <cell r="D16">
            <v>85836.661810000005</v>
          </cell>
          <cell r="E16">
            <v>86828.443870000003</v>
          </cell>
          <cell r="F16">
            <v>87918.911219999995</v>
          </cell>
          <cell r="G16">
            <v>89087.632029999993</v>
          </cell>
          <cell r="H16">
            <v>90241.178140000004</v>
          </cell>
          <cell r="I16">
            <v>91428.285749999995</v>
          </cell>
          <cell r="J16">
            <v>92640.148920000007</v>
          </cell>
          <cell r="K16">
            <v>93868.591809999998</v>
          </cell>
          <cell r="L16">
            <v>94994.581319999998</v>
          </cell>
          <cell r="M16">
            <v>96391.113039999997</v>
          </cell>
          <cell r="N16">
            <v>97801.823910000006</v>
          </cell>
          <cell r="O16">
            <v>99216.728529999993</v>
          </cell>
          <cell r="P16">
            <v>100632.46030000001</v>
          </cell>
          <cell r="Q16">
            <v>102047.7809</v>
          </cell>
          <cell r="R16">
            <v>103451.3299</v>
          </cell>
          <cell r="S16">
            <v>104853.91310000001</v>
          </cell>
          <cell r="T16">
            <v>106257.1152</v>
          </cell>
          <cell r="U16">
            <v>107662.8505</v>
          </cell>
          <cell r="V16">
            <v>108984.0634</v>
          </cell>
          <cell r="W16">
            <v>110389.003</v>
          </cell>
          <cell r="X16">
            <v>111808.6093</v>
          </cell>
          <cell r="Y16">
            <v>113243.3374</v>
          </cell>
          <cell r="Z16">
            <v>114695.0469</v>
          </cell>
          <cell r="AA16">
            <v>115910.9129</v>
          </cell>
          <cell r="AB16">
            <v>117249.96490000001</v>
          </cell>
          <cell r="AC16">
            <v>118606.4694</v>
          </cell>
          <cell r="AD16">
            <v>119982.15180000001</v>
          </cell>
          <cell r="AE16">
            <v>121380.0549</v>
          </cell>
          <cell r="AF16">
            <v>122802.7861</v>
          </cell>
          <cell r="AG16">
            <v>124255.53419999999</v>
          </cell>
          <cell r="AH16">
            <v>125736.4532</v>
          </cell>
          <cell r="AI16">
            <v>127245.9497</v>
          </cell>
          <cell r="AJ16">
            <v>128783.9722</v>
          </cell>
          <cell r="AK16">
            <v>130350.1247</v>
          </cell>
          <cell r="AL16">
            <v>131914.99679999999</v>
          </cell>
          <cell r="AM16">
            <v>133500.2684</v>
          </cell>
          <cell r="AN16">
            <v>135107.5693</v>
          </cell>
          <cell r="AO16">
            <v>136737.4522</v>
          </cell>
          <cell r="AP16">
            <v>138390.19200000001</v>
          </cell>
          <cell r="AQ16">
            <v>140071.31419999999</v>
          </cell>
          <cell r="AR16">
            <v>141776.08240000001</v>
          </cell>
          <cell r="AS16">
            <v>143504.24969999999</v>
          </cell>
          <cell r="AT16">
            <v>145255.49239999999</v>
          </cell>
          <cell r="AU16">
            <v>147029.40530000001</v>
          </cell>
          <cell r="AV16">
            <v>148850.24609999999</v>
          </cell>
          <cell r="AW16">
            <v>150695.97880000001</v>
          </cell>
          <cell r="AX16">
            <v>152565.37</v>
          </cell>
          <cell r="AY16">
            <v>154457.53959999999</v>
          </cell>
          <cell r="AZ16">
            <v>156371.77660000001</v>
          </cell>
          <cell r="BA16">
            <v>194268.86120000001</v>
          </cell>
          <cell r="BB16">
            <v>197611.76019999999</v>
          </cell>
          <cell r="BC16">
            <v>201017.3364</v>
          </cell>
          <cell r="BD16">
            <v>204486.6298</v>
          </cell>
          <cell r="BE16">
            <v>208020.64610000001</v>
          </cell>
        </row>
        <row r="17">
          <cell r="B17">
            <v>87184.058229999995</v>
          </cell>
          <cell r="C17">
            <v>88262.675369999997</v>
          </cell>
          <cell r="D17">
            <v>89492.640509999997</v>
          </cell>
          <cell r="E17">
            <v>90815.614579999994</v>
          </cell>
          <cell r="F17">
            <v>92218.382190000004</v>
          </cell>
          <cell r="G17">
            <v>93686.525460000004</v>
          </cell>
          <cell r="H17">
            <v>95132.285229999994</v>
          </cell>
          <cell r="I17">
            <v>96608.066070000001</v>
          </cell>
          <cell r="J17">
            <v>98109.463940000001</v>
          </cell>
          <cell r="K17">
            <v>99632.332110000003</v>
          </cell>
          <cell r="L17">
            <v>101304.4379</v>
          </cell>
          <cell r="M17">
            <v>102881.2464</v>
          </cell>
          <cell r="N17">
            <v>104466.7016</v>
          </cell>
          <cell r="O17">
            <v>106063.4531</v>
          </cell>
          <cell r="P17">
            <v>107672.6204</v>
          </cell>
          <cell r="Q17">
            <v>109295.5673</v>
          </cell>
          <cell r="R17">
            <v>110934.08689999999</v>
          </cell>
          <cell r="S17">
            <v>112590.2879</v>
          </cell>
          <cell r="T17">
            <v>114266.4402</v>
          </cell>
          <cell r="U17">
            <v>115964.8431</v>
          </cell>
          <cell r="V17">
            <v>117590.8003</v>
          </cell>
          <cell r="W17">
            <v>119326.18090000001</v>
          </cell>
          <cell r="X17">
            <v>121095.2031</v>
          </cell>
          <cell r="Y17">
            <v>122897.4725</v>
          </cell>
          <cell r="Z17">
            <v>124733.9492</v>
          </cell>
          <cell r="AA17">
            <v>126325.6902</v>
          </cell>
          <cell r="AB17">
            <v>128059.34080000001</v>
          </cell>
          <cell r="AC17">
            <v>129822.9515</v>
          </cell>
          <cell r="AD17">
            <v>131617.50700000001</v>
          </cell>
          <cell r="AE17">
            <v>133445.5171</v>
          </cell>
          <cell r="AF17">
            <v>135309.14490000001</v>
          </cell>
          <cell r="AG17">
            <v>137209.86199999999</v>
          </cell>
          <cell r="AH17">
            <v>139148.45670000001</v>
          </cell>
          <cell r="AI17">
            <v>141125.14869999999</v>
          </cell>
          <cell r="AJ17">
            <v>143139.7347</v>
          </cell>
          <cell r="AK17">
            <v>145191.73149999999</v>
          </cell>
          <cell r="AL17">
            <v>147212.4333</v>
          </cell>
          <cell r="AM17">
            <v>149258.38039999999</v>
          </cell>
          <cell r="AN17">
            <v>151332.35320000001</v>
          </cell>
          <cell r="AO17">
            <v>153435.73490000001</v>
          </cell>
          <cell r="AP17">
            <v>155569.6011</v>
          </cell>
          <cell r="AQ17">
            <v>157734.84570000001</v>
          </cell>
          <cell r="AR17">
            <v>159932.15770000001</v>
          </cell>
          <cell r="AS17">
            <v>162162.00659999999</v>
          </cell>
          <cell r="AT17">
            <v>164424.6574</v>
          </cell>
          <cell r="AU17">
            <v>166720.21249999999</v>
          </cell>
          <cell r="AV17">
            <v>169054.89509999999</v>
          </cell>
          <cell r="AW17">
            <v>171423.45269999999</v>
          </cell>
          <cell r="AX17">
            <v>173825.50719999999</v>
          </cell>
          <cell r="AY17">
            <v>176260.70310000001</v>
          </cell>
          <cell r="AZ17">
            <v>178728.7543</v>
          </cell>
          <cell r="BA17">
            <v>195144.80350000001</v>
          </cell>
          <cell r="BB17">
            <v>198536.37779999999</v>
          </cell>
          <cell r="BC17">
            <v>201991.7243</v>
          </cell>
          <cell r="BD17">
            <v>205511.9504</v>
          </cell>
          <cell r="BE17">
            <v>209098.14439999999</v>
          </cell>
        </row>
        <row r="18">
          <cell r="B18">
            <v>28281.847949999999</v>
          </cell>
          <cell r="C18">
            <v>28485.621930000001</v>
          </cell>
          <cell r="D18">
            <v>28780.588319999999</v>
          </cell>
          <cell r="E18">
            <v>29119.68132</v>
          </cell>
          <cell r="F18">
            <v>29490.575339999999</v>
          </cell>
          <cell r="G18">
            <v>29886.05647</v>
          </cell>
          <cell r="H18">
            <v>30277.908350000002</v>
          </cell>
          <cell r="I18">
            <v>30679.370770000001</v>
          </cell>
          <cell r="J18">
            <v>31088.556789999999</v>
          </cell>
          <cell r="K18">
            <v>31503.20261</v>
          </cell>
          <cell r="L18">
            <v>31887.381310000001</v>
          </cell>
          <cell r="M18">
            <v>32353.67857</v>
          </cell>
          <cell r="N18">
            <v>32826.612220000003</v>
          </cell>
          <cell r="O18">
            <v>33301.29808</v>
          </cell>
          <cell r="P18">
            <v>33776.289250000002</v>
          </cell>
          <cell r="Q18">
            <v>34251.143499999998</v>
          </cell>
          <cell r="R18">
            <v>34722.384819999999</v>
          </cell>
          <cell r="S18">
            <v>35193.317849999999</v>
          </cell>
          <cell r="T18">
            <v>35664.629249999998</v>
          </cell>
          <cell r="U18">
            <v>36137.04479</v>
          </cell>
          <cell r="V18">
            <v>36584.44874</v>
          </cell>
          <cell r="W18">
            <v>37055.705750000001</v>
          </cell>
          <cell r="X18">
            <v>37532.986069999999</v>
          </cell>
          <cell r="Y18">
            <v>38016.073669999998</v>
          </cell>
          <cell r="Z18">
            <v>38505.506240000002</v>
          </cell>
          <cell r="AA18">
            <v>38925.133150000001</v>
          </cell>
          <cell r="AB18">
            <v>39377.50546</v>
          </cell>
          <cell r="AC18">
            <v>39836.283909999998</v>
          </cell>
          <cell r="AD18">
            <v>40301.713400000001</v>
          </cell>
          <cell r="AE18">
            <v>40774.771610000003</v>
          </cell>
          <cell r="AF18">
            <v>41256.342270000001</v>
          </cell>
          <cell r="AG18">
            <v>41748.09418</v>
          </cell>
          <cell r="AH18">
            <v>42249.51672</v>
          </cell>
          <cell r="AI18">
            <v>42760.693310000002</v>
          </cell>
          <cell r="AJ18">
            <v>43281.55399</v>
          </cell>
          <cell r="AK18">
            <v>43811.904130000003</v>
          </cell>
          <cell r="AL18">
            <v>44343.128779999999</v>
          </cell>
          <cell r="AM18">
            <v>44880.410250000001</v>
          </cell>
          <cell r="AN18">
            <v>45424.427830000001</v>
          </cell>
          <cell r="AO18">
            <v>45975.406349999997</v>
          </cell>
          <cell r="AP18">
            <v>46533.439639999997</v>
          </cell>
          <cell r="AQ18">
            <v>47100.244809999997</v>
          </cell>
          <cell r="AR18">
            <v>47674.407359999997</v>
          </cell>
          <cell r="AS18">
            <v>48255.78802</v>
          </cell>
          <cell r="AT18">
            <v>48844.247660000001</v>
          </cell>
          <cell r="AU18">
            <v>49439.62401</v>
          </cell>
          <cell r="AV18">
            <v>50049.394</v>
          </cell>
          <cell r="AW18">
            <v>50667.095650000003</v>
          </cell>
          <cell r="AX18">
            <v>51292.113770000004</v>
          </cell>
          <cell r="AY18">
            <v>51924.08395</v>
          </cell>
          <cell r="AZ18">
            <v>52562.736790000003</v>
          </cell>
          <cell r="BA18">
            <v>65374.391609999999</v>
          </cell>
          <cell r="BB18">
            <v>66504.938649999996</v>
          </cell>
          <cell r="BC18">
            <v>67655.673490000001</v>
          </cell>
          <cell r="BD18">
            <v>68826.861879999997</v>
          </cell>
          <cell r="BE18">
            <v>70018.761929999993</v>
          </cell>
        </row>
        <row r="19">
          <cell r="B19">
            <v>29140.398969999998</v>
          </cell>
          <cell r="C19">
            <v>29509.433799999999</v>
          </cell>
          <cell r="D19">
            <v>29927.532220000001</v>
          </cell>
          <cell r="E19">
            <v>30375.55831</v>
          </cell>
          <cell r="F19">
            <v>30847.929</v>
          </cell>
          <cell r="G19">
            <v>31340.255120000002</v>
          </cell>
          <cell r="H19">
            <v>31826.505150000001</v>
          </cell>
          <cell r="I19">
            <v>32321.220209999999</v>
          </cell>
          <cell r="J19">
            <v>32823.985999999997</v>
          </cell>
          <cell r="K19">
            <v>33333.919139999998</v>
          </cell>
          <cell r="L19">
            <v>33889.651669999999</v>
          </cell>
          <cell r="M19">
            <v>34420.417090000003</v>
          </cell>
          <cell r="N19">
            <v>34953.457020000002</v>
          </cell>
          <cell r="O19">
            <v>35490.256930000003</v>
          </cell>
          <cell r="P19">
            <v>36031.368029999998</v>
          </cell>
          <cell r="Q19">
            <v>36577.316809999997</v>
          </cell>
          <cell r="R19">
            <v>37128.746140000003</v>
          </cell>
          <cell r="S19">
            <v>37686.399230000003</v>
          </cell>
          <cell r="T19">
            <v>38251.072220000002</v>
          </cell>
          <cell r="U19">
            <v>38823.568039999998</v>
          </cell>
          <cell r="V19">
            <v>39375.467879999997</v>
          </cell>
          <cell r="W19">
            <v>39959.495819999996</v>
          </cell>
          <cell r="X19">
            <v>40555.926249999997</v>
          </cell>
          <cell r="Y19">
            <v>41164.191209999997</v>
          </cell>
          <cell r="Z19">
            <v>41784.471490000004</v>
          </cell>
          <cell r="AA19">
            <v>42332.731059999998</v>
          </cell>
          <cell r="AB19">
            <v>42919.150179999997</v>
          </cell>
          <cell r="AC19">
            <v>43515.779609999998</v>
          </cell>
          <cell r="AD19">
            <v>44122.579180000001</v>
          </cell>
          <cell r="AE19">
            <v>44740.311679999999</v>
          </cell>
          <cell r="AF19">
            <v>45369.678059999998</v>
          </cell>
          <cell r="AG19">
            <v>46011.148939999999</v>
          </cell>
          <cell r="AH19">
            <v>46664.952250000002</v>
          </cell>
          <cell r="AI19">
            <v>47331.108890000003</v>
          </cell>
          <cell r="AJ19">
            <v>48009.484250000001</v>
          </cell>
          <cell r="AK19">
            <v>48699.840889999999</v>
          </cell>
          <cell r="AL19">
            <v>49381.389580000003</v>
          </cell>
          <cell r="AM19">
            <v>50069.530559999999</v>
          </cell>
          <cell r="AN19">
            <v>50765.598619999997</v>
          </cell>
          <cell r="AO19">
            <v>51470.173909999998</v>
          </cell>
          <cell r="AP19">
            <v>52183.6561</v>
          </cell>
          <cell r="AQ19">
            <v>52906.360489999999</v>
          </cell>
          <cell r="AR19">
            <v>53638.526290000002</v>
          </cell>
          <cell r="AS19">
            <v>54380.31583</v>
          </cell>
          <cell r="AT19">
            <v>55131.820789999998</v>
          </cell>
          <cell r="AU19">
            <v>55893.076739999997</v>
          </cell>
          <cell r="AV19">
            <v>56665.955090000003</v>
          </cell>
          <cell r="AW19">
            <v>57449.007510000003</v>
          </cell>
          <cell r="AX19">
            <v>58242.06581</v>
          </cell>
          <cell r="AY19">
            <v>59045.021240000002</v>
          </cell>
          <cell r="AZ19">
            <v>59857.800779999998</v>
          </cell>
          <cell r="BA19">
            <v>65674.958790000004</v>
          </cell>
          <cell r="BB19">
            <v>66820.09246</v>
          </cell>
          <cell r="BC19">
            <v>67985.551479999995</v>
          </cell>
          <cell r="BD19">
            <v>69171.626420000001</v>
          </cell>
          <cell r="BE19">
            <v>70378.605540000004</v>
          </cell>
        </row>
        <row r="20">
          <cell r="B20">
            <v>78048.84375</v>
          </cell>
          <cell r="C20">
            <v>78588.364369999996</v>
          </cell>
          <cell r="D20">
            <v>79418.279800000004</v>
          </cell>
          <cell r="E20">
            <v>80375.787949999998</v>
          </cell>
          <cell r="F20">
            <v>81414.367859999998</v>
          </cell>
          <cell r="G20">
            <v>82509.976060000001</v>
          </cell>
          <cell r="H20">
            <v>83585.838390000004</v>
          </cell>
          <cell r="I20">
            <v>84678.577850000001</v>
          </cell>
          <cell r="J20">
            <v>85785.544699999999</v>
          </cell>
          <cell r="K20">
            <v>86902.744510000004</v>
          </cell>
          <cell r="L20">
            <v>87931.722150000001</v>
          </cell>
          <cell r="M20">
            <v>89184.205239999996</v>
          </cell>
          <cell r="N20">
            <v>90458.435630000007</v>
          </cell>
          <cell r="O20">
            <v>91738.644839999994</v>
          </cell>
          <cell r="P20">
            <v>93020.817599999995</v>
          </cell>
          <cell r="Q20">
            <v>94304.37616</v>
          </cell>
          <cell r="R20">
            <v>95580.487269999998</v>
          </cell>
          <cell r="S20">
            <v>96858.919179999997</v>
          </cell>
          <cell r="T20">
            <v>98142.312099999996</v>
          </cell>
          <cell r="U20">
            <v>99433.130109999998</v>
          </cell>
          <cell r="V20">
            <v>100661.6296</v>
          </cell>
          <cell r="W20">
            <v>101959.00810000001</v>
          </cell>
          <cell r="X20">
            <v>103278.0509</v>
          </cell>
          <cell r="Y20">
            <v>104617.44130000001</v>
          </cell>
          <cell r="Z20">
            <v>105978.2926</v>
          </cell>
          <cell r="AA20">
            <v>107156.1162</v>
          </cell>
          <cell r="AB20">
            <v>108425.72749999999</v>
          </cell>
          <cell r="AC20">
            <v>109717.7346</v>
          </cell>
          <cell r="AD20">
            <v>111031.2625</v>
          </cell>
          <cell r="AE20">
            <v>112367.9185</v>
          </cell>
          <cell r="AF20">
            <v>113729.2766</v>
          </cell>
          <cell r="AG20">
            <v>115119.27680000001</v>
          </cell>
          <cell r="AH20">
            <v>116536.0156</v>
          </cell>
          <cell r="AI20">
            <v>117979.2712</v>
          </cell>
          <cell r="AJ20">
            <v>119448.5132</v>
          </cell>
          <cell r="AK20">
            <v>120942.9381</v>
          </cell>
          <cell r="AL20">
            <v>122440.0569</v>
          </cell>
          <cell r="AM20">
            <v>123953.1761</v>
          </cell>
          <cell r="AN20">
            <v>125483.85219999999</v>
          </cell>
          <cell r="AO20">
            <v>127032.3186</v>
          </cell>
          <cell r="AP20">
            <v>128598.4431</v>
          </cell>
          <cell r="AQ20">
            <v>130186.6529</v>
          </cell>
          <cell r="AR20">
            <v>131792.8493</v>
          </cell>
          <cell r="AS20">
            <v>133416.42129999999</v>
          </cell>
          <cell r="AT20">
            <v>135056.87770000001</v>
          </cell>
          <cell r="AU20">
            <v>136713.7298</v>
          </cell>
          <cell r="AV20">
            <v>138407.58300000001</v>
          </cell>
          <cell r="AW20">
            <v>140120.9394</v>
          </cell>
          <cell r="AX20">
            <v>141851.9044</v>
          </cell>
          <cell r="AY20">
            <v>143599.4852</v>
          </cell>
          <cell r="AZ20">
            <v>145363.01190000001</v>
          </cell>
          <cell r="BA20">
            <v>183022.07269999999</v>
          </cell>
          <cell r="BB20">
            <v>186256.61790000001</v>
          </cell>
          <cell r="BC20">
            <v>189546.32399999999</v>
          </cell>
          <cell r="BD20">
            <v>192891.60990000001</v>
          </cell>
          <cell r="BE20">
            <v>196292.88219999999</v>
          </cell>
        </row>
        <row r="21">
          <cell r="B21">
            <v>80401.828540000002</v>
          </cell>
          <cell r="C21">
            <v>81419.5821</v>
          </cell>
          <cell r="D21">
            <v>82583.786229999998</v>
          </cell>
          <cell r="E21">
            <v>83831.167090000003</v>
          </cell>
          <cell r="F21">
            <v>85141.175480000005</v>
          </cell>
          <cell r="G21">
            <v>86500.723759999993</v>
          </cell>
          <cell r="H21">
            <v>87840.3364</v>
          </cell>
          <cell r="I21">
            <v>89200.271859999993</v>
          </cell>
          <cell r="J21">
            <v>90581.363580000005</v>
          </cell>
          <cell r="K21">
            <v>91982.599520000003</v>
          </cell>
          <cell r="L21">
            <v>93508.939679999996</v>
          </cell>
          <cell r="M21">
            <v>94971.059680000006</v>
          </cell>
          <cell r="N21">
            <v>96441.826799999995</v>
          </cell>
          <cell r="O21">
            <v>97926.689490000004</v>
          </cell>
          <cell r="P21">
            <v>99427.755590000001</v>
          </cell>
          <cell r="Q21">
            <v>100946.7167</v>
          </cell>
          <cell r="R21">
            <v>102485.38159999999</v>
          </cell>
          <cell r="S21">
            <v>104045.7136</v>
          </cell>
          <cell r="T21">
            <v>105629.75</v>
          </cell>
          <cell r="U21">
            <v>107239.5018</v>
          </cell>
          <cell r="V21">
            <v>108798.33440000001</v>
          </cell>
          <cell r="W21">
            <v>110447.6718</v>
          </cell>
          <cell r="X21">
            <v>112135.00350000001</v>
          </cell>
          <cell r="Y21">
            <v>113857.8355</v>
          </cell>
          <cell r="Z21">
            <v>115616.19439999999</v>
          </cell>
          <cell r="AA21">
            <v>117183.57060000001</v>
          </cell>
          <cell r="AB21">
            <v>118855.59910000001</v>
          </cell>
          <cell r="AC21">
            <v>120558.8205</v>
          </cell>
          <cell r="AD21">
            <v>122291.607</v>
          </cell>
          <cell r="AE21">
            <v>124055.00659999999</v>
          </cell>
          <cell r="AF21">
            <v>125850.12880000001</v>
          </cell>
          <cell r="AG21">
            <v>127677.6364</v>
          </cell>
          <cell r="AH21">
            <v>129537.6728</v>
          </cell>
          <cell r="AI21">
            <v>131429.92319999999</v>
          </cell>
          <cell r="AJ21">
            <v>133353.7274</v>
          </cell>
          <cell r="AK21">
            <v>135308.20420000001</v>
          </cell>
          <cell r="AL21">
            <v>137237.11060000001</v>
          </cell>
          <cell r="AM21">
            <v>139181.57689999999</v>
          </cell>
          <cell r="AN21">
            <v>141145.46679999999</v>
          </cell>
          <cell r="AO21">
            <v>143130.1514</v>
          </cell>
          <cell r="AP21">
            <v>145136.4051</v>
          </cell>
          <cell r="AQ21">
            <v>147164.78260000001</v>
          </cell>
          <cell r="AR21">
            <v>149215.6882</v>
          </cell>
          <cell r="AS21">
            <v>151289.3885</v>
          </cell>
          <cell r="AT21">
            <v>153386.02650000001</v>
          </cell>
          <cell r="AU21">
            <v>155505.6508</v>
          </cell>
          <cell r="AV21">
            <v>157653.3051</v>
          </cell>
          <cell r="AW21">
            <v>159825.125</v>
          </cell>
          <cell r="AX21">
            <v>162020.68169999999</v>
          </cell>
          <cell r="AY21">
            <v>164239.80489999999</v>
          </cell>
          <cell r="AZ21">
            <v>166482.45860000001</v>
          </cell>
          <cell r="BA21">
            <v>183905.85140000001</v>
          </cell>
          <cell r="BB21">
            <v>187177.02359999999</v>
          </cell>
          <cell r="BC21">
            <v>190503.01850000001</v>
          </cell>
          <cell r="BD21">
            <v>193884.32029999999</v>
          </cell>
          <cell r="BE21">
            <v>197321.42540000001</v>
          </cell>
        </row>
        <row r="22">
          <cell r="B22">
            <v>78014.263149999999</v>
          </cell>
          <cell r="C22">
            <v>78888.574649999995</v>
          </cell>
          <cell r="D22">
            <v>79938.865099999995</v>
          </cell>
          <cell r="E22">
            <v>81052.825750000004</v>
          </cell>
          <cell r="F22">
            <v>82204.96243</v>
          </cell>
          <cell r="G22">
            <v>83379.872829999993</v>
          </cell>
          <cell r="H22">
            <v>84491.048269999999</v>
          </cell>
          <cell r="I22">
            <v>85602.092449999996</v>
          </cell>
          <cell r="J22">
            <v>86710.494619999998</v>
          </cell>
          <cell r="K22">
            <v>87813.861550000001</v>
          </cell>
          <cell r="L22">
            <v>88762.405299999999</v>
          </cell>
          <cell r="M22">
            <v>90026.012619999994</v>
          </cell>
          <cell r="N22">
            <v>91287.964940000005</v>
          </cell>
          <cell r="O22">
            <v>92542.320349999995</v>
          </cell>
          <cell r="P22">
            <v>93788.231060000006</v>
          </cell>
          <cell r="Q22">
            <v>95026.958350000001</v>
          </cell>
          <cell r="R22">
            <v>96247.187839999999</v>
          </cell>
          <cell r="S22">
            <v>97464.307270000005</v>
          </cell>
          <cell r="T22">
            <v>98681.354219999994</v>
          </cell>
          <cell r="U22">
            <v>99901.279680000007</v>
          </cell>
          <cell r="V22">
            <v>101038.52099999999</v>
          </cell>
          <cell r="W22">
            <v>102267.446</v>
          </cell>
          <cell r="X22">
            <v>103510.6164</v>
          </cell>
          <cell r="Y22">
            <v>104769.18309999999</v>
          </cell>
          <cell r="Z22">
            <v>106045.012</v>
          </cell>
          <cell r="AA22">
            <v>107088.1635</v>
          </cell>
          <cell r="AB22">
            <v>108275.4351</v>
          </cell>
          <cell r="AC22">
            <v>109484.19070000001</v>
          </cell>
          <cell r="AD22">
            <v>110715.36040000001</v>
          </cell>
          <cell r="AE22">
            <v>111970.41959999999</v>
          </cell>
          <cell r="AF22">
            <v>113250.59050000001</v>
          </cell>
          <cell r="AG22">
            <v>114560.6523</v>
          </cell>
          <cell r="AH22">
            <v>115897.1606</v>
          </cell>
          <cell r="AI22">
            <v>117259.92909999999</v>
          </cell>
          <cell r="AJ22">
            <v>118648.4711</v>
          </cell>
          <cell r="AK22">
            <v>120062.0788</v>
          </cell>
          <cell r="AL22">
            <v>121478.36930000001</v>
          </cell>
          <cell r="AM22">
            <v>122915.6024</v>
          </cell>
          <cell r="AN22">
            <v>124374.1039</v>
          </cell>
          <cell r="AO22">
            <v>125853.6122</v>
          </cell>
          <cell r="AP22">
            <v>127353.7279</v>
          </cell>
          <cell r="AQ22">
            <v>128880.51270000001</v>
          </cell>
          <cell r="AR22">
            <v>130427.5413</v>
          </cell>
          <cell r="AS22">
            <v>131994.28630000001</v>
          </cell>
          <cell r="AT22">
            <v>133580.24710000001</v>
          </cell>
          <cell r="AU22">
            <v>135184.929</v>
          </cell>
          <cell r="AV22">
            <v>136836.397</v>
          </cell>
          <cell r="AW22">
            <v>138507.73639999999</v>
          </cell>
          <cell r="AX22">
            <v>140197.95240000001</v>
          </cell>
          <cell r="AY22">
            <v>141906.3702</v>
          </cell>
          <cell r="AZ22">
            <v>143632.50459999999</v>
          </cell>
          <cell r="BA22">
            <v>183523.55319999999</v>
          </cell>
          <cell r="BB22">
            <v>186745.99849999999</v>
          </cell>
          <cell r="BC22">
            <v>190030.42559999999</v>
          </cell>
          <cell r="BD22">
            <v>193377.65919999999</v>
          </cell>
          <cell r="BE22">
            <v>196788.48449999999</v>
          </cell>
        </row>
        <row r="23">
          <cell r="B23">
            <v>81289.904599999994</v>
          </cell>
          <cell r="C23">
            <v>82527.293669999999</v>
          </cell>
          <cell r="D23">
            <v>83884.974929999997</v>
          </cell>
          <cell r="E23">
            <v>85288.086410000004</v>
          </cell>
          <cell r="F23">
            <v>86725.831200000001</v>
          </cell>
          <cell r="G23">
            <v>88189.611059999996</v>
          </cell>
          <cell r="H23">
            <v>89597.834189999994</v>
          </cell>
          <cell r="I23">
            <v>91015.275599999994</v>
          </cell>
          <cell r="J23">
            <v>92441.625400000004</v>
          </cell>
          <cell r="K23">
            <v>93876.618000000002</v>
          </cell>
          <cell r="L23">
            <v>95451.857829999994</v>
          </cell>
          <cell r="M23">
            <v>96914.087440000003</v>
          </cell>
          <cell r="N23">
            <v>98382.75533</v>
          </cell>
          <cell r="O23">
            <v>99861.22567</v>
          </cell>
          <cell r="P23">
            <v>101351.8299</v>
          </cell>
          <cell r="Q23">
            <v>102856.81329999999</v>
          </cell>
          <cell r="R23">
            <v>104378.5174</v>
          </cell>
          <cell r="S23">
            <v>105919.35769999999</v>
          </cell>
          <cell r="T23">
            <v>107481.7453</v>
          </cell>
          <cell r="U23">
            <v>109068.00260000001</v>
          </cell>
          <cell r="V23">
            <v>110583.0171</v>
          </cell>
          <cell r="W23">
            <v>112216.7242</v>
          </cell>
          <cell r="X23">
            <v>113883.28350000001</v>
          </cell>
          <cell r="Y23">
            <v>115582.8073</v>
          </cell>
          <cell r="Z23">
            <v>117316.13129999999</v>
          </cell>
          <cell r="AA23">
            <v>118803.1263</v>
          </cell>
          <cell r="AB23">
            <v>120453.5984</v>
          </cell>
          <cell r="AC23">
            <v>122137.7059</v>
          </cell>
          <cell r="AD23">
            <v>123855.7461</v>
          </cell>
          <cell r="AE23">
            <v>125608.7101</v>
          </cell>
          <cell r="AF23">
            <v>127397.4348</v>
          </cell>
          <cell r="AG23">
            <v>129222.38310000001</v>
          </cell>
          <cell r="AH23">
            <v>131083.61189999999</v>
          </cell>
          <cell r="AI23">
            <v>132980.82519999999</v>
          </cell>
          <cell r="AJ23">
            <v>134913.46590000001</v>
          </cell>
          <cell r="AK23">
            <v>136880.81690000001</v>
          </cell>
          <cell r="AL23">
            <v>138813.6539</v>
          </cell>
          <cell r="AM23">
            <v>140773.98560000001</v>
          </cell>
          <cell r="AN23">
            <v>142763.17420000001</v>
          </cell>
          <cell r="AO23">
            <v>144781.70120000001</v>
          </cell>
          <cell r="AP23">
            <v>146829.82509999999</v>
          </cell>
          <cell r="AQ23">
            <v>148907.71909999999</v>
          </cell>
          <cell r="AR23">
            <v>151015.48300000001</v>
          </cell>
          <cell r="AS23">
            <v>153153.13320000001</v>
          </cell>
          <cell r="AT23">
            <v>155320.6048</v>
          </cell>
          <cell r="AU23">
            <v>157517.76819999999</v>
          </cell>
          <cell r="AV23">
            <v>159750.7145</v>
          </cell>
          <cell r="AW23">
            <v>162013.5374</v>
          </cell>
          <cell r="AX23">
            <v>164305.89989999999</v>
          </cell>
          <cell r="AY23">
            <v>166627.57370000001</v>
          </cell>
          <cell r="AZ23">
            <v>168978.4228</v>
          </cell>
          <cell r="BA23">
            <v>184523.6764</v>
          </cell>
          <cell r="BB23">
            <v>187799.9662</v>
          </cell>
          <cell r="BC23">
            <v>191139.277</v>
          </cell>
          <cell r="BD23">
            <v>194542.50580000001</v>
          </cell>
          <cell r="BE23">
            <v>198010.52179999999</v>
          </cell>
        </row>
        <row r="24">
          <cell r="B24">
            <v>102614.3057</v>
          </cell>
          <cell r="C24">
            <v>103188.24460000001</v>
          </cell>
          <cell r="D24">
            <v>104105.93120000001</v>
          </cell>
          <cell r="E24">
            <v>105224.49619999999</v>
          </cell>
          <cell r="F24">
            <v>106487.28049999999</v>
          </cell>
          <cell r="G24">
            <v>107859.2081</v>
          </cell>
          <cell r="H24">
            <v>109245.4727</v>
          </cell>
          <cell r="I24">
            <v>110675.708</v>
          </cell>
          <cell r="J24">
            <v>112145.3775</v>
          </cell>
          <cell r="K24">
            <v>113648.8573</v>
          </cell>
          <cell r="L24">
            <v>115118.78660000001</v>
          </cell>
          <cell r="M24">
            <v>116796.4832</v>
          </cell>
          <cell r="N24">
            <v>118517.30929999999</v>
          </cell>
          <cell r="O24">
            <v>120264.9771</v>
          </cell>
          <cell r="P24">
            <v>122032.94100000001</v>
          </cell>
          <cell r="Q24">
            <v>123818.24280000001</v>
          </cell>
          <cell r="R24">
            <v>125611.0261</v>
          </cell>
          <cell r="S24">
            <v>127417.5576</v>
          </cell>
          <cell r="T24">
            <v>129238.8579</v>
          </cell>
          <cell r="U24">
            <v>131076.0588</v>
          </cell>
          <cell r="V24">
            <v>132844.8316</v>
          </cell>
          <cell r="W24">
            <v>134688.212</v>
          </cell>
          <cell r="X24">
            <v>136562.1054</v>
          </cell>
          <cell r="Y24">
            <v>138463.9209</v>
          </cell>
          <cell r="Z24">
            <v>140393.7586</v>
          </cell>
          <cell r="AA24">
            <v>142106.9431</v>
          </cell>
          <cell r="AB24">
            <v>143896.76259999999</v>
          </cell>
          <cell r="AC24">
            <v>145704.55679999999</v>
          </cell>
          <cell r="AD24">
            <v>147531.859</v>
          </cell>
          <cell r="AE24">
            <v>149382.30170000001</v>
          </cell>
          <cell r="AF24">
            <v>151259.1544</v>
          </cell>
          <cell r="AG24">
            <v>153167.37820000001</v>
          </cell>
          <cell r="AH24">
            <v>155106.5312</v>
          </cell>
          <cell r="AI24">
            <v>157077.09150000001</v>
          </cell>
          <cell r="AJ24">
            <v>159079.02720000001</v>
          </cell>
          <cell r="AK24">
            <v>161111.9417</v>
          </cell>
          <cell r="AL24">
            <v>163141.2144</v>
          </cell>
          <cell r="AM24">
            <v>165184.9436</v>
          </cell>
          <cell r="AN24">
            <v>167247.1416</v>
          </cell>
          <cell r="AO24">
            <v>169329.82320000001</v>
          </cell>
          <cell r="AP24">
            <v>171434.4179</v>
          </cell>
          <cell r="AQ24">
            <v>173566.26680000001</v>
          </cell>
          <cell r="AR24">
            <v>175723.20430000001</v>
          </cell>
          <cell r="AS24">
            <v>177905.5019</v>
          </cell>
          <cell r="AT24">
            <v>180113.27859999999</v>
          </cell>
          <cell r="AU24">
            <v>182346.48370000001</v>
          </cell>
          <cell r="AV24">
            <v>184625.2359</v>
          </cell>
          <cell r="AW24">
            <v>186934.98759999999</v>
          </cell>
          <cell r="AX24">
            <v>189273.62789999999</v>
          </cell>
          <cell r="AY24">
            <v>191639.80650000001</v>
          </cell>
          <cell r="AZ24">
            <v>194032.5937</v>
          </cell>
          <cell r="BA24">
            <v>237062.62289999999</v>
          </cell>
          <cell r="BB24">
            <v>241147.1697</v>
          </cell>
          <cell r="BC24">
            <v>245299.2776</v>
          </cell>
          <cell r="BD24">
            <v>249519.81039999999</v>
          </cell>
          <cell r="BE24">
            <v>253809.6715</v>
          </cell>
        </row>
        <row r="25">
          <cell r="B25">
            <v>104800.5695</v>
          </cell>
          <cell r="C25">
            <v>105992.8845</v>
          </cell>
          <cell r="D25">
            <v>107370.0024</v>
          </cell>
          <cell r="E25">
            <v>108879.9929</v>
          </cell>
          <cell r="F25">
            <v>110498.606</v>
          </cell>
          <cell r="G25">
            <v>112206.4584</v>
          </cell>
          <cell r="H25">
            <v>113918.705</v>
          </cell>
          <cell r="I25">
            <v>115670.3842</v>
          </cell>
          <cell r="J25">
            <v>117461.4638</v>
          </cell>
          <cell r="K25">
            <v>119289.95600000001</v>
          </cell>
          <cell r="L25">
            <v>121276.9945</v>
          </cell>
          <cell r="M25">
            <v>123216.2996</v>
          </cell>
          <cell r="N25">
            <v>125172.7871</v>
          </cell>
          <cell r="O25">
            <v>127151.1471</v>
          </cell>
          <cell r="P25">
            <v>129152.7248</v>
          </cell>
          <cell r="Q25">
            <v>131178.52129999999</v>
          </cell>
          <cell r="R25">
            <v>133229.79980000001</v>
          </cell>
          <cell r="S25">
            <v>135308.11189999999</v>
          </cell>
          <cell r="T25">
            <v>137415.17989999999</v>
          </cell>
          <cell r="U25">
            <v>139552.76920000001</v>
          </cell>
          <cell r="V25">
            <v>141630.89840000001</v>
          </cell>
          <cell r="W25">
            <v>143802.68789999999</v>
          </cell>
          <cell r="X25">
            <v>146020.35380000001</v>
          </cell>
          <cell r="Y25">
            <v>148280.81090000001</v>
          </cell>
          <cell r="Z25">
            <v>150583.60380000001</v>
          </cell>
          <cell r="AA25">
            <v>152663.49840000001</v>
          </cell>
          <cell r="AB25">
            <v>154832.3621</v>
          </cell>
          <cell r="AC25">
            <v>157028.40640000001</v>
          </cell>
          <cell r="AD25">
            <v>159252.85</v>
          </cell>
          <cell r="AE25">
            <v>161509.1182</v>
          </cell>
          <cell r="AF25">
            <v>163800.2549</v>
          </cell>
          <cell r="AG25">
            <v>166128.38380000001</v>
          </cell>
          <cell r="AH25">
            <v>168494.70069999999</v>
          </cell>
          <cell r="AI25">
            <v>170899.63810000001</v>
          </cell>
          <cell r="AJ25">
            <v>173343.07990000001</v>
          </cell>
          <cell r="AK25">
            <v>175824.56880000001</v>
          </cell>
          <cell r="AL25">
            <v>178278.90979999999</v>
          </cell>
          <cell r="AM25">
            <v>180746.6599</v>
          </cell>
          <cell r="AN25">
            <v>183234.3976</v>
          </cell>
          <cell r="AO25">
            <v>185745.81049999999</v>
          </cell>
          <cell r="AP25">
            <v>188283.63080000001</v>
          </cell>
          <cell r="AQ25">
            <v>190850.03940000001</v>
          </cell>
          <cell r="AR25">
            <v>193446.74729999999</v>
          </cell>
          <cell r="AS25">
            <v>196075.03159999999</v>
          </cell>
          <cell r="AT25">
            <v>198735.79440000001</v>
          </cell>
          <cell r="AU25">
            <v>201429.6496</v>
          </cell>
          <cell r="AV25">
            <v>204162.93169999999</v>
          </cell>
          <cell r="AW25">
            <v>206932.2616</v>
          </cell>
          <cell r="AX25">
            <v>209737.29430000001</v>
          </cell>
          <cell r="AY25">
            <v>212577.74950000001</v>
          </cell>
          <cell r="AZ25">
            <v>215453.4719</v>
          </cell>
          <cell r="BA25">
            <v>237783.5478</v>
          </cell>
          <cell r="BB25">
            <v>241895.67249999999</v>
          </cell>
          <cell r="BC25">
            <v>246074.98370000001</v>
          </cell>
          <cell r="BD25">
            <v>250322.47320000001</v>
          </cell>
          <cell r="BE25">
            <v>254639.1814</v>
          </cell>
        </row>
        <row r="26">
          <cell r="B26">
            <v>269691.69939999998</v>
          </cell>
          <cell r="C26">
            <v>271822.18569999997</v>
          </cell>
          <cell r="D26">
            <v>274416.17310000001</v>
          </cell>
          <cell r="E26">
            <v>277404.72769999999</v>
          </cell>
          <cell r="F26">
            <v>280711.9644</v>
          </cell>
          <cell r="G26">
            <v>284277.05589999998</v>
          </cell>
          <cell r="H26">
            <v>287956.20779999997</v>
          </cell>
          <cell r="I26">
            <v>291744.08020000003</v>
          </cell>
          <cell r="J26">
            <v>295643.04700000002</v>
          </cell>
          <cell r="K26">
            <v>299657.17440000002</v>
          </cell>
          <cell r="L26">
            <v>303836.9068</v>
          </cell>
          <cell r="M26">
            <v>308217.45909999998</v>
          </cell>
          <cell r="N26">
            <v>312778.12150000001</v>
          </cell>
          <cell r="O26">
            <v>317502.13</v>
          </cell>
          <cell r="P26">
            <v>322380.29849999998</v>
          </cell>
          <cell r="Q26">
            <v>327408.75</v>
          </cell>
          <cell r="R26">
            <v>332579.72720000002</v>
          </cell>
          <cell r="S26">
            <v>337893.73790000001</v>
          </cell>
          <cell r="T26">
            <v>343351.85680000001</v>
          </cell>
          <cell r="U26">
            <v>348954.8603</v>
          </cell>
          <cell r="V26">
            <v>354573.04710000003</v>
          </cell>
          <cell r="W26">
            <v>360358.20110000001</v>
          </cell>
          <cell r="X26">
            <v>366305.38870000001</v>
          </cell>
          <cell r="Y26">
            <v>372409.33559999999</v>
          </cell>
          <cell r="Z26">
            <v>378665.88380000001</v>
          </cell>
          <cell r="AA26">
            <v>384694.4999</v>
          </cell>
          <cell r="AB26">
            <v>390755.6643</v>
          </cell>
          <cell r="AC26">
            <v>396861.32650000002</v>
          </cell>
          <cell r="AD26">
            <v>403017.78980000003</v>
          </cell>
          <cell r="AE26">
            <v>409229.87589999998</v>
          </cell>
          <cell r="AF26">
            <v>415501.0441</v>
          </cell>
          <cell r="AG26">
            <v>421835.27639999997</v>
          </cell>
          <cell r="AH26">
            <v>428232.7058</v>
          </cell>
          <cell r="AI26">
            <v>434691.74839999998</v>
          </cell>
          <cell r="AJ26">
            <v>441209.5784</v>
          </cell>
          <cell r="AK26">
            <v>447782.58960000001</v>
          </cell>
          <cell r="AL26">
            <v>454334.98220000003</v>
          </cell>
          <cell r="AM26">
            <v>460875.53110000002</v>
          </cell>
          <cell r="AN26">
            <v>467408.86459999997</v>
          </cell>
          <cell r="AO26">
            <v>473937.11060000001</v>
          </cell>
          <cell r="AP26">
            <v>480461.67709999997</v>
          </cell>
          <cell r="AQ26">
            <v>486987.48479999998</v>
          </cell>
          <cell r="AR26">
            <v>493515.96480000002</v>
          </cell>
          <cell r="AS26">
            <v>500048.12719999999</v>
          </cell>
          <cell r="AT26">
            <v>506584.71240000002</v>
          </cell>
          <cell r="AU26">
            <v>513126.29930000001</v>
          </cell>
          <cell r="AV26">
            <v>519694.30359999998</v>
          </cell>
          <cell r="AW26">
            <v>526287.5355</v>
          </cell>
          <cell r="AX26">
            <v>532903.73349999997</v>
          </cell>
          <cell r="AY26">
            <v>539540.87760000001</v>
          </cell>
          <cell r="AZ26">
            <v>546197.81050000002</v>
          </cell>
          <cell r="BA26">
            <v>696884.66639999999</v>
          </cell>
          <cell r="BB26">
            <v>709947.75120000006</v>
          </cell>
          <cell r="BC26">
            <v>723115.34360000002</v>
          </cell>
          <cell r="BD26">
            <v>736382.24600000004</v>
          </cell>
          <cell r="BE26">
            <v>749743.90249999997</v>
          </cell>
        </row>
        <row r="27">
          <cell r="B27">
            <v>271361.6054</v>
          </cell>
          <cell r="C27">
            <v>274962.2758</v>
          </cell>
          <cell r="D27">
            <v>278828.43729999999</v>
          </cell>
          <cell r="E27">
            <v>282962.74920000002</v>
          </cell>
          <cell r="F27">
            <v>287353.39520000003</v>
          </cell>
          <cell r="G27">
            <v>291984.18800000002</v>
          </cell>
          <cell r="H27">
            <v>296738.6789</v>
          </cell>
          <cell r="I27">
            <v>301625.3247</v>
          </cell>
          <cell r="J27">
            <v>306653.13199999998</v>
          </cell>
          <cell r="K27">
            <v>311829.37219999998</v>
          </cell>
          <cell r="L27">
            <v>317340.60080000001</v>
          </cell>
          <cell r="M27">
            <v>322978.59989999997</v>
          </cell>
          <cell r="N27">
            <v>328750.38709999999</v>
          </cell>
          <cell r="O27">
            <v>334661.81510000001</v>
          </cell>
          <cell r="P27">
            <v>340715.97259999998</v>
          </cell>
          <cell r="Q27">
            <v>346914.46480000002</v>
          </cell>
          <cell r="R27">
            <v>353258.26</v>
          </cell>
          <cell r="S27">
            <v>359748.03450000001</v>
          </cell>
          <cell r="T27">
            <v>366384.20110000001</v>
          </cell>
          <cell r="U27">
            <v>373166.80440000002</v>
          </cell>
          <cell r="V27">
            <v>379958.37400000001</v>
          </cell>
          <cell r="W27">
            <v>386916.3602</v>
          </cell>
          <cell r="X27">
            <v>394035.67930000002</v>
          </cell>
          <cell r="Y27">
            <v>401310.39569999999</v>
          </cell>
          <cell r="Z27">
            <v>408735.31199999998</v>
          </cell>
          <cell r="AA27">
            <v>415905.05349999998</v>
          </cell>
          <cell r="AB27">
            <v>423085.16409999999</v>
          </cell>
          <cell r="AC27">
            <v>430286.96549999999</v>
          </cell>
          <cell r="AD27">
            <v>437516.31660000002</v>
          </cell>
          <cell r="AE27">
            <v>444777.72619999998</v>
          </cell>
          <cell r="AF27">
            <v>452074.26919999998</v>
          </cell>
          <cell r="AG27">
            <v>459407.30670000002</v>
          </cell>
          <cell r="AH27">
            <v>466776.43890000001</v>
          </cell>
          <cell r="AI27">
            <v>474179.728</v>
          </cell>
          <cell r="AJ27">
            <v>481614.09769999998</v>
          </cell>
          <cell r="AK27">
            <v>489075.79619999998</v>
          </cell>
          <cell r="AL27">
            <v>496462.12060000002</v>
          </cell>
          <cell r="AM27">
            <v>503782.71460000001</v>
          </cell>
          <cell r="AN27">
            <v>511045.86040000001</v>
          </cell>
          <cell r="AO27">
            <v>518258.12199999997</v>
          </cell>
          <cell r="AP27">
            <v>525425.16540000006</v>
          </cell>
          <cell r="AQ27">
            <v>532552.15760000004</v>
          </cell>
          <cell r="AR27">
            <v>539643.88320000004</v>
          </cell>
          <cell r="AS27">
            <v>546704.76870000002</v>
          </cell>
          <cell r="AT27">
            <v>553738.92850000004</v>
          </cell>
          <cell r="AU27">
            <v>560750.27220000001</v>
          </cell>
          <cell r="AV27">
            <v>567751.66139999998</v>
          </cell>
          <cell r="AW27">
            <v>574745.79299999995</v>
          </cell>
          <cell r="AX27">
            <v>581735.78150000004</v>
          </cell>
          <cell r="AY27">
            <v>588725.14480000001</v>
          </cell>
          <cell r="AZ27">
            <v>595717.95730000001</v>
          </cell>
          <cell r="BA27">
            <v>696433.33770000003</v>
          </cell>
          <cell r="BB27">
            <v>709265.26879999996</v>
          </cell>
          <cell r="BC27">
            <v>722177.89289999998</v>
          </cell>
          <cell r="BD27">
            <v>735166.22560000001</v>
          </cell>
          <cell r="BE27">
            <v>748226.09380000003</v>
          </cell>
        </row>
        <row r="28">
          <cell r="B28">
            <v>6696.0349130000004</v>
          </cell>
          <cell r="C28">
            <v>6740.7376439999998</v>
          </cell>
          <cell r="D28">
            <v>6797.4843039999996</v>
          </cell>
          <cell r="E28">
            <v>6862.9555339999997</v>
          </cell>
          <cell r="F28">
            <v>6936.1607020000001</v>
          </cell>
          <cell r="G28">
            <v>7016.0060370000001</v>
          </cell>
          <cell r="H28">
            <v>7097.2550620000002</v>
          </cell>
          <cell r="I28">
            <v>7181.6025280000003</v>
          </cell>
          <cell r="J28">
            <v>7268.6264920000003</v>
          </cell>
          <cell r="K28">
            <v>7357.8257569999996</v>
          </cell>
          <cell r="L28">
            <v>7447.2099250000001</v>
          </cell>
          <cell r="M28">
            <v>7545.4170960000001</v>
          </cell>
          <cell r="N28">
            <v>7645.7348789999996</v>
          </cell>
          <cell r="O28">
            <v>7747.4239719999996</v>
          </cell>
          <cell r="P28">
            <v>7850.1269540000003</v>
          </cell>
          <cell r="Q28">
            <v>7953.6273350000001</v>
          </cell>
          <cell r="R28">
            <v>8057.3755970000002</v>
          </cell>
          <cell r="S28">
            <v>8161.5964919999997</v>
          </cell>
          <cell r="T28">
            <v>8266.2891519999994</v>
          </cell>
          <cell r="U28">
            <v>8371.4760829999996</v>
          </cell>
          <cell r="V28">
            <v>8472.1811620000008</v>
          </cell>
          <cell r="W28">
            <v>8576.8215459999992</v>
          </cell>
          <cell r="X28">
            <v>8682.7495679999993</v>
          </cell>
          <cell r="Y28">
            <v>8789.8215259999997</v>
          </cell>
          <cell r="Z28">
            <v>8898.0601339999994</v>
          </cell>
          <cell r="AA28">
            <v>8993.1400470000008</v>
          </cell>
          <cell r="AB28">
            <v>9092.377939</v>
          </cell>
          <cell r="AC28">
            <v>9192.2808850000001</v>
          </cell>
          <cell r="AD28">
            <v>9292.9720269999998</v>
          </cell>
          <cell r="AE28">
            <v>9394.7188979999992</v>
          </cell>
          <cell r="AF28">
            <v>9497.7611030000007</v>
          </cell>
          <cell r="AG28">
            <v>9602.3997510000008</v>
          </cell>
          <cell r="AH28">
            <v>9708.6631870000001</v>
          </cell>
          <cell r="AI28">
            <v>9816.6087800000005</v>
          </cell>
          <cell r="AJ28">
            <v>9926.2603899999995</v>
          </cell>
          <cell r="AK28">
            <v>10037.61793</v>
          </cell>
          <cell r="AL28">
            <v>10148.41516</v>
          </cell>
          <cell r="AM28">
            <v>10259.99396</v>
          </cell>
          <cell r="AN28">
            <v>10372.61789</v>
          </cell>
          <cell r="AO28">
            <v>10486.42834</v>
          </cell>
          <cell r="AP28">
            <v>10601.53256</v>
          </cell>
          <cell r="AQ28">
            <v>10718.21686</v>
          </cell>
          <cell r="AR28">
            <v>10836.40473</v>
          </cell>
          <cell r="AS28">
            <v>10956.124449999999</v>
          </cell>
          <cell r="AT28">
            <v>11077.39013</v>
          </cell>
          <cell r="AU28">
            <v>11200.20227</v>
          </cell>
          <cell r="AV28">
            <v>11325.570460000001</v>
          </cell>
          <cell r="AW28">
            <v>11452.76664</v>
          </cell>
          <cell r="AX28">
            <v>11581.678959999999</v>
          </cell>
          <cell r="AY28">
            <v>11712.234280000001</v>
          </cell>
          <cell r="AZ28">
            <v>11844.379059999999</v>
          </cell>
          <cell r="BA28">
            <v>13889.72669</v>
          </cell>
          <cell r="BB28">
            <v>14101.70952</v>
          </cell>
          <cell r="BC28">
            <v>14317.214830000001</v>
          </cell>
          <cell r="BD28">
            <v>14536.30652</v>
          </cell>
          <cell r="BE28">
            <v>14759.04989</v>
          </cell>
        </row>
        <row r="29">
          <cell r="B29">
            <v>6796.2633029999997</v>
          </cell>
          <cell r="C29">
            <v>6871.5918590000001</v>
          </cell>
          <cell r="D29">
            <v>6952.4412899999998</v>
          </cell>
          <cell r="E29">
            <v>7038.8415439999999</v>
          </cell>
          <cell r="F29">
            <v>7130.7826869999999</v>
          </cell>
          <cell r="G29">
            <v>7227.7094880000004</v>
          </cell>
          <cell r="H29">
            <v>7324.8474029999998</v>
          </cell>
          <cell r="I29">
            <v>7424.2270269999999</v>
          </cell>
          <cell r="J29">
            <v>7525.7502780000004</v>
          </cell>
          <cell r="K29">
            <v>7629.1993780000003</v>
          </cell>
          <cell r="L29">
            <v>7741.5250249999999</v>
          </cell>
          <cell r="M29">
            <v>7850.6579350000002</v>
          </cell>
          <cell r="N29">
            <v>7960.3621670000002</v>
          </cell>
          <cell r="O29">
            <v>8070.8638659999997</v>
          </cell>
          <cell r="P29">
            <v>8182.2012750000004</v>
          </cell>
          <cell r="Q29">
            <v>8294.4116529999992</v>
          </cell>
          <cell r="R29">
            <v>8407.5605890000006</v>
          </cell>
          <cell r="S29">
            <v>8521.7375919999995</v>
          </cell>
          <cell r="T29">
            <v>8637.0460700000003</v>
          </cell>
          <cell r="U29">
            <v>8753.5945869999996</v>
          </cell>
          <cell r="V29">
            <v>8866.1969399999998</v>
          </cell>
          <cell r="W29">
            <v>8983.749726</v>
          </cell>
          <cell r="X29">
            <v>9103.4561819999999</v>
          </cell>
          <cell r="Y29">
            <v>9225.1620170000006</v>
          </cell>
          <cell r="Z29">
            <v>9348.8693679999997</v>
          </cell>
          <cell r="AA29">
            <v>9459.3364739999997</v>
          </cell>
          <cell r="AB29">
            <v>9574.6901070000004</v>
          </cell>
          <cell r="AC29">
            <v>9691.2905530000007</v>
          </cell>
          <cell r="AD29">
            <v>9809.2419690000006</v>
          </cell>
          <cell r="AE29">
            <v>9928.7966969999998</v>
          </cell>
          <cell r="AF29">
            <v>10050.177</v>
          </cell>
          <cell r="AG29">
            <v>10173.54141</v>
          </cell>
          <cell r="AH29">
            <v>10298.98698</v>
          </cell>
          <cell r="AI29">
            <v>10426.56148</v>
          </cell>
          <cell r="AJ29">
            <v>10556.277389999999</v>
          </cell>
          <cell r="AK29">
            <v>10688.12473</v>
          </cell>
          <cell r="AL29">
            <v>10818.39265</v>
          </cell>
          <cell r="AM29">
            <v>10949.46027</v>
          </cell>
          <cell r="AN29">
            <v>11081.70709</v>
          </cell>
          <cell r="AO29">
            <v>11215.34967</v>
          </cell>
          <cell r="AP29">
            <v>11350.555630000001</v>
          </cell>
          <cell r="AQ29">
            <v>11487.46148</v>
          </cell>
          <cell r="AR29">
            <v>11626.1739</v>
          </cell>
          <cell r="AS29">
            <v>11766.7708</v>
          </cell>
          <cell r="AT29">
            <v>11909.304910000001</v>
          </cell>
          <cell r="AU29">
            <v>12053.809139999999</v>
          </cell>
          <cell r="AV29">
            <v>12200.637720000001</v>
          </cell>
          <cell r="AW29">
            <v>12349.58569</v>
          </cell>
          <cell r="AX29">
            <v>12500.625019999999</v>
          </cell>
          <cell r="AY29">
            <v>12653.73287</v>
          </cell>
          <cell r="AZ29">
            <v>12808.89099</v>
          </cell>
          <cell r="BA29">
            <v>13924.567080000001</v>
          </cell>
          <cell r="BB29">
            <v>14138.27967</v>
          </cell>
          <cell r="BC29">
            <v>14355.5419</v>
          </cell>
          <cell r="BD29">
            <v>14576.423720000001</v>
          </cell>
          <cell r="BE29">
            <v>14800.996429999999</v>
          </cell>
        </row>
        <row r="30">
          <cell r="B30">
            <v>77033.825819999998</v>
          </cell>
          <cell r="C30">
            <v>77548.103659999993</v>
          </cell>
          <cell r="D30">
            <v>78200.939620000005</v>
          </cell>
          <cell r="E30">
            <v>78954.14645</v>
          </cell>
          <cell r="F30">
            <v>79796.327569999994</v>
          </cell>
          <cell r="G30">
            <v>80714.899789999996</v>
          </cell>
          <cell r="H30">
            <v>81649.620609999998</v>
          </cell>
          <cell r="I30">
            <v>82619.987110000002</v>
          </cell>
          <cell r="J30">
            <v>83621.145109999998</v>
          </cell>
          <cell r="K30">
            <v>84647.32862</v>
          </cell>
          <cell r="L30">
            <v>85675.639339999994</v>
          </cell>
          <cell r="M30">
            <v>86805.45336</v>
          </cell>
          <cell r="N30">
            <v>87959.548689999996</v>
          </cell>
          <cell r="O30">
            <v>89129.420110000006</v>
          </cell>
          <cell r="P30">
            <v>90310.955700000006</v>
          </cell>
          <cell r="Q30">
            <v>91501.664900000003</v>
          </cell>
          <cell r="R30">
            <v>92695.225810000004</v>
          </cell>
          <cell r="S30">
            <v>93894.22408</v>
          </cell>
          <cell r="T30">
            <v>95098.649709999998</v>
          </cell>
          <cell r="U30">
            <v>96308.761639999997</v>
          </cell>
          <cell r="V30">
            <v>97467.312579999998</v>
          </cell>
          <cell r="W30">
            <v>98671.136809999996</v>
          </cell>
          <cell r="X30">
            <v>99889.774550000002</v>
          </cell>
          <cell r="Y30">
            <v>101121.5726</v>
          </cell>
          <cell r="Z30">
            <v>102366.7922</v>
          </cell>
          <cell r="AA30">
            <v>103460.629</v>
          </cell>
          <cell r="AB30">
            <v>104602.3008</v>
          </cell>
          <cell r="AC30">
            <v>105751.6237</v>
          </cell>
          <cell r="AD30">
            <v>106910.0143</v>
          </cell>
          <cell r="AE30">
            <v>108080.55039999999</v>
          </cell>
          <cell r="AF30">
            <v>109265.9886</v>
          </cell>
          <cell r="AG30">
            <v>110469.7929</v>
          </cell>
          <cell r="AH30">
            <v>111692.2893</v>
          </cell>
          <cell r="AI30">
            <v>112934.13800000001</v>
          </cell>
          <cell r="AJ30">
            <v>114195.6133</v>
          </cell>
          <cell r="AK30">
            <v>115476.7144</v>
          </cell>
          <cell r="AL30">
            <v>116751.3694</v>
          </cell>
          <cell r="AM30">
            <v>118035.0159</v>
          </cell>
          <cell r="AN30">
            <v>119330.68610000001</v>
          </cell>
          <cell r="AO30">
            <v>120640.00629999999</v>
          </cell>
          <cell r="AP30">
            <v>121964.2107</v>
          </cell>
          <cell r="AQ30">
            <v>123306.5929</v>
          </cell>
          <cell r="AR30">
            <v>124666.2727</v>
          </cell>
          <cell r="AS30">
            <v>126043.5756</v>
          </cell>
          <cell r="AT30">
            <v>127438.66379999999</v>
          </cell>
          <cell r="AU30">
            <v>128851.5431</v>
          </cell>
          <cell r="AV30">
            <v>130293.8281</v>
          </cell>
          <cell r="AW30">
            <v>131757.14309999999</v>
          </cell>
          <cell r="AX30">
            <v>133240.20129999999</v>
          </cell>
          <cell r="AY30">
            <v>134742.1611</v>
          </cell>
          <cell r="AZ30">
            <v>136262.4068</v>
          </cell>
          <cell r="BA30">
            <v>159792.89240000001</v>
          </cell>
          <cell r="BB30">
            <v>162231.62650000001</v>
          </cell>
          <cell r="BC30">
            <v>164710.88459999999</v>
          </cell>
          <cell r="BD30">
            <v>167231.40169999999</v>
          </cell>
          <cell r="BE30">
            <v>169793.92929999999</v>
          </cell>
        </row>
        <row r="31">
          <cell r="B31">
            <v>78186.892730000007</v>
          </cell>
          <cell r="C31">
            <v>79053.502139999997</v>
          </cell>
          <cell r="D31">
            <v>79983.625880000007</v>
          </cell>
          <cell r="E31">
            <v>80977.608460000003</v>
          </cell>
          <cell r="F31">
            <v>82035.335630000001</v>
          </cell>
          <cell r="G31">
            <v>83150.419760000004</v>
          </cell>
          <cell r="H31">
            <v>84267.932629999996</v>
          </cell>
          <cell r="I31">
            <v>85411.235019999993</v>
          </cell>
          <cell r="J31">
            <v>86579.198529999994</v>
          </cell>
          <cell r="K31">
            <v>87769.317760000005</v>
          </cell>
          <cell r="L31">
            <v>89061.556289999993</v>
          </cell>
          <cell r="M31">
            <v>90317.064320000005</v>
          </cell>
          <cell r="N31">
            <v>91579.145059999995</v>
          </cell>
          <cell r="O31">
            <v>92850.400169999994</v>
          </cell>
          <cell r="P31">
            <v>94131.269629999995</v>
          </cell>
          <cell r="Q31">
            <v>95422.182060000006</v>
          </cell>
          <cell r="R31">
            <v>96723.892030000003</v>
          </cell>
          <cell r="S31">
            <v>98037.42929</v>
          </cell>
          <cell r="T31">
            <v>99363.983489999999</v>
          </cell>
          <cell r="U31">
            <v>100704.8036</v>
          </cell>
          <cell r="V31">
            <v>102000.2255</v>
          </cell>
          <cell r="W31">
            <v>103352.599</v>
          </cell>
          <cell r="X31">
            <v>104729.7493</v>
          </cell>
          <cell r="Y31">
            <v>106129.90119999999</v>
          </cell>
          <cell r="Z31">
            <v>107553.0794</v>
          </cell>
          <cell r="AA31">
            <v>108823.9365</v>
          </cell>
          <cell r="AB31">
            <v>110151.0102</v>
          </cell>
          <cell r="AC31">
            <v>111492.4277</v>
          </cell>
          <cell r="AD31">
            <v>112849.3873</v>
          </cell>
          <cell r="AE31">
            <v>114224.792</v>
          </cell>
          <cell r="AF31">
            <v>115621.1989</v>
          </cell>
          <cell r="AG31">
            <v>117040.4317</v>
          </cell>
          <cell r="AH31">
            <v>118483.60709999999</v>
          </cell>
          <cell r="AI31">
            <v>119951.2743</v>
          </cell>
          <cell r="AJ31">
            <v>121443.57739999999</v>
          </cell>
          <cell r="AK31">
            <v>122960.4011</v>
          </cell>
          <cell r="AL31">
            <v>124459.0546</v>
          </cell>
          <cell r="AM31">
            <v>125966.90820000001</v>
          </cell>
          <cell r="AN31">
            <v>127488.32769999999</v>
          </cell>
          <cell r="AO31">
            <v>129025.80469999999</v>
          </cell>
          <cell r="AP31">
            <v>130581.2674</v>
          </cell>
          <cell r="AQ31">
            <v>132156.28630000001</v>
          </cell>
          <cell r="AR31">
            <v>133752.08859999999</v>
          </cell>
          <cell r="AS31">
            <v>135369.57079999999</v>
          </cell>
          <cell r="AT31">
            <v>137009.3394</v>
          </cell>
          <cell r="AU31">
            <v>138671.77299999999</v>
          </cell>
          <cell r="AV31">
            <v>140360.94690000001</v>
          </cell>
          <cell r="AW31">
            <v>142074.5031</v>
          </cell>
          <cell r="AX31">
            <v>143812.11910000001</v>
          </cell>
          <cell r="AY31">
            <v>145573.53219999999</v>
          </cell>
          <cell r="AZ31">
            <v>147358.5324</v>
          </cell>
          <cell r="BA31">
            <v>160193.71</v>
          </cell>
          <cell r="BB31">
            <v>162652.34390000001</v>
          </cell>
          <cell r="BC31">
            <v>165151.8143</v>
          </cell>
          <cell r="BD31">
            <v>167692.9258</v>
          </cell>
          <cell r="BE31">
            <v>170276.4988</v>
          </cell>
        </row>
        <row r="32">
          <cell r="B32">
            <v>14746.145909999999</v>
          </cell>
          <cell r="C32">
            <v>14930.88523</v>
          </cell>
          <cell r="D32">
            <v>15142.15444</v>
          </cell>
          <cell r="E32">
            <v>15361.434300000001</v>
          </cell>
          <cell r="F32">
            <v>15585.02349</v>
          </cell>
          <cell r="G32">
            <v>15809.835719999999</v>
          </cell>
          <cell r="H32">
            <v>16017.42899</v>
          </cell>
          <cell r="I32">
            <v>16222.614219999999</v>
          </cell>
          <cell r="J32">
            <v>16424.820820000001</v>
          </cell>
          <cell r="K32">
            <v>16623.867549999999</v>
          </cell>
          <cell r="L32">
            <v>16784.30041</v>
          </cell>
          <cell r="M32">
            <v>17016.732940000002</v>
          </cell>
          <cell r="N32">
            <v>17246.711940000001</v>
          </cell>
          <cell r="O32">
            <v>17474.041420000001</v>
          </cell>
          <cell r="P32">
            <v>17698.89961</v>
          </cell>
          <cell r="Q32">
            <v>17921.717629999999</v>
          </cell>
          <cell r="R32">
            <v>18140.007819999999</v>
          </cell>
          <cell r="S32">
            <v>18357.41475</v>
          </cell>
          <cell r="T32">
            <v>18574.609939999998</v>
          </cell>
          <cell r="U32">
            <v>18792.249400000001</v>
          </cell>
          <cell r="V32">
            <v>18992.378909999999</v>
          </cell>
          <cell r="W32">
            <v>19213.113519999999</v>
          </cell>
          <cell r="X32">
            <v>19436.167450000001</v>
          </cell>
          <cell r="Y32">
            <v>19661.956180000001</v>
          </cell>
          <cell r="Z32">
            <v>19890.869340000001</v>
          </cell>
          <cell r="AA32">
            <v>20070.434430000001</v>
          </cell>
          <cell r="AB32">
            <v>20284.076669999999</v>
          </cell>
          <cell r="AC32">
            <v>20502.207460000001</v>
          </cell>
          <cell r="AD32">
            <v>20725.019520000002</v>
          </cell>
          <cell r="AE32">
            <v>20952.6417</v>
          </cell>
          <cell r="AF32">
            <v>21185.139869999999</v>
          </cell>
          <cell r="AG32">
            <v>21423.426739999999</v>
          </cell>
          <cell r="AH32">
            <v>21666.576700000001</v>
          </cell>
          <cell r="AI32">
            <v>21914.499670000001</v>
          </cell>
          <cell r="AJ32">
            <v>22167.0707</v>
          </cell>
          <cell r="AK32">
            <v>22424.141899999999</v>
          </cell>
          <cell r="AL32">
            <v>22681.660080000001</v>
          </cell>
          <cell r="AM32">
            <v>22943.592240000002</v>
          </cell>
          <cell r="AN32">
            <v>23209.84418</v>
          </cell>
          <cell r="AO32">
            <v>23480.27535</v>
          </cell>
          <cell r="AP32">
            <v>23754.733759999999</v>
          </cell>
          <cell r="AQ32">
            <v>24034.536220000002</v>
          </cell>
          <cell r="AR32">
            <v>24318.136340000001</v>
          </cell>
          <cell r="AS32">
            <v>24605.41707</v>
          </cell>
          <cell r="AT32">
            <v>24896.27147</v>
          </cell>
          <cell r="AU32">
            <v>25190.603609999998</v>
          </cell>
          <cell r="AV32">
            <v>25494.682669999998</v>
          </cell>
          <cell r="AW32">
            <v>25802.241760000001</v>
          </cell>
          <cell r="AX32">
            <v>26113.199339999999</v>
          </cell>
          <cell r="AY32">
            <v>26427.481609999999</v>
          </cell>
          <cell r="AZ32">
            <v>26745.032790000001</v>
          </cell>
          <cell r="BA32">
            <v>34739.093679999998</v>
          </cell>
          <cell r="BB32">
            <v>35350.257310000001</v>
          </cell>
          <cell r="BC32">
            <v>35973.748610000002</v>
          </cell>
          <cell r="BD32">
            <v>36609.742610000001</v>
          </cell>
          <cell r="BE32">
            <v>37258.403209999997</v>
          </cell>
        </row>
        <row r="33">
          <cell r="B33">
            <v>15488.613649999999</v>
          </cell>
          <cell r="C33">
            <v>15731.88845</v>
          </cell>
          <cell r="D33">
            <v>15998.2899</v>
          </cell>
          <cell r="E33">
            <v>16271.259609999999</v>
          </cell>
          <cell r="F33">
            <v>16549.12199</v>
          </cell>
          <cell r="G33">
            <v>16830.225600000002</v>
          </cell>
          <cell r="H33">
            <v>17097.328450000001</v>
          </cell>
          <cell r="I33">
            <v>17365.453590000001</v>
          </cell>
          <cell r="J33">
            <v>17634.34851</v>
          </cell>
          <cell r="K33">
            <v>17904.02865</v>
          </cell>
          <cell r="L33">
            <v>18202.513050000001</v>
          </cell>
          <cell r="M33">
            <v>18474.2232</v>
          </cell>
          <cell r="N33">
            <v>18747.394749999999</v>
          </cell>
          <cell r="O33">
            <v>19022.533599999999</v>
          </cell>
          <cell r="P33">
            <v>19300.129730000001</v>
          </cell>
          <cell r="Q33">
            <v>19580.66705</v>
          </cell>
          <cell r="R33">
            <v>19864.623660000001</v>
          </cell>
          <cell r="S33">
            <v>20152.467219999999</v>
          </cell>
          <cell r="T33">
            <v>20444.64731</v>
          </cell>
          <cell r="U33">
            <v>20741.58755</v>
          </cell>
          <cell r="V33">
            <v>21023.1021</v>
          </cell>
          <cell r="W33">
            <v>21330.880280000001</v>
          </cell>
          <cell r="X33">
            <v>21644.625980000001</v>
          </cell>
          <cell r="Y33">
            <v>21964.545819999999</v>
          </cell>
          <cell r="Z33">
            <v>22290.83294</v>
          </cell>
          <cell r="AA33">
            <v>22564.226009999998</v>
          </cell>
          <cell r="AB33">
            <v>22875.979670000001</v>
          </cell>
          <cell r="AC33">
            <v>23194.78427</v>
          </cell>
          <cell r="AD33">
            <v>23520.729749999999</v>
          </cell>
          <cell r="AE33">
            <v>23853.868780000001</v>
          </cell>
          <cell r="AF33">
            <v>24194.210790000001</v>
          </cell>
          <cell r="AG33">
            <v>24541.72221</v>
          </cell>
          <cell r="AH33">
            <v>24896.330620000001</v>
          </cell>
          <cell r="AI33">
            <v>25257.93262</v>
          </cell>
          <cell r="AJ33">
            <v>25626.40393</v>
          </cell>
          <cell r="AK33">
            <v>26001.610189999999</v>
          </cell>
          <cell r="AL33">
            <v>26368.931550000001</v>
          </cell>
          <cell r="AM33">
            <v>26742.646649999999</v>
          </cell>
          <cell r="AN33">
            <v>27122.745019999998</v>
          </cell>
          <cell r="AO33">
            <v>27509.187450000001</v>
          </cell>
          <cell r="AP33">
            <v>27901.924360000001</v>
          </cell>
          <cell r="AQ33">
            <v>28300.902750000001</v>
          </cell>
          <cell r="AR33">
            <v>28706.068370000001</v>
          </cell>
          <cell r="AS33">
            <v>29117.366440000002</v>
          </cell>
          <cell r="AT33">
            <v>29534.742460000001</v>
          </cell>
          <cell r="AU33">
            <v>29958.143840000001</v>
          </cell>
          <cell r="AV33">
            <v>30388.84634</v>
          </cell>
          <cell r="AW33">
            <v>30825.490419999998</v>
          </cell>
          <cell r="AX33">
            <v>31268.032329999998</v>
          </cell>
          <cell r="AY33">
            <v>31716.441900000002</v>
          </cell>
          <cell r="AZ33">
            <v>32170.704040000001</v>
          </cell>
          <cell r="BA33">
            <v>34943.773430000001</v>
          </cell>
          <cell r="BB33">
            <v>35566.895409999997</v>
          </cell>
          <cell r="BC33">
            <v>36202.660819999997</v>
          </cell>
          <cell r="BD33">
            <v>36851.256710000001</v>
          </cell>
          <cell r="BE33">
            <v>37512.862710000001</v>
          </cell>
        </row>
        <row r="34">
          <cell r="B34">
            <v>20149.830379999999</v>
          </cell>
          <cell r="C34">
            <v>20367.247579999999</v>
          </cell>
          <cell r="D34">
            <v>20626.254710000001</v>
          </cell>
          <cell r="E34">
            <v>20910.373299999999</v>
          </cell>
          <cell r="F34">
            <v>21217.12501</v>
          </cell>
          <cell r="G34">
            <v>21544.571670000001</v>
          </cell>
          <cell r="H34">
            <v>21872.33351</v>
          </cell>
          <cell r="I34">
            <v>22210.905549999999</v>
          </cell>
          <cell r="J34">
            <v>22559.08927</v>
          </cell>
          <cell r="K34">
            <v>22915.34202</v>
          </cell>
          <cell r="L34">
            <v>23259.82114</v>
          </cell>
          <cell r="M34">
            <v>23661.725180000001</v>
          </cell>
          <cell r="N34">
            <v>24070.909800000001</v>
          </cell>
          <cell r="O34">
            <v>24486.053749999999</v>
          </cell>
          <cell r="P34">
            <v>24906.309499999999</v>
          </cell>
          <cell r="Q34">
            <v>25331.05342</v>
          </cell>
          <cell r="R34">
            <v>25757.381829999998</v>
          </cell>
          <cell r="S34">
            <v>26187.054189999999</v>
          </cell>
          <cell r="T34">
            <v>26619.993310000002</v>
          </cell>
          <cell r="U34">
            <v>27056.243190000001</v>
          </cell>
          <cell r="V34">
            <v>27473.462390000001</v>
          </cell>
          <cell r="W34">
            <v>27910.00344</v>
          </cell>
          <cell r="X34">
            <v>28352.5036</v>
          </cell>
          <cell r="Y34">
            <v>28800.904340000001</v>
          </cell>
          <cell r="Z34">
            <v>29255.4349</v>
          </cell>
          <cell r="AA34">
            <v>29651.240689999999</v>
          </cell>
          <cell r="AB34">
            <v>30068.55788</v>
          </cell>
          <cell r="AC34">
            <v>30488.268370000002</v>
          </cell>
          <cell r="AD34">
            <v>30911.744760000001</v>
          </cell>
          <cell r="AE34">
            <v>31340.47423</v>
          </cell>
          <cell r="AF34">
            <v>31775.70249</v>
          </cell>
          <cell r="AG34">
            <v>32219.10024</v>
          </cell>
          <cell r="AH34">
            <v>32670.706859999998</v>
          </cell>
          <cell r="AI34">
            <v>33130.906519999997</v>
          </cell>
          <cell r="AJ34">
            <v>33599.914259999998</v>
          </cell>
          <cell r="AK34">
            <v>34077.831610000001</v>
          </cell>
          <cell r="AL34">
            <v>34555.895320000003</v>
          </cell>
          <cell r="AM34">
            <v>35038.717490000003</v>
          </cell>
          <cell r="AN34">
            <v>35527.333030000002</v>
          </cell>
          <cell r="AO34">
            <v>36022.508699999998</v>
          </cell>
          <cell r="AP34">
            <v>36524.916949999999</v>
          </cell>
          <cell r="AQ34">
            <v>37036.333590000002</v>
          </cell>
          <cell r="AR34">
            <v>37556.244429999999</v>
          </cell>
          <cell r="AS34">
            <v>38084.937160000001</v>
          </cell>
          <cell r="AT34">
            <v>38622.590400000001</v>
          </cell>
          <cell r="AU34">
            <v>39169.298199999997</v>
          </cell>
          <cell r="AV34">
            <v>39730.84375</v>
          </cell>
          <cell r="AW34">
            <v>40302.79494</v>
          </cell>
          <cell r="AX34">
            <v>40884.840940000002</v>
          </cell>
          <cell r="AY34">
            <v>41476.732510000002</v>
          </cell>
          <cell r="AZ34">
            <v>42078.285219999998</v>
          </cell>
          <cell r="BA34">
            <v>52337.766199999998</v>
          </cell>
          <cell r="BB34">
            <v>53349.739670000003</v>
          </cell>
          <cell r="BC34">
            <v>54382.347670000003</v>
          </cell>
          <cell r="BD34">
            <v>55436.091399999998</v>
          </cell>
          <cell r="BE34">
            <v>56511.49512</v>
          </cell>
        </row>
        <row r="35">
          <cell r="B35">
            <v>20693.635730000002</v>
          </cell>
          <cell r="C35">
            <v>21015.807949999999</v>
          </cell>
          <cell r="D35">
            <v>21379.066360000001</v>
          </cell>
          <cell r="E35">
            <v>21763.414570000001</v>
          </cell>
          <cell r="F35">
            <v>22164.718440000001</v>
          </cell>
          <cell r="G35">
            <v>22581.112120000002</v>
          </cell>
          <cell r="H35">
            <v>22993.303790000002</v>
          </cell>
          <cell r="I35">
            <v>23412.814330000001</v>
          </cell>
          <cell r="J35">
            <v>23839.788270000001</v>
          </cell>
          <cell r="K35">
            <v>24273.981049999999</v>
          </cell>
          <cell r="L35">
            <v>24746.95361</v>
          </cell>
          <cell r="M35">
            <v>25203.933239999998</v>
          </cell>
          <cell r="N35">
            <v>25664.738239999999</v>
          </cell>
          <cell r="O35">
            <v>26129.796630000001</v>
          </cell>
          <cell r="P35">
            <v>26599.301530000001</v>
          </cell>
          <cell r="Q35">
            <v>27073.54667</v>
          </cell>
          <cell r="R35">
            <v>27552.95463</v>
          </cell>
          <cell r="S35">
            <v>28038.036899999999</v>
          </cell>
          <cell r="T35">
            <v>28529.347659999999</v>
          </cell>
          <cell r="U35">
            <v>29027.448329999999</v>
          </cell>
          <cell r="V35">
            <v>29508.670569999998</v>
          </cell>
          <cell r="W35">
            <v>30014.553650000002</v>
          </cell>
          <cell r="X35">
            <v>30530.72336</v>
          </cell>
          <cell r="Y35">
            <v>31057.194520000001</v>
          </cell>
          <cell r="Z35">
            <v>31594.190780000001</v>
          </cell>
          <cell r="AA35">
            <v>32071.226129999999</v>
          </cell>
          <cell r="AB35">
            <v>32574.137869999999</v>
          </cell>
          <cell r="AC35">
            <v>33082.762119999999</v>
          </cell>
          <cell r="AD35">
            <v>33598.472390000003</v>
          </cell>
          <cell r="AE35">
            <v>34122.75159</v>
          </cell>
          <cell r="AF35">
            <v>34656.817569999999</v>
          </cell>
          <cell r="AG35">
            <v>35201.5579</v>
          </cell>
          <cell r="AH35">
            <v>35757.560859999998</v>
          </cell>
          <cell r="AI35">
            <v>36325.17841</v>
          </cell>
          <cell r="AJ35">
            <v>36904.594080000003</v>
          </cell>
          <cell r="AK35">
            <v>37495.883320000001</v>
          </cell>
          <cell r="AL35">
            <v>38081.56525</v>
          </cell>
          <cell r="AM35">
            <v>38673.282639999998</v>
          </cell>
          <cell r="AN35">
            <v>39272.387629999997</v>
          </cell>
          <cell r="AO35">
            <v>39879.942170000002</v>
          </cell>
          <cell r="AP35">
            <v>40496.882749999997</v>
          </cell>
          <cell r="AQ35">
            <v>41124.016060000002</v>
          </cell>
          <cell r="AR35">
            <v>41762.000639999998</v>
          </cell>
          <cell r="AS35">
            <v>42411.345589999997</v>
          </cell>
          <cell r="AT35">
            <v>43072.426270000004</v>
          </cell>
          <cell r="AU35">
            <v>43745.51079</v>
          </cell>
          <cell r="AV35">
            <v>44432.411410000001</v>
          </cell>
          <cell r="AW35">
            <v>45132.203860000001</v>
          </cell>
          <cell r="AX35">
            <v>45844.878089999998</v>
          </cell>
          <cell r="AY35">
            <v>46570.429170000003</v>
          </cell>
          <cell r="AZ35">
            <v>47308.862359999999</v>
          </cell>
          <cell r="BA35">
            <v>52479.261599999998</v>
          </cell>
          <cell r="BB35">
            <v>53498.937100000003</v>
          </cell>
          <cell r="BC35">
            <v>54539.476699999999</v>
          </cell>
          <cell r="BD35">
            <v>55601.42121</v>
          </cell>
          <cell r="BE35">
            <v>56685.3272</v>
          </cell>
        </row>
        <row r="36">
          <cell r="B36">
            <v>1991631.9280000001</v>
          </cell>
          <cell r="C36">
            <v>2004883.2860000001</v>
          </cell>
          <cell r="D36">
            <v>2023228.04</v>
          </cell>
          <cell r="E36">
            <v>2045107.331</v>
          </cell>
          <cell r="F36">
            <v>2069858.4</v>
          </cell>
          <cell r="G36">
            <v>2096984.547</v>
          </cell>
          <cell r="H36">
            <v>2124816.5449999999</v>
          </cell>
          <cell r="I36">
            <v>2153739.9679999999</v>
          </cell>
          <cell r="J36">
            <v>2183655.77</v>
          </cell>
          <cell r="K36">
            <v>2214441.1740000001</v>
          </cell>
          <cell r="L36">
            <v>2245834.648</v>
          </cell>
          <cell r="M36">
            <v>2279719.7510000002</v>
          </cell>
          <cell r="N36">
            <v>2314548.199</v>
          </cell>
          <cell r="O36">
            <v>2350079.4610000001</v>
          </cell>
          <cell r="P36">
            <v>2386189.9679999999</v>
          </cell>
          <cell r="Q36">
            <v>2422799.7790000001</v>
          </cell>
          <cell r="R36">
            <v>2459741.676</v>
          </cell>
          <cell r="S36">
            <v>2497044.6209999998</v>
          </cell>
          <cell r="T36">
            <v>2534692.372</v>
          </cell>
          <cell r="U36">
            <v>2572675.2080000001</v>
          </cell>
          <cell r="V36">
            <v>2609417.4240000001</v>
          </cell>
          <cell r="W36">
            <v>2647362.2030000002</v>
          </cell>
          <cell r="X36">
            <v>2685865.6230000001</v>
          </cell>
          <cell r="Y36">
            <v>2724871.4339999999</v>
          </cell>
          <cell r="Z36">
            <v>2764369.7110000001</v>
          </cell>
          <cell r="AA36">
            <v>2799835.784</v>
          </cell>
          <cell r="AB36">
            <v>2836184.8820000002</v>
          </cell>
          <cell r="AC36">
            <v>2872664.9890000001</v>
          </cell>
          <cell r="AD36">
            <v>2909350.2650000001</v>
          </cell>
          <cell r="AE36">
            <v>2946346.727</v>
          </cell>
          <cell r="AF36">
            <v>2983746.3769999999</v>
          </cell>
          <cell r="AG36">
            <v>3021651.426</v>
          </cell>
          <cell r="AH36">
            <v>3060087.659</v>
          </cell>
          <cell r="AI36">
            <v>3099079.3149999999</v>
          </cell>
          <cell r="AJ36">
            <v>3138638.4330000002</v>
          </cell>
          <cell r="AK36">
            <v>3178768.8790000002</v>
          </cell>
          <cell r="AL36">
            <v>3218705.6349999998</v>
          </cell>
          <cell r="AM36">
            <v>3258829.1159999999</v>
          </cell>
          <cell r="AN36">
            <v>3299240.2629999998</v>
          </cell>
          <cell r="AO36">
            <v>3340004.398</v>
          </cell>
          <cell r="AP36">
            <v>3381175.906</v>
          </cell>
          <cell r="AQ36">
            <v>3422856.1860000002</v>
          </cell>
          <cell r="AR36">
            <v>3465050.1239999998</v>
          </cell>
          <cell r="AS36">
            <v>3507779.4980000001</v>
          </cell>
          <cell r="AT36">
            <v>3551058.58</v>
          </cell>
          <cell r="AU36">
            <v>3594895.105</v>
          </cell>
          <cell r="AV36">
            <v>3639585.7969999998</v>
          </cell>
          <cell r="AW36">
            <v>3684959.8289999999</v>
          </cell>
          <cell r="AX36">
            <v>3730980.0789999999</v>
          </cell>
          <cell r="AY36">
            <v>3777620.5630000001</v>
          </cell>
          <cell r="AZ36">
            <v>3824862.5830000001</v>
          </cell>
          <cell r="BA36">
            <v>4542533.9309999999</v>
          </cell>
          <cell r="BB36">
            <v>4617958.6519999998</v>
          </cell>
          <cell r="BC36">
            <v>4694587.21</v>
          </cell>
          <cell r="BD36">
            <v>4772441.5109999999</v>
          </cell>
          <cell r="BE36">
            <v>4851545.0520000001</v>
          </cell>
        </row>
        <row r="37">
          <cell r="B37">
            <v>2019902.0549999999</v>
          </cell>
          <cell r="C37">
            <v>2044810.273</v>
          </cell>
          <cell r="D37">
            <v>2072261.4310000001</v>
          </cell>
          <cell r="E37">
            <v>2101936.699</v>
          </cell>
          <cell r="F37">
            <v>2133645.003</v>
          </cell>
          <cell r="G37">
            <v>2167136.821</v>
          </cell>
          <cell r="H37">
            <v>2200914.2039999999</v>
          </cell>
          <cell r="I37">
            <v>2235476.0180000002</v>
          </cell>
          <cell r="J37">
            <v>2270821.6359999999</v>
          </cell>
          <cell r="K37">
            <v>2306910.9730000002</v>
          </cell>
          <cell r="L37">
            <v>2345918.3730000001</v>
          </cell>
          <cell r="M37">
            <v>2384349.4640000002</v>
          </cell>
          <cell r="N37">
            <v>2423093.4649999999</v>
          </cell>
          <cell r="O37">
            <v>2462211.8119999999</v>
          </cell>
          <cell r="P37">
            <v>2501713.7250000001</v>
          </cell>
          <cell r="Q37">
            <v>2541607.892</v>
          </cell>
          <cell r="R37">
            <v>2581911.2349999999</v>
          </cell>
          <cell r="S37">
            <v>2622647.5890000002</v>
          </cell>
          <cell r="T37">
            <v>2663844.5690000001</v>
          </cell>
          <cell r="U37">
            <v>2705530.8909999998</v>
          </cell>
          <cell r="V37">
            <v>2746079.9890000001</v>
          </cell>
          <cell r="W37">
            <v>2788080.2880000002</v>
          </cell>
          <cell r="X37">
            <v>2830867.5469999998</v>
          </cell>
          <cell r="Y37">
            <v>2874392.8229999999</v>
          </cell>
          <cell r="Z37">
            <v>2918649.0070000002</v>
          </cell>
          <cell r="AA37">
            <v>2958846.398</v>
          </cell>
          <cell r="AB37">
            <v>3000116.182</v>
          </cell>
          <cell r="AC37">
            <v>3041681.054</v>
          </cell>
          <cell r="AD37">
            <v>3083618.0189999999</v>
          </cell>
          <cell r="AE37">
            <v>3126035.8739999998</v>
          </cell>
          <cell r="AF37">
            <v>3169026.909</v>
          </cell>
          <cell r="AG37">
            <v>3212657.7</v>
          </cell>
          <cell r="AH37">
            <v>3256970.8509999998</v>
          </cell>
          <cell r="AI37">
            <v>3301990.023</v>
          </cell>
          <cell r="AJ37">
            <v>3347725.5389999999</v>
          </cell>
          <cell r="AK37">
            <v>3394179.378</v>
          </cell>
          <cell r="AL37">
            <v>3440186.3849999998</v>
          </cell>
          <cell r="AM37">
            <v>3486366.2570000002</v>
          </cell>
          <cell r="AN37">
            <v>3532862.784</v>
          </cell>
          <cell r="AO37">
            <v>3579772.0320000001</v>
          </cell>
          <cell r="AP37">
            <v>3627172.48</v>
          </cell>
          <cell r="AQ37">
            <v>3675129.4309999999</v>
          </cell>
          <cell r="AR37">
            <v>3723695.122</v>
          </cell>
          <cell r="AS37">
            <v>3772909.2140000002</v>
          </cell>
          <cell r="AT37">
            <v>3822800.36</v>
          </cell>
          <cell r="AU37">
            <v>3873388.62</v>
          </cell>
          <cell r="AV37">
            <v>3924794.49</v>
          </cell>
          <cell r="AW37">
            <v>3976973.645</v>
          </cell>
          <cell r="AX37">
            <v>4029921.969</v>
          </cell>
          <cell r="AY37">
            <v>4083632.6290000002</v>
          </cell>
          <cell r="AZ37">
            <v>4138100.2519999999</v>
          </cell>
          <cell r="BA37">
            <v>4550279.9239999996</v>
          </cell>
          <cell r="BB37">
            <v>4626018.0379999997</v>
          </cell>
          <cell r="BC37">
            <v>4702960.2850000001</v>
          </cell>
          <cell r="BD37">
            <v>4781131.4129999997</v>
          </cell>
          <cell r="BE37">
            <v>4860557.57</v>
          </cell>
        </row>
        <row r="38">
          <cell r="B38">
            <v>539515.83860000002</v>
          </cell>
          <cell r="C38">
            <v>546704.98149999999</v>
          </cell>
          <cell r="D38">
            <v>554714.96629999997</v>
          </cell>
          <cell r="E38">
            <v>563073.63289999997</v>
          </cell>
          <cell r="F38">
            <v>571752.68940000003</v>
          </cell>
          <cell r="G38">
            <v>580723.91749999998</v>
          </cell>
          <cell r="H38">
            <v>589449.19999999995</v>
          </cell>
          <cell r="I38">
            <v>598363.60600000003</v>
          </cell>
          <cell r="J38">
            <v>607458.5612</v>
          </cell>
          <cell r="K38">
            <v>616724.47180000006</v>
          </cell>
          <cell r="L38">
            <v>626925.44169999997</v>
          </cell>
          <cell r="M38">
            <v>636616.78509999998</v>
          </cell>
          <cell r="N38">
            <v>646483.25150000001</v>
          </cell>
          <cell r="O38">
            <v>656515.15289999999</v>
          </cell>
          <cell r="P38">
            <v>666706.16020000004</v>
          </cell>
          <cell r="Q38">
            <v>677051.99589999998</v>
          </cell>
          <cell r="R38">
            <v>687544.38939999999</v>
          </cell>
          <cell r="S38">
            <v>698184.86860000005</v>
          </cell>
          <cell r="T38">
            <v>708973.70499999996</v>
          </cell>
          <cell r="U38">
            <v>719911.80909999995</v>
          </cell>
          <cell r="V38">
            <v>730339.59120000002</v>
          </cell>
          <cell r="W38">
            <v>741523.15480000002</v>
          </cell>
          <cell r="X38">
            <v>752876.39800000004</v>
          </cell>
          <cell r="Y38">
            <v>764396.94510000001</v>
          </cell>
          <cell r="Z38">
            <v>776086.55709999998</v>
          </cell>
          <cell r="AA38">
            <v>786033.58660000004</v>
          </cell>
          <cell r="AB38">
            <v>796993.46250000002</v>
          </cell>
          <cell r="AC38">
            <v>808079.75020000001</v>
          </cell>
          <cell r="AD38">
            <v>819298.21649999998</v>
          </cell>
          <cell r="AE38">
            <v>830658.97560000001</v>
          </cell>
          <cell r="AF38">
            <v>842171.19770000002</v>
          </cell>
          <cell r="AG38">
            <v>853843.85569999996</v>
          </cell>
          <cell r="AH38">
            <v>865681.51089999999</v>
          </cell>
          <cell r="AI38">
            <v>877687.94339999999</v>
          </cell>
          <cell r="AJ38">
            <v>889865.99190000002</v>
          </cell>
          <cell r="AK38">
            <v>902217.91639999999</v>
          </cell>
          <cell r="AL38">
            <v>914297.17039999994</v>
          </cell>
          <cell r="AM38">
            <v>926515.80180000002</v>
          </cell>
          <cell r="AN38">
            <v>938882.97750000004</v>
          </cell>
          <cell r="AO38">
            <v>951405.01049999997</v>
          </cell>
          <cell r="AP38">
            <v>964087.8112</v>
          </cell>
          <cell r="AQ38">
            <v>976939.72530000005</v>
          </cell>
          <cell r="AR38">
            <v>989964.25139999995</v>
          </cell>
          <cell r="AS38">
            <v>1003165.161</v>
          </cell>
          <cell r="AT38">
            <v>1016545.574</v>
          </cell>
          <cell r="AU38">
            <v>1030108.063</v>
          </cell>
          <cell r="AV38">
            <v>1043907.02</v>
          </cell>
          <cell r="AW38">
            <v>1057901.2180000001</v>
          </cell>
          <cell r="AX38">
            <v>1072090.2479999999</v>
          </cell>
          <cell r="AY38">
            <v>1086474.416</v>
          </cell>
          <cell r="AZ38">
            <v>1101054.4950000001</v>
          </cell>
          <cell r="BA38">
            <v>1233911.6610000001</v>
          </cell>
          <cell r="BB38">
            <v>1255059.872</v>
          </cell>
          <cell r="BC38">
            <v>1276567.656</v>
          </cell>
          <cell r="BD38">
            <v>1298441.4480000001</v>
          </cell>
          <cell r="BE38">
            <v>1320687.8959999999</v>
          </cell>
        </row>
        <row r="39">
          <cell r="B39">
            <v>540981.0466</v>
          </cell>
          <cell r="C39">
            <v>548901.4817</v>
          </cell>
          <cell r="D39">
            <v>557490.91910000006</v>
          </cell>
          <cell r="E39">
            <v>566341.16070000001</v>
          </cell>
          <cell r="F39">
            <v>575449.53639999998</v>
          </cell>
          <cell r="G39">
            <v>584803.37439999997</v>
          </cell>
          <cell r="H39">
            <v>593876.64450000005</v>
          </cell>
          <cell r="I39">
            <v>603113.36399999994</v>
          </cell>
          <cell r="J39">
            <v>612512.49650000001</v>
          </cell>
          <cell r="K39">
            <v>622070.52430000005</v>
          </cell>
          <cell r="L39">
            <v>632676.5527</v>
          </cell>
          <cell r="M39">
            <v>642625.07449999999</v>
          </cell>
          <cell r="N39">
            <v>652706.25899999996</v>
          </cell>
          <cell r="O39">
            <v>662926.51130000001</v>
          </cell>
          <cell r="P39">
            <v>673287.55870000005</v>
          </cell>
          <cell r="Q39">
            <v>683791.47730000003</v>
          </cell>
          <cell r="R39">
            <v>694441.23629999999</v>
          </cell>
          <cell r="S39">
            <v>705240.4325</v>
          </cell>
          <cell r="T39">
            <v>716192.95920000004</v>
          </cell>
          <cell r="U39">
            <v>727302.77060000005</v>
          </cell>
          <cell r="V39">
            <v>737908.52509999997</v>
          </cell>
          <cell r="W39">
            <v>749283.97790000006</v>
          </cell>
          <cell r="X39">
            <v>760842.83409999998</v>
          </cell>
          <cell r="Y39">
            <v>772583.45510000002</v>
          </cell>
          <cell r="Z39">
            <v>784507.98019999999</v>
          </cell>
          <cell r="AA39">
            <v>794691.5246</v>
          </cell>
          <cell r="AB39">
            <v>805899.22400000005</v>
          </cell>
          <cell r="AC39">
            <v>817243.67960000003</v>
          </cell>
          <cell r="AD39">
            <v>828730.90379999997</v>
          </cell>
          <cell r="AE39">
            <v>840371.23939999996</v>
          </cell>
          <cell r="AF39">
            <v>852173.88820000004</v>
          </cell>
          <cell r="AG39">
            <v>864145.96239999996</v>
          </cell>
          <cell r="AH39">
            <v>876292.62919999997</v>
          </cell>
          <cell r="AI39">
            <v>888617.5577</v>
          </cell>
          <cell r="AJ39">
            <v>901123.40469999996</v>
          </cell>
          <cell r="AK39">
            <v>913812.23210000002</v>
          </cell>
          <cell r="AL39">
            <v>926217.04139999999</v>
          </cell>
          <cell r="AM39">
            <v>938760.11250000005</v>
          </cell>
          <cell r="AN39">
            <v>951453.07880000002</v>
          </cell>
          <cell r="AO39">
            <v>964304.12639999995</v>
          </cell>
          <cell r="AP39">
            <v>977320.65460000001</v>
          </cell>
          <cell r="AQ39">
            <v>990509.36659999995</v>
          </cell>
          <cell r="AR39">
            <v>1003876.086</v>
          </cell>
          <cell r="AS39">
            <v>1017425.699</v>
          </cell>
          <cell r="AT39">
            <v>1031162.238</v>
          </cell>
          <cell r="AU39">
            <v>1045089.071</v>
          </cell>
          <cell r="AV39">
            <v>1059251.7309999999</v>
          </cell>
          <cell r="AW39">
            <v>1073614.7930000001</v>
          </cell>
          <cell r="AX39">
            <v>1088179.933</v>
          </cell>
          <cell r="AY39">
            <v>1102948.649</v>
          </cell>
          <cell r="AZ39">
            <v>1117922.5419999999</v>
          </cell>
          <cell r="BA39">
            <v>1234252.1529999999</v>
          </cell>
          <cell r="BB39">
            <v>1255414.557</v>
          </cell>
          <cell r="BC39">
            <v>1276936.693</v>
          </cell>
          <cell r="BD39">
            <v>1298825.179</v>
          </cell>
          <cell r="BE39">
            <v>1321086.8219999999</v>
          </cell>
        </row>
        <row r="40">
          <cell r="B40">
            <v>4139.4041200000001</v>
          </cell>
          <cell r="C40">
            <v>4159.4581449999996</v>
          </cell>
          <cell r="D40">
            <v>4193.6209930000005</v>
          </cell>
          <cell r="E40">
            <v>4236.209906</v>
          </cell>
          <cell r="F40">
            <v>4285.2697660000003</v>
          </cell>
          <cell r="G40">
            <v>4339.3964640000004</v>
          </cell>
          <cell r="H40">
            <v>4394.692771</v>
          </cell>
          <cell r="I40">
            <v>4451.9850120000001</v>
          </cell>
          <cell r="J40">
            <v>4510.9214320000001</v>
          </cell>
          <cell r="K40">
            <v>4571.113883</v>
          </cell>
          <cell r="L40">
            <v>4629.6391130000002</v>
          </cell>
          <cell r="M40">
            <v>4696.2828250000002</v>
          </cell>
          <cell r="N40">
            <v>4764.5413829999998</v>
          </cell>
          <cell r="O40">
            <v>4833.546566</v>
          </cell>
          <cell r="P40">
            <v>4903.0111800000004</v>
          </cell>
          <cell r="Q40">
            <v>4972.8202629999996</v>
          </cell>
          <cell r="R40">
            <v>5042.5949209999999</v>
          </cell>
          <cell r="S40">
            <v>5112.5968700000003</v>
          </cell>
          <cell r="T40">
            <v>5182.898091</v>
          </cell>
          <cell r="U40">
            <v>5253.5733950000003</v>
          </cell>
          <cell r="V40">
            <v>5321.4003679999996</v>
          </cell>
          <cell r="W40">
            <v>5391.8823839999995</v>
          </cell>
          <cell r="X40">
            <v>5463.4854329999998</v>
          </cell>
          <cell r="Y40">
            <v>5536.0898710000001</v>
          </cell>
          <cell r="Z40">
            <v>5609.7235250000003</v>
          </cell>
          <cell r="AA40">
            <v>5674.9826460000004</v>
          </cell>
          <cell r="AB40">
            <v>5743.0446519999996</v>
          </cell>
          <cell r="AC40">
            <v>5811.9647059999998</v>
          </cell>
          <cell r="AD40">
            <v>5881.7577000000001</v>
          </cell>
          <cell r="AE40">
            <v>5952.5744409999998</v>
          </cell>
          <cell r="AF40">
            <v>6024.5569450000003</v>
          </cell>
          <cell r="AG40">
            <v>6097.9097899999997</v>
          </cell>
          <cell r="AH40">
            <v>6172.621067</v>
          </cell>
          <cell r="AI40">
            <v>6248.7075210000003</v>
          </cell>
          <cell r="AJ40">
            <v>6326.1637449999998</v>
          </cell>
          <cell r="AK40">
            <v>6404.9669610000001</v>
          </cell>
          <cell r="AL40">
            <v>6483.7967440000002</v>
          </cell>
          <cell r="AM40">
            <v>6563.2941129999999</v>
          </cell>
          <cell r="AN40">
            <v>6643.6305169999996</v>
          </cell>
          <cell r="AO40">
            <v>6724.8818270000002</v>
          </cell>
          <cell r="AP40">
            <v>6807.0942759999998</v>
          </cell>
          <cell r="AQ40">
            <v>6890.4655149999999</v>
          </cell>
          <cell r="AR40">
            <v>6974.8997550000004</v>
          </cell>
          <cell r="AS40">
            <v>7060.392801</v>
          </cell>
          <cell r="AT40">
            <v>7146.9382260000002</v>
          </cell>
          <cell r="AU40">
            <v>7234.5237100000004</v>
          </cell>
          <cell r="AV40">
            <v>7323.9255279999998</v>
          </cell>
          <cell r="AW40">
            <v>7414.5768200000002</v>
          </cell>
          <cell r="AX40">
            <v>7506.3734860000004</v>
          </cell>
          <cell r="AY40">
            <v>7599.2557450000004</v>
          </cell>
          <cell r="AZ40">
            <v>7693.1813359999996</v>
          </cell>
          <cell r="BA40">
            <v>9299.3698519999998</v>
          </cell>
          <cell r="BB40">
            <v>9457.0824250000005</v>
          </cell>
          <cell r="BC40">
            <v>9617.4964099999997</v>
          </cell>
          <cell r="BD40">
            <v>9780.6466670000009</v>
          </cell>
          <cell r="BE40">
            <v>9946.5684729999994</v>
          </cell>
        </row>
        <row r="41">
          <cell r="B41">
            <v>4225.5978999999998</v>
          </cell>
          <cell r="C41">
            <v>4270.7791150000003</v>
          </cell>
          <cell r="D41">
            <v>4321.9936740000003</v>
          </cell>
          <cell r="E41">
            <v>4378.7258970000003</v>
          </cell>
          <cell r="F41">
            <v>4440.3850220000004</v>
          </cell>
          <cell r="G41">
            <v>4506.1954809999997</v>
          </cell>
          <cell r="H41">
            <v>4572.6726589999998</v>
          </cell>
          <cell r="I41">
            <v>4640.8869869999999</v>
          </cell>
          <cell r="J41">
            <v>4710.7004880000004</v>
          </cell>
          <cell r="K41">
            <v>4781.9116329999997</v>
          </cell>
          <cell r="L41">
            <v>4859.118152</v>
          </cell>
          <cell r="M41">
            <v>4934.3911029999999</v>
          </cell>
          <cell r="N41">
            <v>5010.0366750000003</v>
          </cell>
          <cell r="O41">
            <v>5086.3180249999996</v>
          </cell>
          <cell r="P41">
            <v>5163.3127119999999</v>
          </cell>
          <cell r="Q41">
            <v>5241.0800200000003</v>
          </cell>
          <cell r="R41">
            <v>5319.6924040000004</v>
          </cell>
          <cell r="S41">
            <v>5399.2359880000004</v>
          </cell>
          <cell r="T41">
            <v>5479.804607</v>
          </cell>
          <cell r="U41">
            <v>5561.4936299999999</v>
          </cell>
          <cell r="V41">
            <v>5640.8637230000004</v>
          </cell>
          <cell r="W41">
            <v>5723.7813070000002</v>
          </cell>
          <cell r="X41">
            <v>5808.560254</v>
          </cell>
          <cell r="Y41">
            <v>5895.041647</v>
          </cell>
          <cell r="Z41">
            <v>5983.2144779999999</v>
          </cell>
          <cell r="AA41">
            <v>6062.8905240000004</v>
          </cell>
          <cell r="AB41">
            <v>6145.9164270000001</v>
          </cell>
          <cell r="AC41">
            <v>6230.2243630000003</v>
          </cell>
          <cell r="AD41">
            <v>6315.797082</v>
          </cell>
          <cell r="AE41">
            <v>6402.7618270000003</v>
          </cell>
          <cell r="AF41">
            <v>6491.2394350000004</v>
          </cell>
          <cell r="AG41">
            <v>6581.3129499999995</v>
          </cell>
          <cell r="AH41">
            <v>6673.0257320000001</v>
          </cell>
          <cell r="AI41">
            <v>6766.3880520000002</v>
          </cell>
          <cell r="AJ41">
            <v>6861.3859819999998</v>
          </cell>
          <cell r="AK41">
            <v>6957.9900969999999</v>
          </cell>
          <cell r="AL41">
            <v>7053.6828820000001</v>
          </cell>
          <cell r="AM41">
            <v>7149.9690460000002</v>
          </cell>
          <cell r="AN41">
            <v>7247.1385069999997</v>
          </cell>
          <cell r="AO41">
            <v>7345.3299360000001</v>
          </cell>
          <cell r="AP41">
            <v>7444.6393280000002</v>
          </cell>
          <cell r="AQ41">
            <v>7545.141337</v>
          </cell>
          <cell r="AR41">
            <v>7646.8927659999999</v>
          </cell>
          <cell r="AS41">
            <v>7749.9337150000001</v>
          </cell>
          <cell r="AT41">
            <v>7854.2895140000001</v>
          </cell>
          <cell r="AU41">
            <v>7959.9734790000002</v>
          </cell>
          <cell r="AV41">
            <v>8067.2152070000002</v>
          </cell>
          <cell r="AW41">
            <v>8175.8803289999996</v>
          </cell>
          <cell r="AX41">
            <v>8285.9401259999995</v>
          </cell>
          <cell r="AY41">
            <v>8397.3808700000009</v>
          </cell>
          <cell r="AZ41">
            <v>8510.1941750000005</v>
          </cell>
          <cell r="BA41">
            <v>9336.7969190000003</v>
          </cell>
          <cell r="BB41">
            <v>9496.1710920000005</v>
          </cell>
          <cell r="BC41">
            <v>9658.2496090000004</v>
          </cell>
          <cell r="BD41">
            <v>9823.0714029999999</v>
          </cell>
          <cell r="BE41">
            <v>9990.6764860000003</v>
          </cell>
        </row>
        <row r="42">
          <cell r="B42">
            <v>34772.697289999996</v>
          </cell>
          <cell r="C42">
            <v>34888.866009999998</v>
          </cell>
          <cell r="D42">
            <v>35020.235610000003</v>
          </cell>
          <cell r="E42">
            <v>35187.557090000002</v>
          </cell>
          <cell r="F42">
            <v>35403.111440000001</v>
          </cell>
          <cell r="G42">
            <v>35665.559580000001</v>
          </cell>
          <cell r="H42">
            <v>35947.498399999997</v>
          </cell>
          <cell r="I42">
            <v>36255.8459</v>
          </cell>
          <cell r="J42">
            <v>36585.209280000003</v>
          </cell>
          <cell r="K42">
            <v>36929.950620000003</v>
          </cell>
          <cell r="L42">
            <v>37258.733059999999</v>
          </cell>
          <cell r="M42">
            <v>37662.29434</v>
          </cell>
          <cell r="N42">
            <v>38080.355020000003</v>
          </cell>
          <cell r="O42">
            <v>38507.767180000003</v>
          </cell>
          <cell r="P42">
            <v>38942.765429999999</v>
          </cell>
          <cell r="Q42">
            <v>39384.266750000003</v>
          </cell>
          <cell r="R42">
            <v>39828.807869999997</v>
          </cell>
          <cell r="S42">
            <v>40277.87659</v>
          </cell>
          <cell r="T42">
            <v>40731.110639999999</v>
          </cell>
          <cell r="U42">
            <v>41188.187899999997</v>
          </cell>
          <cell r="V42">
            <v>41624.644959999998</v>
          </cell>
          <cell r="W42">
            <v>42082.197890000003</v>
          </cell>
          <cell r="X42">
            <v>42545.732940000002</v>
          </cell>
          <cell r="Y42">
            <v>43014.131370000003</v>
          </cell>
          <cell r="Z42">
            <v>43487.30831</v>
          </cell>
          <cell r="AA42">
            <v>43896.076659999999</v>
          </cell>
          <cell r="AB42">
            <v>44328.293850000002</v>
          </cell>
          <cell r="AC42">
            <v>44763.077369999999</v>
          </cell>
          <cell r="AD42">
            <v>45200.109980000001</v>
          </cell>
          <cell r="AE42">
            <v>45640.232539999997</v>
          </cell>
          <cell r="AF42">
            <v>46084.362560000001</v>
          </cell>
          <cell r="AG42">
            <v>46534.040459999997</v>
          </cell>
          <cell r="AH42">
            <v>46989.244189999998</v>
          </cell>
          <cell r="AI42">
            <v>47450.378429999997</v>
          </cell>
          <cell r="AJ42">
            <v>47917.738870000001</v>
          </cell>
          <cell r="AK42">
            <v>48391.538379999998</v>
          </cell>
          <cell r="AL42">
            <v>48862.70577</v>
          </cell>
          <cell r="AM42">
            <v>49336.945379999997</v>
          </cell>
          <cell r="AN42">
            <v>49815.496520000001</v>
          </cell>
          <cell r="AO42">
            <v>50299.031949999997</v>
          </cell>
          <cell r="AP42">
            <v>50788.052819999997</v>
          </cell>
          <cell r="AQ42">
            <v>51284.177629999998</v>
          </cell>
          <cell r="AR42">
            <v>51786.728040000002</v>
          </cell>
          <cell r="AS42">
            <v>52295.905270000003</v>
          </cell>
          <cell r="AT42">
            <v>52811.894180000003</v>
          </cell>
          <cell r="AU42">
            <v>53334.833760000001</v>
          </cell>
          <cell r="AV42">
            <v>53870.599970000003</v>
          </cell>
          <cell r="AW42">
            <v>54414.640469999998</v>
          </cell>
          <cell r="AX42">
            <v>54966.677989999996</v>
          </cell>
          <cell r="AY42">
            <v>55526.668210000003</v>
          </cell>
          <cell r="AZ42">
            <v>56094.610119999998</v>
          </cell>
          <cell r="BA42">
            <v>67926.883799999996</v>
          </cell>
          <cell r="BB42">
            <v>68915.504950000002</v>
          </cell>
          <cell r="BC42">
            <v>69920.264439999999</v>
          </cell>
          <cell r="BD42">
            <v>70941.557520000002</v>
          </cell>
          <cell r="BE42">
            <v>71979.801760000002</v>
          </cell>
        </row>
        <row r="43">
          <cell r="B43">
            <v>35478.336779999998</v>
          </cell>
          <cell r="C43">
            <v>35744.193520000001</v>
          </cell>
          <cell r="D43">
            <v>36000.990510000003</v>
          </cell>
          <cell r="E43">
            <v>36292.427080000001</v>
          </cell>
          <cell r="F43">
            <v>36629.837030000002</v>
          </cell>
          <cell r="G43">
            <v>37012.753219999999</v>
          </cell>
          <cell r="H43">
            <v>37414.352250000004</v>
          </cell>
          <cell r="I43">
            <v>37841.751060000002</v>
          </cell>
          <cell r="J43">
            <v>38290.141179999999</v>
          </cell>
          <cell r="K43">
            <v>38755.053059999998</v>
          </cell>
          <cell r="L43">
            <v>39268.913419999997</v>
          </cell>
          <cell r="M43">
            <v>39767.624539999997</v>
          </cell>
          <cell r="N43">
            <v>40272.12227</v>
          </cell>
          <cell r="O43">
            <v>40783.065470000001</v>
          </cell>
          <cell r="P43">
            <v>41300.049189999998</v>
          </cell>
          <cell r="Q43">
            <v>41822.70175</v>
          </cell>
          <cell r="R43">
            <v>42350.833509999997</v>
          </cell>
          <cell r="S43">
            <v>42884.416620000004</v>
          </cell>
          <cell r="T43">
            <v>43423.541870000001</v>
          </cell>
          <cell r="U43">
            <v>43968.38061</v>
          </cell>
          <cell r="V43">
            <v>44492.661319999999</v>
          </cell>
          <cell r="W43">
            <v>45042.396979999998</v>
          </cell>
          <cell r="X43">
            <v>45601.065979999999</v>
          </cell>
          <cell r="Y43">
            <v>46167.620869999999</v>
          </cell>
          <cell r="Z43">
            <v>46742.053650000002</v>
          </cell>
          <cell r="AA43">
            <v>47248.083229999997</v>
          </cell>
          <cell r="AB43">
            <v>47781.666469999996</v>
          </cell>
          <cell r="AC43">
            <v>48320.337639999998</v>
          </cell>
          <cell r="AD43">
            <v>48863.659070000002</v>
          </cell>
          <cell r="AE43">
            <v>49412.384859999998</v>
          </cell>
          <cell r="AF43">
            <v>49967.35785</v>
          </cell>
          <cell r="AG43">
            <v>50529.292719999998</v>
          </cell>
          <cell r="AH43">
            <v>51098.735549999998</v>
          </cell>
          <cell r="AI43">
            <v>51676.075689999998</v>
          </cell>
          <cell r="AJ43">
            <v>52261.573629999999</v>
          </cell>
          <cell r="AK43">
            <v>52855.392240000001</v>
          </cell>
          <cell r="AL43">
            <v>53439.176740000003</v>
          </cell>
          <cell r="AM43">
            <v>54026.269630000003</v>
          </cell>
          <cell r="AN43">
            <v>54618.351360000001</v>
          </cell>
          <cell r="AO43">
            <v>55216.190640000001</v>
          </cell>
          <cell r="AP43">
            <v>55820.364000000001</v>
          </cell>
          <cell r="AQ43">
            <v>56431.367859999998</v>
          </cell>
          <cell r="AR43">
            <v>57049.624459999999</v>
          </cell>
          <cell r="AS43">
            <v>57675.47582</v>
          </cell>
          <cell r="AT43">
            <v>58309.178200000002</v>
          </cell>
          <cell r="AU43">
            <v>58950.883990000002</v>
          </cell>
          <cell r="AV43">
            <v>59602.19627</v>
          </cell>
          <cell r="AW43">
            <v>60261.943780000001</v>
          </cell>
          <cell r="AX43">
            <v>60929.872710000003</v>
          </cell>
          <cell r="AY43">
            <v>61606.433420000001</v>
          </cell>
          <cell r="AZ43">
            <v>62292.005989999998</v>
          </cell>
          <cell r="BA43">
            <v>67946.043550000002</v>
          </cell>
          <cell r="BB43">
            <v>68930.646030000004</v>
          </cell>
          <cell r="BC43">
            <v>69931.037639999995</v>
          </cell>
          <cell r="BD43">
            <v>70947.610119999998</v>
          </cell>
          <cell r="BE43">
            <v>71980.767460000003</v>
          </cell>
        </row>
        <row r="44">
          <cell r="B44">
            <v>3860.6516489999999</v>
          </cell>
          <cell r="C44">
            <v>3867.2293199999999</v>
          </cell>
          <cell r="D44">
            <v>3873.2893479999998</v>
          </cell>
          <cell r="E44">
            <v>3884.4715769999998</v>
          </cell>
          <cell r="F44">
            <v>3902.5911000000001</v>
          </cell>
          <cell r="G44">
            <v>3927.2404160000001</v>
          </cell>
          <cell r="H44">
            <v>3955.3491410000001</v>
          </cell>
          <cell r="I44">
            <v>3987.2004240000001</v>
          </cell>
          <cell r="J44">
            <v>4021.9668019999999</v>
          </cell>
          <cell r="K44">
            <v>4058.9652449999999</v>
          </cell>
          <cell r="L44">
            <v>4094.8233650000002</v>
          </cell>
          <cell r="M44">
            <v>4138.7757300000003</v>
          </cell>
          <cell r="N44">
            <v>4184.4833920000001</v>
          </cell>
          <cell r="O44">
            <v>4231.4591730000002</v>
          </cell>
          <cell r="P44">
            <v>4279.4776250000004</v>
          </cell>
          <cell r="Q44">
            <v>4328.3721679999999</v>
          </cell>
          <cell r="R44">
            <v>4377.7607660000003</v>
          </cell>
          <cell r="S44">
            <v>4427.7355630000002</v>
          </cell>
          <cell r="T44">
            <v>4478.2084930000001</v>
          </cell>
          <cell r="U44">
            <v>4529.1082180000003</v>
          </cell>
          <cell r="V44">
            <v>4578.0412150000002</v>
          </cell>
          <cell r="W44">
            <v>4628.9846690000004</v>
          </cell>
          <cell r="X44">
            <v>4680.4133069999998</v>
          </cell>
          <cell r="Y44">
            <v>4732.2520059999997</v>
          </cell>
          <cell r="Z44">
            <v>4784.4926839999998</v>
          </cell>
          <cell r="AA44">
            <v>4830.4421750000001</v>
          </cell>
          <cell r="AB44">
            <v>4878.5293600000005</v>
          </cell>
          <cell r="AC44">
            <v>4926.5842830000001</v>
          </cell>
          <cell r="AD44">
            <v>4974.6446139999998</v>
          </cell>
          <cell r="AE44">
            <v>5022.8250529999996</v>
          </cell>
          <cell r="AF44">
            <v>5071.2398460000004</v>
          </cell>
          <cell r="AG44">
            <v>5120.0586800000001</v>
          </cell>
          <cell r="AH44">
            <v>5169.2991949999996</v>
          </cell>
          <cell r="AI44">
            <v>5219.0222199999998</v>
          </cell>
          <cell r="AJ44">
            <v>5269.275533</v>
          </cell>
          <cell r="AK44">
            <v>5320.095996</v>
          </cell>
          <cell r="AL44">
            <v>5370.6065749999998</v>
          </cell>
          <cell r="AM44">
            <v>5421.3593330000003</v>
          </cell>
          <cell r="AN44">
            <v>5472.4711960000004</v>
          </cell>
          <cell r="AO44">
            <v>5524.0193740000004</v>
          </cell>
          <cell r="AP44">
            <v>5576.0698359999997</v>
          </cell>
          <cell r="AQ44">
            <v>5628.7966249999999</v>
          </cell>
          <cell r="AR44">
            <v>5682.1517880000001</v>
          </cell>
          <cell r="AS44">
            <v>5736.176324</v>
          </cell>
          <cell r="AT44">
            <v>5790.9051909999998</v>
          </cell>
          <cell r="AU44">
            <v>5846.3666540000004</v>
          </cell>
          <cell r="AV44">
            <v>5903.1377050000001</v>
          </cell>
          <cell r="AW44">
            <v>5960.7845539999998</v>
          </cell>
          <cell r="AX44">
            <v>6019.3076840000003</v>
          </cell>
          <cell r="AY44">
            <v>6078.7166189999998</v>
          </cell>
          <cell r="AZ44">
            <v>6139.0214459999997</v>
          </cell>
          <cell r="BA44">
            <v>7347.7758219999996</v>
          </cell>
          <cell r="BB44">
            <v>7449.9415129999998</v>
          </cell>
          <cell r="BC44">
            <v>7553.7110700000003</v>
          </cell>
          <cell r="BD44">
            <v>7659.1339539999999</v>
          </cell>
          <cell r="BE44">
            <v>7766.2621429999999</v>
          </cell>
        </row>
        <row r="45">
          <cell r="B45">
            <v>3931.255087</v>
          </cell>
          <cell r="C45">
            <v>3952.958846</v>
          </cell>
          <cell r="D45">
            <v>3972.5560839999998</v>
          </cell>
          <cell r="E45">
            <v>3997.3592309999999</v>
          </cell>
          <cell r="F45">
            <v>4029.1252500000001</v>
          </cell>
          <cell r="G45">
            <v>4067.2748860000002</v>
          </cell>
          <cell r="H45">
            <v>4108.6527539999997</v>
          </cell>
          <cell r="I45">
            <v>4153.5180520000004</v>
          </cell>
          <cell r="J45">
            <v>4201.0787799999998</v>
          </cell>
          <cell r="K45">
            <v>4250.7141620000002</v>
          </cell>
          <cell r="L45">
            <v>4305.4321920000002</v>
          </cell>
          <cell r="M45">
            <v>4358.9817469999998</v>
          </cell>
          <cell r="N45">
            <v>4413.3928100000003</v>
          </cell>
          <cell r="O45">
            <v>4468.5992770000003</v>
          </cell>
          <cell r="P45">
            <v>4524.4943000000003</v>
          </cell>
          <cell r="Q45">
            <v>4580.9965670000001</v>
          </cell>
          <cell r="R45">
            <v>4638.0538539999998</v>
          </cell>
          <cell r="S45">
            <v>4695.6368380000004</v>
          </cell>
          <cell r="T45">
            <v>4753.7328420000003</v>
          </cell>
          <cell r="U45">
            <v>4812.3409860000002</v>
          </cell>
          <cell r="V45">
            <v>4868.9017000000003</v>
          </cell>
          <cell r="W45">
            <v>4927.8492619999997</v>
          </cell>
          <cell r="X45">
            <v>4987.5204560000002</v>
          </cell>
          <cell r="Y45">
            <v>5047.8637360000002</v>
          </cell>
          <cell r="Z45">
            <v>5108.8913810000004</v>
          </cell>
          <cell r="AA45">
            <v>5163.2057219999997</v>
          </cell>
          <cell r="AB45">
            <v>5220.0871950000001</v>
          </cell>
          <cell r="AC45">
            <v>5277.1845400000002</v>
          </cell>
          <cell r="AD45">
            <v>5334.5270060000003</v>
          </cell>
          <cell r="AE45">
            <v>5392.2257799999998</v>
          </cell>
          <cell r="AF45">
            <v>5450.3910939999996</v>
          </cell>
          <cell r="AG45">
            <v>5509.1151209999998</v>
          </cell>
          <cell r="AH45">
            <v>5568.4697980000001</v>
          </cell>
          <cell r="AI45">
            <v>5628.5088539999997</v>
          </cell>
          <cell r="AJ45">
            <v>5689.2711149999996</v>
          </cell>
          <cell r="AK45">
            <v>5750.7840100000003</v>
          </cell>
          <cell r="AL45">
            <v>5811.2738630000003</v>
          </cell>
          <cell r="AM45">
            <v>5872.0428419999998</v>
          </cell>
          <cell r="AN45">
            <v>5933.2185760000002</v>
          </cell>
          <cell r="AO45">
            <v>5994.8757260000002</v>
          </cell>
          <cell r="AP45">
            <v>6057.0800900000004</v>
          </cell>
          <cell r="AQ45">
            <v>6119.8922780000003</v>
          </cell>
          <cell r="AR45">
            <v>6183.3656959999998</v>
          </cell>
          <cell r="AS45">
            <v>6247.5450760000003</v>
          </cell>
          <cell r="AT45">
            <v>6312.4662660000004</v>
          </cell>
          <cell r="AU45">
            <v>6378.1569129999998</v>
          </cell>
          <cell r="AV45">
            <v>6444.7992439999998</v>
          </cell>
          <cell r="AW45">
            <v>6512.2916619999996</v>
          </cell>
          <cell r="AX45">
            <v>6580.6355240000003</v>
          </cell>
          <cell r="AY45">
            <v>6649.836491</v>
          </cell>
          <cell r="AZ45">
            <v>6719.8990409999997</v>
          </cell>
          <cell r="BA45">
            <v>7331.8069230000001</v>
          </cell>
          <cell r="BB45">
            <v>7432.871486</v>
          </cell>
          <cell r="BC45">
            <v>7535.4863310000001</v>
          </cell>
          <cell r="BD45">
            <v>7639.6964379999999</v>
          </cell>
          <cell r="BE45">
            <v>7745.5498040000002</v>
          </cell>
        </row>
        <row r="46">
          <cell r="B46">
            <v>393.88369640000002</v>
          </cell>
          <cell r="C46">
            <v>396.23657839999998</v>
          </cell>
          <cell r="D46">
            <v>398.84137779999998</v>
          </cell>
          <cell r="E46">
            <v>401.65994069999999</v>
          </cell>
          <cell r="F46">
            <v>404.81618700000001</v>
          </cell>
          <cell r="G46">
            <v>408.3522676</v>
          </cell>
          <cell r="H46">
            <v>411.97625379999999</v>
          </cell>
          <cell r="I46">
            <v>415.81598780000002</v>
          </cell>
          <cell r="J46">
            <v>419.842401</v>
          </cell>
          <cell r="K46">
            <v>423.99093640000001</v>
          </cell>
          <cell r="L46">
            <v>427.96578410000001</v>
          </cell>
          <cell r="M46">
            <v>432.6049261</v>
          </cell>
          <cell r="N46">
            <v>437.3452064</v>
          </cell>
          <cell r="O46">
            <v>442.14493770000001</v>
          </cell>
          <cell r="P46">
            <v>447.00225669999998</v>
          </cell>
          <cell r="Q46">
            <v>451.91796490000002</v>
          </cell>
          <cell r="R46">
            <v>456.86967909999998</v>
          </cell>
          <cell r="S46">
            <v>461.8694011</v>
          </cell>
          <cell r="T46">
            <v>466.91693070000002</v>
          </cell>
          <cell r="U46">
            <v>472.0115055</v>
          </cell>
          <cell r="V46">
            <v>476.8321497</v>
          </cell>
          <cell r="W46">
            <v>481.91844639999999</v>
          </cell>
          <cell r="X46">
            <v>487.10161920000002</v>
          </cell>
          <cell r="Y46">
            <v>492.35879089999997</v>
          </cell>
          <cell r="Z46">
            <v>497.68658169999998</v>
          </cell>
          <cell r="AA46">
            <v>502.1718712</v>
          </cell>
          <cell r="AB46">
            <v>506.9267739</v>
          </cell>
          <cell r="AC46">
            <v>511.74734369999999</v>
          </cell>
          <cell r="AD46">
            <v>516.62189130000002</v>
          </cell>
          <cell r="AE46">
            <v>521.55784549999998</v>
          </cell>
          <cell r="AF46">
            <v>526.56498850000003</v>
          </cell>
          <cell r="AG46">
            <v>531.65770559999999</v>
          </cell>
          <cell r="AH46">
            <v>536.83857479999995</v>
          </cell>
          <cell r="AI46">
            <v>542.11136720000002</v>
          </cell>
          <cell r="AJ46">
            <v>547.47856779999995</v>
          </cell>
          <cell r="AK46">
            <v>552.94186160000004</v>
          </cell>
          <cell r="AL46">
            <v>558.34141439999996</v>
          </cell>
          <cell r="AM46">
            <v>563.78175160000001</v>
          </cell>
          <cell r="AN46">
            <v>569.28737669999998</v>
          </cell>
          <cell r="AO46">
            <v>574.86833639999998</v>
          </cell>
          <cell r="AP46">
            <v>580.530303</v>
          </cell>
          <cell r="AQ46">
            <v>586.2859436</v>
          </cell>
          <cell r="AR46">
            <v>592.13118110000005</v>
          </cell>
          <cell r="AS46">
            <v>598.06663719999995</v>
          </cell>
          <cell r="AT46">
            <v>604.09264870000004</v>
          </cell>
          <cell r="AU46">
            <v>610.20910600000002</v>
          </cell>
          <cell r="AV46">
            <v>616.46657010000001</v>
          </cell>
          <cell r="AW46">
            <v>622.82919030000005</v>
          </cell>
          <cell r="AX46">
            <v>629.29124130000002</v>
          </cell>
          <cell r="AY46">
            <v>635.84997780000003</v>
          </cell>
          <cell r="AZ46">
            <v>642.50355219999994</v>
          </cell>
          <cell r="BA46">
            <v>765.24011380000002</v>
          </cell>
          <cell r="BB46">
            <v>776.48617630000001</v>
          </cell>
          <cell r="BC46">
            <v>787.92153589999998</v>
          </cell>
          <cell r="BD46">
            <v>799.54989030000002</v>
          </cell>
          <cell r="BE46">
            <v>811.37528320000001</v>
          </cell>
        </row>
        <row r="47">
          <cell r="B47">
            <v>400.48580179999999</v>
          </cell>
          <cell r="C47">
            <v>404.4220995</v>
          </cell>
          <cell r="D47">
            <v>408.36509840000002</v>
          </cell>
          <cell r="E47">
            <v>412.50125259999999</v>
          </cell>
          <cell r="F47">
            <v>416.89862290000002</v>
          </cell>
          <cell r="G47">
            <v>421.61832429999998</v>
          </cell>
          <cell r="H47">
            <v>426.39217710000003</v>
          </cell>
          <cell r="I47">
            <v>431.36491460000002</v>
          </cell>
          <cell r="J47">
            <v>436.52519810000001</v>
          </cell>
          <cell r="K47">
            <v>441.84206369999998</v>
          </cell>
          <cell r="L47">
            <v>447.75561090000002</v>
          </cell>
          <cell r="M47">
            <v>453.4564737</v>
          </cell>
          <cell r="N47">
            <v>459.182142</v>
          </cell>
          <cell r="O47">
            <v>464.9602974</v>
          </cell>
          <cell r="P47">
            <v>470.79488889999999</v>
          </cell>
          <cell r="Q47">
            <v>476.6863151</v>
          </cell>
          <cell r="R47">
            <v>482.63549970000003</v>
          </cell>
          <cell r="S47">
            <v>488.64454119999999</v>
          </cell>
          <cell r="T47">
            <v>494.71658580000002</v>
          </cell>
          <cell r="U47">
            <v>500.8555427</v>
          </cell>
          <cell r="V47">
            <v>506.72246250000001</v>
          </cell>
          <cell r="W47">
            <v>512.89993119999997</v>
          </cell>
          <cell r="X47">
            <v>519.20570789999999</v>
          </cell>
          <cell r="Y47">
            <v>525.61695940000004</v>
          </cell>
          <cell r="Z47">
            <v>532.13055699999995</v>
          </cell>
          <cell r="AA47">
            <v>537.76204740000003</v>
          </cell>
          <cell r="AB47">
            <v>543.70575789999998</v>
          </cell>
          <cell r="AC47">
            <v>549.73920180000005</v>
          </cell>
          <cell r="AD47">
            <v>555.84857250000005</v>
          </cell>
          <cell r="AE47">
            <v>562.0392319</v>
          </cell>
          <cell r="AF47">
            <v>568.31952479999995</v>
          </cell>
          <cell r="AG47">
            <v>574.69701120000002</v>
          </cell>
          <cell r="AH47">
            <v>581.17756280000003</v>
          </cell>
          <cell r="AI47">
            <v>587.76532680000003</v>
          </cell>
          <cell r="AJ47">
            <v>594.46296659999996</v>
          </cell>
          <cell r="AK47">
            <v>601.27198320000002</v>
          </cell>
          <cell r="AL47">
            <v>607.95752719999996</v>
          </cell>
          <cell r="AM47">
            <v>614.67884819999995</v>
          </cell>
          <cell r="AN47">
            <v>621.4667839</v>
          </cell>
          <cell r="AO47">
            <v>628.33396330000005</v>
          </cell>
          <cell r="AP47">
            <v>635.28818960000001</v>
          </cell>
          <cell r="AQ47">
            <v>642.33533590000002</v>
          </cell>
          <cell r="AR47">
            <v>649.48002359999998</v>
          </cell>
          <cell r="AS47">
            <v>656.72581360000004</v>
          </cell>
          <cell r="AT47">
            <v>664.0752367</v>
          </cell>
          <cell r="AU47">
            <v>671.52959910000004</v>
          </cell>
          <cell r="AV47">
            <v>679.10886730000004</v>
          </cell>
          <cell r="AW47">
            <v>686.78680099999997</v>
          </cell>
          <cell r="AX47">
            <v>694.54541219999999</v>
          </cell>
          <cell r="AY47">
            <v>702.40611320000005</v>
          </cell>
          <cell r="AZ47">
            <v>710.3876649</v>
          </cell>
          <cell r="BA47">
            <v>768.46091969999998</v>
          </cell>
          <cell r="BB47">
            <v>779.74758099999997</v>
          </cell>
          <cell r="BC47">
            <v>791.22139240000001</v>
          </cell>
          <cell r="BD47">
            <v>802.88681480000002</v>
          </cell>
          <cell r="BE47">
            <v>814.74811299999999</v>
          </cell>
        </row>
        <row r="48">
          <cell r="B48">
            <v>552.94936489999998</v>
          </cell>
          <cell r="C48">
            <v>556.25243269999999</v>
          </cell>
          <cell r="D48">
            <v>559.90915219999999</v>
          </cell>
          <cell r="E48">
            <v>563.86596120000002</v>
          </cell>
          <cell r="F48">
            <v>568.29682339999999</v>
          </cell>
          <cell r="G48">
            <v>573.2609119</v>
          </cell>
          <cell r="H48">
            <v>578.34840580000002</v>
          </cell>
          <cell r="I48">
            <v>583.73877479999999</v>
          </cell>
          <cell r="J48">
            <v>589.39121130000001</v>
          </cell>
          <cell r="K48">
            <v>595.21508789999996</v>
          </cell>
          <cell r="L48">
            <v>600.79513480000003</v>
          </cell>
          <cell r="M48">
            <v>607.3077442</v>
          </cell>
          <cell r="N48">
            <v>613.96233529999995</v>
          </cell>
          <cell r="O48">
            <v>620.70038620000003</v>
          </cell>
          <cell r="P48">
            <v>627.51928080000005</v>
          </cell>
          <cell r="Q48">
            <v>634.42014459999996</v>
          </cell>
          <cell r="R48">
            <v>641.37155510000002</v>
          </cell>
          <cell r="S48">
            <v>648.39036069999997</v>
          </cell>
          <cell r="T48">
            <v>655.47628050000003</v>
          </cell>
          <cell r="U48">
            <v>662.62824420000004</v>
          </cell>
          <cell r="V48">
            <v>669.39565340000001</v>
          </cell>
          <cell r="W48">
            <v>676.53599589999999</v>
          </cell>
          <cell r="X48">
            <v>683.81233710000004</v>
          </cell>
          <cell r="Y48">
            <v>691.19256069999994</v>
          </cell>
          <cell r="Z48">
            <v>698.67192209999996</v>
          </cell>
          <cell r="AA48">
            <v>704.96854719999999</v>
          </cell>
          <cell r="AB48">
            <v>711.64366600000005</v>
          </cell>
          <cell r="AC48">
            <v>718.41097070000001</v>
          </cell>
          <cell r="AD48">
            <v>725.25405149999995</v>
          </cell>
          <cell r="AE48">
            <v>732.18333740000003</v>
          </cell>
          <cell r="AF48">
            <v>739.21256089999997</v>
          </cell>
          <cell r="AG48">
            <v>746.36191680000002</v>
          </cell>
          <cell r="AH48">
            <v>753.63502389999996</v>
          </cell>
          <cell r="AI48">
            <v>761.03717649999999</v>
          </cell>
          <cell r="AJ48">
            <v>768.57186300000001</v>
          </cell>
          <cell r="AK48">
            <v>776.24144879999994</v>
          </cell>
          <cell r="AL48">
            <v>783.82155260000002</v>
          </cell>
          <cell r="AM48">
            <v>791.45891110000002</v>
          </cell>
          <cell r="AN48">
            <v>799.18792329999997</v>
          </cell>
          <cell r="AO48">
            <v>807.02269309999997</v>
          </cell>
          <cell r="AP48">
            <v>814.97118379999995</v>
          </cell>
          <cell r="AQ48">
            <v>823.05117749999999</v>
          </cell>
          <cell r="AR48">
            <v>831.25695089999999</v>
          </cell>
          <cell r="AS48">
            <v>839.5893767</v>
          </cell>
          <cell r="AT48">
            <v>848.04892770000004</v>
          </cell>
          <cell r="AU48">
            <v>856.63545009999996</v>
          </cell>
          <cell r="AV48">
            <v>865.41992340000002</v>
          </cell>
          <cell r="AW48">
            <v>874.35201889999996</v>
          </cell>
          <cell r="AX48">
            <v>883.42369929999995</v>
          </cell>
          <cell r="AY48">
            <v>892.63111049999998</v>
          </cell>
          <cell r="AZ48">
            <v>901.97165900000005</v>
          </cell>
          <cell r="BA48">
            <v>1074.2740530000001</v>
          </cell>
          <cell r="BB48">
            <v>1090.0617159999999</v>
          </cell>
          <cell r="BC48">
            <v>1106.1151219999999</v>
          </cell>
          <cell r="BD48">
            <v>1122.4394609999999</v>
          </cell>
          <cell r="BE48">
            <v>1139.0404109999999</v>
          </cell>
        </row>
        <row r="49">
          <cell r="B49">
            <v>562.21765909999999</v>
          </cell>
          <cell r="C49">
            <v>567.74358789999997</v>
          </cell>
          <cell r="D49">
            <v>573.27892429999997</v>
          </cell>
          <cell r="E49">
            <v>579.08541969999999</v>
          </cell>
          <cell r="F49">
            <v>585.25862040000004</v>
          </cell>
          <cell r="G49">
            <v>591.88432209999996</v>
          </cell>
          <cell r="H49">
            <v>598.58604360000004</v>
          </cell>
          <cell r="I49">
            <v>605.56696739999995</v>
          </cell>
          <cell r="J49">
            <v>612.81117549999999</v>
          </cell>
          <cell r="K49">
            <v>620.2751998</v>
          </cell>
          <cell r="L49">
            <v>628.57686909999995</v>
          </cell>
          <cell r="M49">
            <v>636.57996349999996</v>
          </cell>
          <cell r="N49">
            <v>644.61788109999998</v>
          </cell>
          <cell r="O49">
            <v>652.72948199999996</v>
          </cell>
          <cell r="P49">
            <v>660.92031010000005</v>
          </cell>
          <cell r="Q49">
            <v>669.19092509999996</v>
          </cell>
          <cell r="R49">
            <v>677.54262349999999</v>
          </cell>
          <cell r="S49">
            <v>685.97835139999995</v>
          </cell>
          <cell r="T49">
            <v>694.50252550000005</v>
          </cell>
          <cell r="U49">
            <v>703.12063360000002</v>
          </cell>
          <cell r="V49">
            <v>711.35684549999996</v>
          </cell>
          <cell r="W49">
            <v>720.02901810000003</v>
          </cell>
          <cell r="X49">
            <v>728.8813146</v>
          </cell>
          <cell r="Y49">
            <v>737.88168059999998</v>
          </cell>
          <cell r="Z49">
            <v>747.02572410000005</v>
          </cell>
          <cell r="AA49">
            <v>754.93143090000001</v>
          </cell>
          <cell r="AB49">
            <v>763.27544460000001</v>
          </cell>
          <cell r="AC49">
            <v>771.74542959999997</v>
          </cell>
          <cell r="AD49">
            <v>780.32200350000005</v>
          </cell>
          <cell r="AE49">
            <v>789.01269360000003</v>
          </cell>
          <cell r="AF49">
            <v>797.82921490000001</v>
          </cell>
          <cell r="AG49">
            <v>806.78218019999997</v>
          </cell>
          <cell r="AH49">
            <v>815.87983240000005</v>
          </cell>
          <cell r="AI49">
            <v>825.12799359999997</v>
          </cell>
          <cell r="AJ49">
            <v>834.53040269999997</v>
          </cell>
          <cell r="AK49">
            <v>844.08916710000005</v>
          </cell>
          <cell r="AL49">
            <v>853.47459570000001</v>
          </cell>
          <cell r="AM49">
            <v>862.91024930000003</v>
          </cell>
          <cell r="AN49">
            <v>872.43941940000002</v>
          </cell>
          <cell r="AO49">
            <v>882.07983490000004</v>
          </cell>
          <cell r="AP49">
            <v>891.8424503</v>
          </cell>
          <cell r="AQ49">
            <v>901.73551029999999</v>
          </cell>
          <cell r="AR49">
            <v>911.7655029</v>
          </cell>
          <cell r="AS49">
            <v>921.93742680000003</v>
          </cell>
          <cell r="AT49">
            <v>932.25483480000003</v>
          </cell>
          <cell r="AU49">
            <v>942.71956079999995</v>
          </cell>
          <cell r="AV49">
            <v>953.3596344</v>
          </cell>
          <cell r="AW49">
            <v>964.13821870000004</v>
          </cell>
          <cell r="AX49">
            <v>975.03006100000005</v>
          </cell>
          <cell r="AY49">
            <v>986.06522110000003</v>
          </cell>
          <cell r="AZ49">
            <v>997.270036</v>
          </cell>
          <cell r="BA49">
            <v>1078.7955460000001</v>
          </cell>
          <cell r="BB49">
            <v>1094.640204</v>
          </cell>
          <cell r="BC49">
            <v>1110.7475899999999</v>
          </cell>
          <cell r="BD49">
            <v>1127.123967</v>
          </cell>
          <cell r="BE49">
            <v>1143.775322</v>
          </cell>
        </row>
        <row r="50">
          <cell r="B50">
            <v>45543.942309999999</v>
          </cell>
          <cell r="C50">
            <v>45647.132940000003</v>
          </cell>
          <cell r="D50">
            <v>45758.552490000002</v>
          </cell>
          <cell r="E50">
            <v>45901.81409</v>
          </cell>
          <cell r="F50">
            <v>46101.00935</v>
          </cell>
          <cell r="G50">
            <v>46359.436000000002</v>
          </cell>
          <cell r="H50">
            <v>46645.352720000003</v>
          </cell>
          <cell r="I50">
            <v>46958.985529999998</v>
          </cell>
          <cell r="J50">
            <v>47290.557930000003</v>
          </cell>
          <cell r="K50">
            <v>47629.044580000002</v>
          </cell>
          <cell r="L50">
            <v>47959.888630000001</v>
          </cell>
          <cell r="M50">
            <v>48329.655469999998</v>
          </cell>
          <cell r="N50">
            <v>48704.529629999997</v>
          </cell>
          <cell r="O50">
            <v>49080.62861</v>
          </cell>
          <cell r="P50">
            <v>49457.128879999997</v>
          </cell>
          <cell r="Q50">
            <v>49833.625319999999</v>
          </cell>
          <cell r="R50">
            <v>50208.152869999998</v>
          </cell>
          <cell r="S50">
            <v>50580.830529999999</v>
          </cell>
          <cell r="T50">
            <v>50952.216919999999</v>
          </cell>
          <cell r="U50">
            <v>51323.047039999998</v>
          </cell>
          <cell r="V50">
            <v>51666.377639999999</v>
          </cell>
          <cell r="W50">
            <v>52027.717629999999</v>
          </cell>
          <cell r="X50">
            <v>52396.15324</v>
          </cell>
          <cell r="Y50">
            <v>52770.225689999999</v>
          </cell>
          <cell r="Z50">
            <v>53150.136610000001</v>
          </cell>
          <cell r="AA50">
            <v>53457.773500000003</v>
          </cell>
          <cell r="AB50">
            <v>53783.416369999999</v>
          </cell>
          <cell r="AC50">
            <v>54116.060619999997</v>
          </cell>
          <cell r="AD50">
            <v>54455.464290000004</v>
          </cell>
          <cell r="AE50">
            <v>54802.741170000001</v>
          </cell>
          <cell r="AF50">
            <v>55159.085209999997</v>
          </cell>
          <cell r="AG50">
            <v>55525.857120000001</v>
          </cell>
          <cell r="AH50">
            <v>55903.733079999998</v>
          </cell>
          <cell r="AI50">
            <v>56293.023220000003</v>
          </cell>
          <cell r="AJ50">
            <v>56693.79638</v>
          </cell>
          <cell r="AK50">
            <v>57105.948810000002</v>
          </cell>
          <cell r="AL50">
            <v>57514.482470000003</v>
          </cell>
          <cell r="AM50">
            <v>57929.985849999997</v>
          </cell>
          <cell r="AN50">
            <v>58354.414210000003</v>
          </cell>
          <cell r="AO50">
            <v>58788.026149999998</v>
          </cell>
          <cell r="AP50">
            <v>59230.690920000001</v>
          </cell>
          <cell r="AQ50">
            <v>59682.761639999997</v>
          </cell>
          <cell r="AR50">
            <v>60144.056920000003</v>
          </cell>
          <cell r="AS50">
            <v>60614.230219999998</v>
          </cell>
          <cell r="AT50">
            <v>61092.891349999998</v>
          </cell>
          <cell r="AU50">
            <v>61579.641710000004</v>
          </cell>
          <cell r="AV50">
            <v>62077.620410000003</v>
          </cell>
          <cell r="AW50">
            <v>62585.704489999996</v>
          </cell>
          <cell r="AX50">
            <v>63102.885869999998</v>
          </cell>
          <cell r="AY50">
            <v>63628.207999999999</v>
          </cell>
          <cell r="AZ50">
            <v>64160.855710000003</v>
          </cell>
          <cell r="BA50">
            <v>75081.2601</v>
          </cell>
          <cell r="BB50">
            <v>76031.318859999999</v>
          </cell>
          <cell r="BC50">
            <v>76999.102410000007</v>
          </cell>
          <cell r="BD50">
            <v>77984.709340000001</v>
          </cell>
          <cell r="BE50">
            <v>78988.25331</v>
          </cell>
        </row>
        <row r="51">
          <cell r="B51">
            <v>46370.096879999997</v>
          </cell>
          <cell r="C51">
            <v>46710.39935</v>
          </cell>
          <cell r="D51">
            <v>46998.392240000001</v>
          </cell>
          <cell r="E51">
            <v>47291.161030000003</v>
          </cell>
          <cell r="F51">
            <v>47608.212180000002</v>
          </cell>
          <cell r="G51">
            <v>47964.580240000003</v>
          </cell>
          <cell r="H51">
            <v>48338.274160000001</v>
          </cell>
          <cell r="I51">
            <v>48736.86767</v>
          </cell>
          <cell r="J51">
            <v>49155.812729999998</v>
          </cell>
          <cell r="K51">
            <v>49589.341630000003</v>
          </cell>
          <cell r="L51">
            <v>50073.668299999998</v>
          </cell>
          <cell r="M51">
            <v>50540.592960000002</v>
          </cell>
          <cell r="N51">
            <v>51005.948799999998</v>
          </cell>
          <cell r="O51">
            <v>51472.31925</v>
          </cell>
          <cell r="P51">
            <v>51940.378909999999</v>
          </cell>
          <cell r="Q51">
            <v>52410.552880000003</v>
          </cell>
          <cell r="R51">
            <v>52883.374280000004</v>
          </cell>
          <cell r="S51">
            <v>53359.530270000003</v>
          </cell>
          <cell r="T51">
            <v>53839.832560000003</v>
          </cell>
          <cell r="U51">
            <v>54325.171979999999</v>
          </cell>
          <cell r="V51">
            <v>54786.826229999999</v>
          </cell>
          <cell r="W51">
            <v>55273.347950000003</v>
          </cell>
          <cell r="X51">
            <v>55772.673499999997</v>
          </cell>
          <cell r="Y51">
            <v>56283.053939999998</v>
          </cell>
          <cell r="Z51">
            <v>56804.434589999997</v>
          </cell>
          <cell r="AA51">
            <v>57252.312940000003</v>
          </cell>
          <cell r="AB51">
            <v>57723.051180000002</v>
          </cell>
          <cell r="AC51">
            <v>58203.721089999999</v>
          </cell>
          <cell r="AD51">
            <v>58693.802960000001</v>
          </cell>
          <cell r="AE51">
            <v>59194.326820000002</v>
          </cell>
          <cell r="AF51">
            <v>59706.421849999999</v>
          </cell>
          <cell r="AG51">
            <v>60230.977229999997</v>
          </cell>
          <cell r="AH51">
            <v>60768.585039999998</v>
          </cell>
          <cell r="AI51">
            <v>61319.564149999998</v>
          </cell>
          <cell r="AJ51">
            <v>61884.01051</v>
          </cell>
          <cell r="AK51">
            <v>62461.854169999999</v>
          </cell>
          <cell r="AL51">
            <v>63032.733030000003</v>
          </cell>
          <cell r="AM51">
            <v>63608.437969999999</v>
          </cell>
          <cell r="AN51">
            <v>64191.971169999997</v>
          </cell>
          <cell r="AO51">
            <v>64784.644769999999</v>
          </cell>
          <cell r="AP51">
            <v>65387.264920000001</v>
          </cell>
          <cell r="AQ51">
            <v>66000.411470000006</v>
          </cell>
          <cell r="AR51">
            <v>66624.505059999996</v>
          </cell>
          <cell r="AS51">
            <v>67259.832120000006</v>
          </cell>
          <cell r="AT51">
            <v>67906.522419999994</v>
          </cell>
          <cell r="AU51">
            <v>68564.442030000006</v>
          </cell>
          <cell r="AV51">
            <v>69234.439100000003</v>
          </cell>
          <cell r="AW51">
            <v>69914.838560000004</v>
          </cell>
          <cell r="AX51">
            <v>70604.517309999996</v>
          </cell>
          <cell r="AY51">
            <v>71305.0052</v>
          </cell>
          <cell r="AZ51">
            <v>72017.716690000001</v>
          </cell>
          <cell r="BA51">
            <v>76493.494720000002</v>
          </cell>
          <cell r="BB51">
            <v>77489.911290000004</v>
          </cell>
          <cell r="BC51">
            <v>78504.211280000003</v>
          </cell>
          <cell r="BD51">
            <v>79536.728640000001</v>
          </cell>
          <cell r="BE51">
            <v>80587.747329999998</v>
          </cell>
        </row>
        <row r="52">
          <cell r="B52">
            <v>907.68437559999995</v>
          </cell>
          <cell r="C52">
            <v>909.74095030000001</v>
          </cell>
          <cell r="D52">
            <v>911.96152640000003</v>
          </cell>
          <cell r="E52">
            <v>914.81670999999994</v>
          </cell>
          <cell r="F52">
            <v>918.78664349999997</v>
          </cell>
          <cell r="G52">
            <v>923.93705039999998</v>
          </cell>
          <cell r="H52">
            <v>929.63533029999996</v>
          </cell>
          <cell r="I52">
            <v>935.88598839999997</v>
          </cell>
          <cell r="J52">
            <v>942.49417970000002</v>
          </cell>
          <cell r="K52">
            <v>949.2401711</v>
          </cell>
          <cell r="L52">
            <v>955.83384650000005</v>
          </cell>
          <cell r="M52">
            <v>963.20324779999999</v>
          </cell>
          <cell r="N52">
            <v>970.67443720000006</v>
          </cell>
          <cell r="O52">
            <v>978.17003699999998</v>
          </cell>
          <cell r="P52">
            <v>985.67363450000005</v>
          </cell>
          <cell r="Q52">
            <v>993.17715580000004</v>
          </cell>
          <cell r="R52">
            <v>1000.641437</v>
          </cell>
          <cell r="S52">
            <v>1008.068851</v>
          </cell>
          <cell r="T52">
            <v>1015.4705290000001</v>
          </cell>
          <cell r="U52">
            <v>1022.861121</v>
          </cell>
          <cell r="V52">
            <v>1029.7036519999999</v>
          </cell>
          <cell r="W52">
            <v>1036.905107</v>
          </cell>
          <cell r="X52">
            <v>1044.247977</v>
          </cell>
          <cell r="Y52">
            <v>1051.7031890000001</v>
          </cell>
          <cell r="Z52">
            <v>1059.27476</v>
          </cell>
          <cell r="AA52">
            <v>1065.4059199999999</v>
          </cell>
          <cell r="AB52">
            <v>1071.895937</v>
          </cell>
          <cell r="AC52">
            <v>1078.52549</v>
          </cell>
          <cell r="AD52">
            <v>1085.289757</v>
          </cell>
          <cell r="AE52">
            <v>1092.2109370000001</v>
          </cell>
          <cell r="AF52">
            <v>1099.3128240000001</v>
          </cell>
          <cell r="AG52">
            <v>1106.6225360000001</v>
          </cell>
          <cell r="AH52">
            <v>1114.1535510000001</v>
          </cell>
          <cell r="AI52">
            <v>1121.912049</v>
          </cell>
          <cell r="AJ52">
            <v>1129.899402</v>
          </cell>
          <cell r="AK52">
            <v>1138.1135420000001</v>
          </cell>
          <cell r="AL52">
            <v>1146.2555600000001</v>
          </cell>
          <cell r="AM52">
            <v>1154.536484</v>
          </cell>
          <cell r="AN52">
            <v>1162.9952820000001</v>
          </cell>
          <cell r="AO52">
            <v>1171.637107</v>
          </cell>
          <cell r="AP52">
            <v>1180.4593540000001</v>
          </cell>
          <cell r="AQ52">
            <v>1189.4690599999999</v>
          </cell>
          <cell r="AR52">
            <v>1198.6626100000001</v>
          </cell>
          <cell r="AS52">
            <v>1208.0330980000001</v>
          </cell>
          <cell r="AT52">
            <v>1217.5727469999999</v>
          </cell>
          <cell r="AU52">
            <v>1227.2736130000001</v>
          </cell>
          <cell r="AV52">
            <v>1237.198259</v>
          </cell>
          <cell r="AW52">
            <v>1247.3243030000001</v>
          </cell>
          <cell r="AX52">
            <v>1257.6316549999999</v>
          </cell>
          <cell r="AY52">
            <v>1268.1012519999999</v>
          </cell>
          <cell r="AZ52">
            <v>1278.716846</v>
          </cell>
          <cell r="BA52">
            <v>1496.358972</v>
          </cell>
          <cell r="BB52">
            <v>1515.29351</v>
          </cell>
          <cell r="BC52">
            <v>1534.5813000000001</v>
          </cell>
          <cell r="BD52">
            <v>1554.2243080000001</v>
          </cell>
          <cell r="BE52">
            <v>1574.224798</v>
          </cell>
        </row>
        <row r="53">
          <cell r="B53">
            <v>924.14952019999998</v>
          </cell>
          <cell r="C53">
            <v>930.9317006</v>
          </cell>
          <cell r="D53">
            <v>936.6713585</v>
          </cell>
          <cell r="E53">
            <v>942.50619940000001</v>
          </cell>
          <cell r="F53">
            <v>948.82498420000002</v>
          </cell>
          <cell r="G53">
            <v>955.92734970000004</v>
          </cell>
          <cell r="H53">
            <v>963.37501699999996</v>
          </cell>
          <cell r="I53">
            <v>971.31892979999998</v>
          </cell>
          <cell r="J53">
            <v>979.66844600000002</v>
          </cell>
          <cell r="K53">
            <v>988.30861600000003</v>
          </cell>
          <cell r="L53">
            <v>997.96117860000004</v>
          </cell>
          <cell r="M53">
            <v>1007.266921</v>
          </cell>
          <cell r="N53">
            <v>1016.541398</v>
          </cell>
          <cell r="O53">
            <v>1025.836096</v>
          </cell>
          <cell r="P53">
            <v>1035.1644590000001</v>
          </cell>
          <cell r="Q53">
            <v>1044.53496</v>
          </cell>
          <cell r="R53">
            <v>1053.958224</v>
          </cell>
          <cell r="S53">
            <v>1063.447946</v>
          </cell>
          <cell r="T53">
            <v>1073.020303</v>
          </cell>
          <cell r="U53">
            <v>1082.6930500000001</v>
          </cell>
          <cell r="V53">
            <v>1091.8937539999999</v>
          </cell>
          <cell r="W53">
            <v>1101.590064</v>
          </cell>
          <cell r="X53">
            <v>1111.5415519999999</v>
          </cell>
          <cell r="Y53">
            <v>1121.7133630000001</v>
          </cell>
          <cell r="Z53">
            <v>1132.1044059999999</v>
          </cell>
          <cell r="AA53">
            <v>1141.0305579999999</v>
          </cell>
          <cell r="AB53">
            <v>1150.4123050000001</v>
          </cell>
          <cell r="AC53">
            <v>1159.9919890000001</v>
          </cell>
          <cell r="AD53">
            <v>1169.7592520000001</v>
          </cell>
          <cell r="AE53">
            <v>1179.7346219999999</v>
          </cell>
          <cell r="AF53">
            <v>1189.9406039999999</v>
          </cell>
          <cell r="AG53">
            <v>1200.3949190000001</v>
          </cell>
          <cell r="AH53">
            <v>1211.1093679999999</v>
          </cell>
          <cell r="AI53">
            <v>1222.0903040000001</v>
          </cell>
          <cell r="AJ53">
            <v>1233.339641</v>
          </cell>
          <cell r="AK53">
            <v>1244.855984</v>
          </cell>
          <cell r="AL53">
            <v>1256.2335189999999</v>
          </cell>
          <cell r="AM53">
            <v>1267.707238</v>
          </cell>
          <cell r="AN53">
            <v>1279.3369720000001</v>
          </cell>
          <cell r="AO53">
            <v>1291.148874</v>
          </cell>
          <cell r="AP53">
            <v>1303.159009</v>
          </cell>
          <cell r="AQ53">
            <v>1315.3789340000001</v>
          </cell>
          <cell r="AR53">
            <v>1327.817031</v>
          </cell>
          <cell r="AS53">
            <v>1340.4790109999999</v>
          </cell>
          <cell r="AT53">
            <v>1353.3674570000001</v>
          </cell>
          <cell r="AU53">
            <v>1366.479703</v>
          </cell>
          <cell r="AV53">
            <v>1379.8326500000001</v>
          </cell>
          <cell r="AW53">
            <v>1393.392916</v>
          </cell>
          <cell r="AX53">
            <v>1407.138117</v>
          </cell>
          <cell r="AY53">
            <v>1421.0987419999999</v>
          </cell>
          <cell r="AZ53">
            <v>1435.3029819999999</v>
          </cell>
          <cell r="BA53">
            <v>1524.50461</v>
          </cell>
          <cell r="BB53">
            <v>1544.3630519999999</v>
          </cell>
          <cell r="BC53">
            <v>1564.577908</v>
          </cell>
          <cell r="BD53">
            <v>1585.1558339999999</v>
          </cell>
          <cell r="BE53">
            <v>1606.1024890000001</v>
          </cell>
        </row>
        <row r="54">
          <cell r="B54">
            <v>1319.017877</v>
          </cell>
          <cell r="C54">
            <v>1322.0064259999999</v>
          </cell>
          <cell r="D54">
            <v>1325.2332960000001</v>
          </cell>
          <cell r="E54">
            <v>1329.382357</v>
          </cell>
          <cell r="F54">
            <v>1335.151337</v>
          </cell>
          <cell r="G54">
            <v>1342.6357439999999</v>
          </cell>
          <cell r="H54">
            <v>1350.9163020000001</v>
          </cell>
          <cell r="I54">
            <v>1359.999558</v>
          </cell>
          <cell r="J54">
            <v>1369.6023700000001</v>
          </cell>
          <cell r="K54">
            <v>1379.4054289999999</v>
          </cell>
          <cell r="L54">
            <v>1388.987147</v>
          </cell>
          <cell r="M54">
            <v>1399.6961249999999</v>
          </cell>
          <cell r="N54">
            <v>1410.5530180000001</v>
          </cell>
          <cell r="O54">
            <v>1421.4453840000001</v>
          </cell>
          <cell r="P54">
            <v>1432.349371</v>
          </cell>
          <cell r="Q54">
            <v>1443.253248</v>
          </cell>
          <cell r="R54">
            <v>1454.100103</v>
          </cell>
          <cell r="S54">
            <v>1464.8933830000001</v>
          </cell>
          <cell r="T54">
            <v>1475.649265</v>
          </cell>
          <cell r="U54">
            <v>1486.3890369999999</v>
          </cell>
          <cell r="V54">
            <v>1496.332384</v>
          </cell>
          <cell r="W54">
            <v>1506.7973079999999</v>
          </cell>
          <cell r="X54">
            <v>1517.467731</v>
          </cell>
          <cell r="Y54">
            <v>1528.301406</v>
          </cell>
          <cell r="Z54">
            <v>1539.304171</v>
          </cell>
          <cell r="AA54">
            <v>1548.2137760000001</v>
          </cell>
          <cell r="AB54">
            <v>1557.644861</v>
          </cell>
          <cell r="AC54">
            <v>1567.2787149999999</v>
          </cell>
          <cell r="AD54">
            <v>1577.108332</v>
          </cell>
          <cell r="AE54">
            <v>1587.1659689999999</v>
          </cell>
          <cell r="AF54">
            <v>1597.4862029999999</v>
          </cell>
          <cell r="AG54">
            <v>1608.108444</v>
          </cell>
          <cell r="AH54">
            <v>1619.052273</v>
          </cell>
          <cell r="AI54">
            <v>1630.3266739999999</v>
          </cell>
          <cell r="AJ54">
            <v>1641.9336390000001</v>
          </cell>
          <cell r="AK54">
            <v>1653.870165</v>
          </cell>
          <cell r="AL54">
            <v>1665.7018849999999</v>
          </cell>
          <cell r="AM54">
            <v>1677.735459</v>
          </cell>
          <cell r="AN54">
            <v>1690.027513</v>
          </cell>
          <cell r="AO54">
            <v>1702.585536</v>
          </cell>
          <cell r="AP54">
            <v>1715.405743</v>
          </cell>
          <cell r="AQ54">
            <v>1728.4983589999999</v>
          </cell>
          <cell r="AR54">
            <v>1741.8581320000001</v>
          </cell>
          <cell r="AS54">
            <v>1755.475025</v>
          </cell>
          <cell r="AT54">
            <v>1769.3377379999999</v>
          </cell>
          <cell r="AU54">
            <v>1783.434726</v>
          </cell>
          <cell r="AV54">
            <v>1797.8569030000001</v>
          </cell>
          <cell r="AW54">
            <v>1812.571747</v>
          </cell>
          <cell r="AX54">
            <v>1827.5500609999999</v>
          </cell>
          <cell r="AY54">
            <v>1842.7641430000001</v>
          </cell>
          <cell r="AZ54">
            <v>1858.1903850000001</v>
          </cell>
          <cell r="BA54">
            <v>2174.460955</v>
          </cell>
          <cell r="BB54">
            <v>2201.9760190000002</v>
          </cell>
          <cell r="BC54">
            <v>2230.0044189999999</v>
          </cell>
          <cell r="BD54">
            <v>2258.5490089999998</v>
          </cell>
          <cell r="BE54">
            <v>2287.613081</v>
          </cell>
        </row>
        <row r="55">
          <cell r="B55">
            <v>1342.9444980000001</v>
          </cell>
          <cell r="C55">
            <v>1352.800146</v>
          </cell>
          <cell r="D55">
            <v>1361.1408329999999</v>
          </cell>
          <cell r="E55">
            <v>1369.619837</v>
          </cell>
          <cell r="F55">
            <v>1378.8020919999999</v>
          </cell>
          <cell r="G55">
            <v>1389.1230230000001</v>
          </cell>
          <cell r="H55">
            <v>1399.9457339999999</v>
          </cell>
          <cell r="I55">
            <v>1411.4895739999999</v>
          </cell>
          <cell r="J55">
            <v>1423.622824</v>
          </cell>
          <cell r="K55">
            <v>1436.1784419999999</v>
          </cell>
          <cell r="L55">
            <v>1450.2052369999999</v>
          </cell>
          <cell r="M55">
            <v>1463.7280450000001</v>
          </cell>
          <cell r="N55">
            <v>1477.2054169999999</v>
          </cell>
          <cell r="O55">
            <v>1490.712174</v>
          </cell>
          <cell r="P55">
            <v>1504.2678530000001</v>
          </cell>
          <cell r="Q55">
            <v>1517.884765</v>
          </cell>
          <cell r="R55">
            <v>1531.5783510000001</v>
          </cell>
          <cell r="S55">
            <v>1545.368512</v>
          </cell>
          <cell r="T55">
            <v>1559.278755</v>
          </cell>
          <cell r="U55">
            <v>1573.3348800000001</v>
          </cell>
          <cell r="V55">
            <v>1586.7050489999999</v>
          </cell>
          <cell r="W55">
            <v>1600.7954159999999</v>
          </cell>
          <cell r="X55">
            <v>1615.2565999999999</v>
          </cell>
          <cell r="Y55">
            <v>1630.037949</v>
          </cell>
          <cell r="Z55">
            <v>1645.13788</v>
          </cell>
          <cell r="AA55">
            <v>1658.1090799999999</v>
          </cell>
          <cell r="AB55">
            <v>1671.742334</v>
          </cell>
          <cell r="AC55">
            <v>1685.6632239999999</v>
          </cell>
          <cell r="AD55">
            <v>1699.8566980000001</v>
          </cell>
          <cell r="AE55">
            <v>1714.3525870000001</v>
          </cell>
          <cell r="AF55">
            <v>1729.183593</v>
          </cell>
          <cell r="AG55">
            <v>1744.3754690000001</v>
          </cell>
          <cell r="AH55">
            <v>1759.9453619999999</v>
          </cell>
          <cell r="AI55">
            <v>1775.902507</v>
          </cell>
          <cell r="AJ55">
            <v>1792.249683</v>
          </cell>
          <cell r="AK55">
            <v>1808.984864</v>
          </cell>
          <cell r="AL55">
            <v>1825.5183340000001</v>
          </cell>
          <cell r="AM55">
            <v>1842.1915750000001</v>
          </cell>
          <cell r="AN55">
            <v>1859.091533</v>
          </cell>
          <cell r="AO55">
            <v>1876.2562109999999</v>
          </cell>
          <cell r="AP55">
            <v>1893.7089539999999</v>
          </cell>
          <cell r="AQ55">
            <v>1911.4665580000001</v>
          </cell>
          <cell r="AR55">
            <v>1929.541203</v>
          </cell>
          <cell r="AS55">
            <v>1947.941186</v>
          </cell>
          <cell r="AT55">
            <v>1966.6702640000001</v>
          </cell>
          <cell r="AU55">
            <v>1985.724559</v>
          </cell>
          <cell r="AV55">
            <v>2005.128635</v>
          </cell>
          <cell r="AW55">
            <v>2024.833979</v>
          </cell>
          <cell r="AX55">
            <v>2044.8080649999999</v>
          </cell>
          <cell r="AY55">
            <v>2065.095198</v>
          </cell>
          <cell r="AZ55">
            <v>2085.7363449999998</v>
          </cell>
          <cell r="BA55">
            <v>2215.3612950000002</v>
          </cell>
          <cell r="BB55">
            <v>2244.2189480000002</v>
          </cell>
          <cell r="BC55">
            <v>2273.5945299999998</v>
          </cell>
          <cell r="BD55">
            <v>2303.4977130000002</v>
          </cell>
          <cell r="BE55">
            <v>2333.9367219999999</v>
          </cell>
        </row>
        <row r="56">
          <cell r="B56">
            <v>1198.335214</v>
          </cell>
          <cell r="C56">
            <v>1201.0503269999999</v>
          </cell>
          <cell r="D56">
            <v>1203.981957</v>
          </cell>
          <cell r="E56">
            <v>1207.7514020000001</v>
          </cell>
          <cell r="F56">
            <v>1212.9925539999999</v>
          </cell>
          <cell r="G56">
            <v>1219.792179</v>
          </cell>
          <cell r="H56">
            <v>1227.3151130000001</v>
          </cell>
          <cell r="I56">
            <v>1235.567303</v>
          </cell>
          <cell r="J56">
            <v>1244.291512</v>
          </cell>
          <cell r="K56">
            <v>1253.1976460000001</v>
          </cell>
          <cell r="L56">
            <v>1261.902691</v>
          </cell>
          <cell r="M56">
            <v>1271.6318590000001</v>
          </cell>
          <cell r="N56">
            <v>1281.495408</v>
          </cell>
          <cell r="O56">
            <v>1291.3911840000001</v>
          </cell>
          <cell r="P56">
            <v>1301.2975180000001</v>
          </cell>
          <cell r="Q56">
            <v>1311.2037519999999</v>
          </cell>
          <cell r="R56">
            <v>1321.0581810000001</v>
          </cell>
          <cell r="S56">
            <v>1330.8639370000001</v>
          </cell>
          <cell r="T56">
            <v>1340.6357170000001</v>
          </cell>
          <cell r="U56">
            <v>1350.392861</v>
          </cell>
          <cell r="V56">
            <v>1359.4264470000001</v>
          </cell>
          <cell r="W56">
            <v>1368.93389</v>
          </cell>
          <cell r="X56">
            <v>1378.6280300000001</v>
          </cell>
          <cell r="Y56">
            <v>1388.4704850000001</v>
          </cell>
          <cell r="Z56">
            <v>1398.4665600000001</v>
          </cell>
          <cell r="AA56">
            <v>1406.560986</v>
          </cell>
          <cell r="AB56">
            <v>1415.1291799999999</v>
          </cell>
          <cell r="AC56">
            <v>1423.8815910000001</v>
          </cell>
          <cell r="AD56">
            <v>1432.811854</v>
          </cell>
          <cell r="AE56">
            <v>1441.9492740000001</v>
          </cell>
          <cell r="AF56">
            <v>1451.3252649999999</v>
          </cell>
          <cell r="AG56">
            <v>1460.975631</v>
          </cell>
          <cell r="AH56">
            <v>1470.9181619999999</v>
          </cell>
          <cell r="AI56">
            <v>1481.1610189999999</v>
          </cell>
          <cell r="AJ56">
            <v>1491.706013</v>
          </cell>
          <cell r="AK56">
            <v>1502.550414</v>
          </cell>
          <cell r="AL56">
            <v>1513.2995989999999</v>
          </cell>
          <cell r="AM56">
            <v>1524.2321690000001</v>
          </cell>
          <cell r="AN56">
            <v>1535.3995689999999</v>
          </cell>
          <cell r="AO56">
            <v>1546.8086049999999</v>
          </cell>
          <cell r="AP56">
            <v>1558.455835</v>
          </cell>
          <cell r="AQ56">
            <v>1570.350551</v>
          </cell>
          <cell r="AR56">
            <v>1582.487981</v>
          </cell>
          <cell r="AS56">
            <v>1594.859005</v>
          </cell>
          <cell r="AT56">
            <v>1607.453358</v>
          </cell>
          <cell r="AU56">
            <v>1620.260552</v>
          </cell>
          <cell r="AV56">
            <v>1633.3631809999999</v>
          </cell>
          <cell r="AW56">
            <v>1646.7317</v>
          </cell>
          <cell r="AX56">
            <v>1660.3395840000001</v>
          </cell>
          <cell r="AY56">
            <v>1674.1616630000001</v>
          </cell>
          <cell r="AZ56">
            <v>1688.1764909999999</v>
          </cell>
          <cell r="BA56">
            <v>1975.510096</v>
          </cell>
          <cell r="BB56">
            <v>2000.5076879999999</v>
          </cell>
          <cell r="BC56">
            <v>2025.9716470000001</v>
          </cell>
          <cell r="BD56">
            <v>2051.9045689999998</v>
          </cell>
          <cell r="BE56">
            <v>2078.309444</v>
          </cell>
        </row>
        <row r="57">
          <cell r="B57">
            <v>1220.072684</v>
          </cell>
          <cell r="C57">
            <v>1229.0265959999999</v>
          </cell>
          <cell r="D57">
            <v>1236.604157</v>
          </cell>
          <cell r="E57">
            <v>1244.30738</v>
          </cell>
          <cell r="F57">
            <v>1252.649512</v>
          </cell>
          <cell r="G57">
            <v>1262.0261350000001</v>
          </cell>
          <cell r="H57">
            <v>1271.8586299999999</v>
          </cell>
          <cell r="I57">
            <v>1282.346274</v>
          </cell>
          <cell r="J57">
            <v>1293.3694</v>
          </cell>
          <cell r="K57">
            <v>1304.776251</v>
          </cell>
          <cell r="L57">
            <v>1317.519673</v>
          </cell>
          <cell r="M57">
            <v>1329.8052210000001</v>
          </cell>
          <cell r="N57">
            <v>1342.0494900000001</v>
          </cell>
          <cell r="O57">
            <v>1354.320455</v>
          </cell>
          <cell r="P57">
            <v>1366.6358660000001</v>
          </cell>
          <cell r="Q57">
            <v>1379.0069080000001</v>
          </cell>
          <cell r="R57">
            <v>1391.4476090000001</v>
          </cell>
          <cell r="S57">
            <v>1403.9760470000001</v>
          </cell>
          <cell r="T57">
            <v>1416.613582</v>
          </cell>
          <cell r="U57">
            <v>1429.3836510000001</v>
          </cell>
          <cell r="V57">
            <v>1441.530526</v>
          </cell>
          <cell r="W57">
            <v>1454.3317039999999</v>
          </cell>
          <cell r="X57">
            <v>1467.469771</v>
          </cell>
          <cell r="Y57">
            <v>1480.898711</v>
          </cell>
          <cell r="Z57">
            <v>1494.617084</v>
          </cell>
          <cell r="AA57">
            <v>1506.401492</v>
          </cell>
          <cell r="AB57">
            <v>1518.7873810000001</v>
          </cell>
          <cell r="AC57">
            <v>1531.4345880000001</v>
          </cell>
          <cell r="AD57">
            <v>1544.32944</v>
          </cell>
          <cell r="AE57">
            <v>1557.499037</v>
          </cell>
          <cell r="AF57">
            <v>1570.97309</v>
          </cell>
          <cell r="AG57">
            <v>1584.774995</v>
          </cell>
          <cell r="AH57">
            <v>1598.920331</v>
          </cell>
          <cell r="AI57">
            <v>1613.417488</v>
          </cell>
          <cell r="AJ57">
            <v>1628.26899</v>
          </cell>
          <cell r="AK57">
            <v>1643.4729970000001</v>
          </cell>
          <cell r="AL57">
            <v>1658.4937480000001</v>
          </cell>
          <cell r="AM57">
            <v>1673.641482</v>
          </cell>
          <cell r="AN57">
            <v>1688.9951900000001</v>
          </cell>
          <cell r="AO57">
            <v>1704.5893960000001</v>
          </cell>
          <cell r="AP57">
            <v>1720.4453129999999</v>
          </cell>
          <cell r="AQ57">
            <v>1736.5781959999999</v>
          </cell>
          <cell r="AR57">
            <v>1752.999114</v>
          </cell>
          <cell r="AS57">
            <v>1769.715602</v>
          </cell>
          <cell r="AT57">
            <v>1786.731076</v>
          </cell>
          <cell r="AU57">
            <v>1804.042011</v>
          </cell>
          <cell r="AV57">
            <v>1821.6707240000001</v>
          </cell>
          <cell r="AW57">
            <v>1839.5731410000001</v>
          </cell>
          <cell r="AX57">
            <v>1857.719711</v>
          </cell>
          <cell r="AY57">
            <v>1876.150686</v>
          </cell>
          <cell r="AZ57">
            <v>1894.9032850000001</v>
          </cell>
          <cell r="BA57">
            <v>2012.6682860000001</v>
          </cell>
          <cell r="BB57">
            <v>2038.8856270000001</v>
          </cell>
          <cell r="BC57">
            <v>2065.5735100000002</v>
          </cell>
          <cell r="BD57">
            <v>2092.740722</v>
          </cell>
          <cell r="BE57">
            <v>2120.3947330000001</v>
          </cell>
        </row>
        <row r="58">
          <cell r="B58">
            <v>2358.2991499999998</v>
          </cell>
          <cell r="C58">
            <v>2363.642437</v>
          </cell>
          <cell r="D58">
            <v>2369.4118250000001</v>
          </cell>
          <cell r="E58">
            <v>2376.8300170000002</v>
          </cell>
          <cell r="F58">
            <v>2387.144495</v>
          </cell>
          <cell r="G58">
            <v>2400.5260189999999</v>
          </cell>
          <cell r="H58">
            <v>2415.3309989999998</v>
          </cell>
          <cell r="I58">
            <v>2431.5711390000001</v>
          </cell>
          <cell r="J58">
            <v>2448.7402040000002</v>
          </cell>
          <cell r="K58">
            <v>2466.2672940000002</v>
          </cell>
          <cell r="L58">
            <v>2483.3986439999999</v>
          </cell>
          <cell r="M58">
            <v>2502.5454460000001</v>
          </cell>
          <cell r="N58">
            <v>2521.956709</v>
          </cell>
          <cell r="O58">
            <v>2541.4313929999998</v>
          </cell>
          <cell r="P58">
            <v>2560.926856</v>
          </cell>
          <cell r="Q58">
            <v>2580.4221219999999</v>
          </cell>
          <cell r="R58">
            <v>2599.8154359999999</v>
          </cell>
          <cell r="S58">
            <v>2619.1129620000002</v>
          </cell>
          <cell r="T58">
            <v>2638.343625</v>
          </cell>
          <cell r="U58">
            <v>2657.5454840000002</v>
          </cell>
          <cell r="V58">
            <v>2675.323398</v>
          </cell>
          <cell r="W58">
            <v>2694.0338499999998</v>
          </cell>
          <cell r="X58">
            <v>2713.1117199999999</v>
          </cell>
          <cell r="Y58">
            <v>2732.4814689999998</v>
          </cell>
          <cell r="Z58">
            <v>2752.1535389999999</v>
          </cell>
          <cell r="AA58">
            <v>2768.0832049999999</v>
          </cell>
          <cell r="AB58">
            <v>2784.9452350000001</v>
          </cell>
          <cell r="AC58">
            <v>2802.169801</v>
          </cell>
          <cell r="AD58">
            <v>2819.7443750000002</v>
          </cell>
          <cell r="AE58">
            <v>2837.7266300000001</v>
          </cell>
          <cell r="AF58">
            <v>2856.1783890000002</v>
          </cell>
          <cell r="AG58">
            <v>2875.1701109999999</v>
          </cell>
          <cell r="AH58">
            <v>2894.7368080000001</v>
          </cell>
          <cell r="AI58">
            <v>2914.8945410000001</v>
          </cell>
          <cell r="AJ58">
            <v>2935.6468730000001</v>
          </cell>
          <cell r="AK58">
            <v>2956.9884320000001</v>
          </cell>
          <cell r="AL58">
            <v>2978.1426080000001</v>
          </cell>
          <cell r="AM58">
            <v>2999.6576810000001</v>
          </cell>
          <cell r="AN58">
            <v>3021.6348969999999</v>
          </cell>
          <cell r="AO58">
            <v>3044.0876450000001</v>
          </cell>
          <cell r="AP58">
            <v>3067.0091560000001</v>
          </cell>
          <cell r="AQ58">
            <v>3090.4177129999998</v>
          </cell>
          <cell r="AR58">
            <v>3114.303926</v>
          </cell>
          <cell r="AS58">
            <v>3138.649848</v>
          </cell>
          <cell r="AT58">
            <v>3163.435277</v>
          </cell>
          <cell r="AU58">
            <v>3188.639572</v>
          </cell>
          <cell r="AV58">
            <v>3214.425279</v>
          </cell>
          <cell r="AW58">
            <v>3240.73425</v>
          </cell>
          <cell r="AX58">
            <v>3267.5142860000001</v>
          </cell>
          <cell r="AY58">
            <v>3294.7158549999999</v>
          </cell>
          <cell r="AZ58">
            <v>3322.29675</v>
          </cell>
          <cell r="BA58">
            <v>3887.7633970000002</v>
          </cell>
          <cell r="BB58">
            <v>3936.9581450000001</v>
          </cell>
          <cell r="BC58">
            <v>3987.0706960000002</v>
          </cell>
          <cell r="BD58">
            <v>4038.1061549999999</v>
          </cell>
          <cell r="BE58">
            <v>4090.0704070000002</v>
          </cell>
        </row>
        <row r="59">
          <cell r="B59">
            <v>2401.078047</v>
          </cell>
          <cell r="C59">
            <v>2418.6991619999999</v>
          </cell>
          <cell r="D59">
            <v>2433.6116480000001</v>
          </cell>
          <cell r="E59">
            <v>2448.7714329999999</v>
          </cell>
          <cell r="F59">
            <v>2465.1885769999999</v>
          </cell>
          <cell r="G59">
            <v>2483.6415790000001</v>
          </cell>
          <cell r="H59">
            <v>2502.991728</v>
          </cell>
          <cell r="I59">
            <v>2523.6311959999998</v>
          </cell>
          <cell r="J59">
            <v>2545.324482</v>
          </cell>
          <cell r="K59">
            <v>2567.772931</v>
          </cell>
          <cell r="L59">
            <v>2592.851725</v>
          </cell>
          <cell r="M59">
            <v>2617.0294309999999</v>
          </cell>
          <cell r="N59">
            <v>2641.1259020000002</v>
          </cell>
          <cell r="O59">
            <v>2665.2749100000001</v>
          </cell>
          <cell r="P59">
            <v>2689.511387</v>
          </cell>
          <cell r="Q59">
            <v>2713.857344</v>
          </cell>
          <cell r="R59">
            <v>2738.3403870000002</v>
          </cell>
          <cell r="S59">
            <v>2762.9960980000001</v>
          </cell>
          <cell r="T59">
            <v>2787.8665070000002</v>
          </cell>
          <cell r="U59">
            <v>2812.997742</v>
          </cell>
          <cell r="V59">
            <v>2836.9025430000002</v>
          </cell>
          <cell r="W59">
            <v>2862.094998</v>
          </cell>
          <cell r="X59">
            <v>2887.9504459999998</v>
          </cell>
          <cell r="Y59">
            <v>2914.3783239999998</v>
          </cell>
          <cell r="Z59">
            <v>2941.3758010000001</v>
          </cell>
          <cell r="AA59">
            <v>2964.5672749999999</v>
          </cell>
          <cell r="AB59">
            <v>2988.94245</v>
          </cell>
          <cell r="AC59">
            <v>3013.8318949999998</v>
          </cell>
          <cell r="AD59">
            <v>3039.2086989999998</v>
          </cell>
          <cell r="AE59">
            <v>3065.1261960000002</v>
          </cell>
          <cell r="AF59">
            <v>3091.6428559999999</v>
          </cell>
          <cell r="AG59">
            <v>3118.8047230000002</v>
          </cell>
          <cell r="AH59">
            <v>3146.6424550000002</v>
          </cell>
          <cell r="AI59">
            <v>3175.1725630000001</v>
          </cell>
          <cell r="AJ59">
            <v>3204.4000150000002</v>
          </cell>
          <cell r="AK59">
            <v>3234.3211879999999</v>
          </cell>
          <cell r="AL59">
            <v>3263.881719</v>
          </cell>
          <cell r="AM59">
            <v>3293.692149</v>
          </cell>
          <cell r="AN59">
            <v>3323.9079310000002</v>
          </cell>
          <cell r="AO59">
            <v>3354.59701</v>
          </cell>
          <cell r="AP59">
            <v>3385.8011289999999</v>
          </cell>
          <cell r="AQ59">
            <v>3417.5503130000002</v>
          </cell>
          <cell r="AR59">
            <v>3449.8663419999998</v>
          </cell>
          <cell r="AS59">
            <v>3482.7640489999999</v>
          </cell>
          <cell r="AT59">
            <v>3516.250153</v>
          </cell>
          <cell r="AU59">
            <v>3550.3177190000001</v>
          </cell>
          <cell r="AV59">
            <v>3585.0106649999998</v>
          </cell>
          <cell r="AW59">
            <v>3620.2422539999998</v>
          </cell>
          <cell r="AX59">
            <v>3655.9543319999998</v>
          </cell>
          <cell r="AY59">
            <v>3692.2261149999999</v>
          </cell>
          <cell r="AZ59">
            <v>3729.1308450000001</v>
          </cell>
          <cell r="BA59">
            <v>3960.8899540000002</v>
          </cell>
          <cell r="BB59">
            <v>4012.4851440000002</v>
          </cell>
          <cell r="BC59">
            <v>4065.006351</v>
          </cell>
          <cell r="BD59">
            <v>4118.470867</v>
          </cell>
          <cell r="BE59">
            <v>4172.8933950000001</v>
          </cell>
        </row>
        <row r="60">
          <cell r="B60">
            <v>857.33313940000005</v>
          </cell>
          <cell r="C60">
            <v>859.27563139999995</v>
          </cell>
          <cell r="D60">
            <v>861.37302739999996</v>
          </cell>
          <cell r="E60">
            <v>864.06982760000005</v>
          </cell>
          <cell r="F60">
            <v>867.81954029999997</v>
          </cell>
          <cell r="G60">
            <v>872.68424279999999</v>
          </cell>
          <cell r="H60">
            <v>878.06642669999997</v>
          </cell>
          <cell r="I60">
            <v>883.97034710000003</v>
          </cell>
          <cell r="J60">
            <v>890.21196759999998</v>
          </cell>
          <cell r="K60">
            <v>896.58374409999999</v>
          </cell>
          <cell r="L60">
            <v>902.81165390000001</v>
          </cell>
          <cell r="M60">
            <v>909.77225840000006</v>
          </cell>
          <cell r="N60">
            <v>916.82900459999996</v>
          </cell>
          <cell r="O60">
            <v>923.90880709999999</v>
          </cell>
          <cell r="P60">
            <v>930.99616370000001</v>
          </cell>
          <cell r="Q60">
            <v>938.08344820000002</v>
          </cell>
          <cell r="R60">
            <v>945.13366970000004</v>
          </cell>
          <cell r="S60">
            <v>952.14906819999999</v>
          </cell>
          <cell r="T60">
            <v>959.14015959999995</v>
          </cell>
          <cell r="U60">
            <v>966.12077950000003</v>
          </cell>
          <cell r="V60">
            <v>972.58374000000003</v>
          </cell>
          <cell r="W60">
            <v>979.38571469999999</v>
          </cell>
          <cell r="X60">
            <v>986.32125970000004</v>
          </cell>
          <cell r="Y60">
            <v>993.36291419999998</v>
          </cell>
          <cell r="Z60">
            <v>1000.514474</v>
          </cell>
          <cell r="AA60">
            <v>1006.305525</v>
          </cell>
          <cell r="AB60">
            <v>1012.435526</v>
          </cell>
          <cell r="AC60">
            <v>1018.697324</v>
          </cell>
          <cell r="AD60">
            <v>1025.0863629999999</v>
          </cell>
          <cell r="AE60">
            <v>1031.623609</v>
          </cell>
          <cell r="AF60">
            <v>1038.331539</v>
          </cell>
          <cell r="AG60">
            <v>1045.235766</v>
          </cell>
          <cell r="AH60">
            <v>1052.3490179999999</v>
          </cell>
          <cell r="AI60">
            <v>1059.677136</v>
          </cell>
          <cell r="AJ60">
            <v>1067.2214120000001</v>
          </cell>
          <cell r="AK60">
            <v>1074.9798960000001</v>
          </cell>
          <cell r="AL60">
            <v>1082.670259</v>
          </cell>
          <cell r="AM60">
            <v>1090.491822</v>
          </cell>
          <cell r="AN60">
            <v>1098.4813919999999</v>
          </cell>
          <cell r="AO60">
            <v>1106.643836</v>
          </cell>
          <cell r="AP60">
            <v>1114.9766930000001</v>
          </cell>
          <cell r="AQ60">
            <v>1123.486611</v>
          </cell>
          <cell r="AR60">
            <v>1132.170175</v>
          </cell>
          <cell r="AS60">
            <v>1141.020861</v>
          </cell>
          <cell r="AT60">
            <v>1150.0313249999999</v>
          </cell>
          <cell r="AU60">
            <v>1159.1940629999999</v>
          </cell>
          <cell r="AV60">
            <v>1168.5681669999999</v>
          </cell>
          <cell r="AW60">
            <v>1178.1324979999999</v>
          </cell>
          <cell r="AX60">
            <v>1187.8680790000001</v>
          </cell>
          <cell r="AY60">
            <v>1197.7569040000001</v>
          </cell>
          <cell r="AZ60">
            <v>1207.7836279999999</v>
          </cell>
          <cell r="BA60">
            <v>1413.3526690000001</v>
          </cell>
          <cell r="BB60">
            <v>1431.2368670000001</v>
          </cell>
          <cell r="BC60">
            <v>1449.4547210000001</v>
          </cell>
          <cell r="BD60">
            <v>1468.008088</v>
          </cell>
          <cell r="BE60">
            <v>1486.8991080000001</v>
          </cell>
        </row>
        <row r="61">
          <cell r="B61">
            <v>872.88492640000004</v>
          </cell>
          <cell r="C61">
            <v>879.29088449999995</v>
          </cell>
          <cell r="D61">
            <v>884.71215110000003</v>
          </cell>
          <cell r="E61">
            <v>890.2233205</v>
          </cell>
          <cell r="F61">
            <v>896.19158849999997</v>
          </cell>
          <cell r="G61">
            <v>902.89997029999995</v>
          </cell>
          <cell r="H61">
            <v>909.93449929999997</v>
          </cell>
          <cell r="I61">
            <v>917.43774580000002</v>
          </cell>
          <cell r="J61">
            <v>925.32409610000002</v>
          </cell>
          <cell r="K61">
            <v>933.48497699999996</v>
          </cell>
          <cell r="L61">
            <v>942.60209080000004</v>
          </cell>
          <cell r="M61">
            <v>951.39162380000005</v>
          </cell>
          <cell r="N61">
            <v>960.1516249</v>
          </cell>
          <cell r="O61">
            <v>968.93072540000003</v>
          </cell>
          <cell r="P61">
            <v>977.741624</v>
          </cell>
          <cell r="Q61">
            <v>986.5923229</v>
          </cell>
          <cell r="R61">
            <v>995.49285799999996</v>
          </cell>
          <cell r="S61">
            <v>1004.4561639999999</v>
          </cell>
          <cell r="T61">
            <v>1013.497522</v>
          </cell>
          <cell r="U61">
            <v>1022.6337</v>
          </cell>
          <cell r="V61">
            <v>1031.3240209999999</v>
          </cell>
          <cell r="W61">
            <v>1040.4824550000001</v>
          </cell>
          <cell r="X61">
            <v>1049.8819129999999</v>
          </cell>
          <cell r="Y61">
            <v>1059.4894710000001</v>
          </cell>
          <cell r="Z61">
            <v>1069.3041000000001</v>
          </cell>
          <cell r="AA61">
            <v>1077.735099</v>
          </cell>
          <cell r="AB61">
            <v>1086.5964200000001</v>
          </cell>
          <cell r="AC61">
            <v>1095.6446980000001</v>
          </cell>
          <cell r="AD61">
            <v>1104.87015</v>
          </cell>
          <cell r="AE61">
            <v>1114.292164</v>
          </cell>
          <cell r="AF61">
            <v>1123.931998</v>
          </cell>
          <cell r="AG61">
            <v>1133.80639</v>
          </cell>
          <cell r="AH61">
            <v>1143.9264840000001</v>
          </cell>
          <cell r="AI61">
            <v>1154.298284</v>
          </cell>
          <cell r="AJ61">
            <v>1164.923595</v>
          </cell>
          <cell r="AK61">
            <v>1175.801101</v>
          </cell>
          <cell r="AL61">
            <v>1186.5474999999999</v>
          </cell>
          <cell r="AM61">
            <v>1197.3847470000001</v>
          </cell>
          <cell r="AN61">
            <v>1208.3693539999999</v>
          </cell>
          <cell r="AO61">
            <v>1219.526024</v>
          </cell>
          <cell r="AP61">
            <v>1230.869931</v>
          </cell>
          <cell r="AQ61">
            <v>1242.4119889999999</v>
          </cell>
          <cell r="AR61">
            <v>1254.1601189999999</v>
          </cell>
          <cell r="AS61">
            <v>1266.1197099999999</v>
          </cell>
          <cell r="AT61">
            <v>1278.2932060000001</v>
          </cell>
          <cell r="AU61">
            <v>1290.678087</v>
          </cell>
          <cell r="AV61">
            <v>1303.290317</v>
          </cell>
          <cell r="AW61">
            <v>1316.0983659999999</v>
          </cell>
          <cell r="AX61">
            <v>1329.0810899999999</v>
          </cell>
          <cell r="AY61">
            <v>1342.2672889999999</v>
          </cell>
          <cell r="AZ61">
            <v>1355.6835880000001</v>
          </cell>
          <cell r="BA61">
            <v>1439.937007</v>
          </cell>
          <cell r="BB61">
            <v>1458.6938580000001</v>
          </cell>
          <cell r="BC61">
            <v>1477.7873520000001</v>
          </cell>
          <cell r="BD61">
            <v>1497.223776</v>
          </cell>
          <cell r="BE61">
            <v>1517.008474</v>
          </cell>
        </row>
        <row r="62">
          <cell r="B62">
            <v>6599.8802109999997</v>
          </cell>
          <cell r="C62">
            <v>6614.8338080000003</v>
          </cell>
          <cell r="D62">
            <v>6630.9798790000004</v>
          </cell>
          <cell r="E62">
            <v>6651.740256</v>
          </cell>
          <cell r="F62">
            <v>6680.6061110000001</v>
          </cell>
          <cell r="G62">
            <v>6718.0553280000004</v>
          </cell>
          <cell r="H62">
            <v>6759.4881930000001</v>
          </cell>
          <cell r="I62">
            <v>6804.9374660000003</v>
          </cell>
          <cell r="J62">
            <v>6852.9864049999996</v>
          </cell>
          <cell r="K62">
            <v>6902.0373040000004</v>
          </cell>
          <cell r="L62">
            <v>6949.9806959999996</v>
          </cell>
          <cell r="M62">
            <v>7003.5644830000001</v>
          </cell>
          <cell r="N62">
            <v>7057.8883820000001</v>
          </cell>
          <cell r="O62">
            <v>7112.3897729999999</v>
          </cell>
          <cell r="P62">
            <v>7166.9493160000002</v>
          </cell>
          <cell r="Q62">
            <v>7221.5083050000003</v>
          </cell>
          <cell r="R62">
            <v>7275.7819760000002</v>
          </cell>
          <cell r="S62">
            <v>7329.7875750000003</v>
          </cell>
          <cell r="T62">
            <v>7383.6060539999999</v>
          </cell>
          <cell r="U62">
            <v>7437.343922</v>
          </cell>
          <cell r="V62">
            <v>7487.0967700000001</v>
          </cell>
          <cell r="W62">
            <v>7539.4594010000001</v>
          </cell>
          <cell r="X62">
            <v>7592.8502749999998</v>
          </cell>
          <cell r="Y62">
            <v>7647.0579969999999</v>
          </cell>
          <cell r="Z62">
            <v>7702.1117860000004</v>
          </cell>
          <cell r="AA62">
            <v>7746.6921730000004</v>
          </cell>
          <cell r="AB62">
            <v>7793.8818499999998</v>
          </cell>
          <cell r="AC62">
            <v>7842.0861139999997</v>
          </cell>
          <cell r="AD62">
            <v>7891.2699009999997</v>
          </cell>
          <cell r="AE62">
            <v>7941.5946139999996</v>
          </cell>
          <cell r="AF62">
            <v>7993.2332699999997</v>
          </cell>
          <cell r="AG62">
            <v>8046.3830539999999</v>
          </cell>
          <cell r="AH62">
            <v>8101.1419509999996</v>
          </cell>
          <cell r="AI62">
            <v>8157.554905</v>
          </cell>
          <cell r="AJ62">
            <v>8215.6318900000006</v>
          </cell>
          <cell r="AK62">
            <v>8275.3578720000005</v>
          </cell>
          <cell r="AL62">
            <v>8334.5594490000003</v>
          </cell>
          <cell r="AM62">
            <v>8394.7710239999997</v>
          </cell>
          <cell r="AN62">
            <v>8456.2759389999992</v>
          </cell>
          <cell r="AO62">
            <v>8519.1116700000002</v>
          </cell>
          <cell r="AP62">
            <v>8583.2592669999995</v>
          </cell>
          <cell r="AQ62">
            <v>8648.769902</v>
          </cell>
          <cell r="AR62">
            <v>8715.6172910000005</v>
          </cell>
          <cell r="AS62">
            <v>8783.7512129999996</v>
          </cell>
          <cell r="AT62">
            <v>8853.1151279999995</v>
          </cell>
          <cell r="AU62">
            <v>8923.6512719999992</v>
          </cell>
          <cell r="AV62">
            <v>8995.8145409999997</v>
          </cell>
          <cell r="AW62">
            <v>9069.4422049999994</v>
          </cell>
          <cell r="AX62">
            <v>9144.3881799999999</v>
          </cell>
          <cell r="AY62">
            <v>9220.5138490000008</v>
          </cell>
          <cell r="AZ62">
            <v>9297.7010869999995</v>
          </cell>
          <cell r="BA62">
            <v>10880.202670000001</v>
          </cell>
          <cell r="BB62">
            <v>11017.877930000001</v>
          </cell>
          <cell r="BC62">
            <v>11158.121730000001</v>
          </cell>
          <cell r="BD62">
            <v>11300.94836</v>
          </cell>
          <cell r="BE62">
            <v>11446.37428</v>
          </cell>
        </row>
        <row r="63">
          <cell r="B63">
            <v>6719.6002200000003</v>
          </cell>
          <cell r="C63">
            <v>6768.9142549999997</v>
          </cell>
          <cell r="D63">
            <v>6810.6479849999996</v>
          </cell>
          <cell r="E63">
            <v>6853.0738009999995</v>
          </cell>
          <cell r="F63">
            <v>6899.0184310000004</v>
          </cell>
          <cell r="G63">
            <v>6950.6605689999997</v>
          </cell>
          <cell r="H63">
            <v>7004.8134369999998</v>
          </cell>
          <cell r="I63">
            <v>7062.5745639999996</v>
          </cell>
          <cell r="J63">
            <v>7123.2848819999999</v>
          </cell>
          <cell r="K63">
            <v>7186.108577</v>
          </cell>
          <cell r="L63">
            <v>7256.2934990000003</v>
          </cell>
          <cell r="M63">
            <v>7323.9566530000002</v>
          </cell>
          <cell r="N63">
            <v>7391.3924669999997</v>
          </cell>
          <cell r="O63">
            <v>7458.9753110000001</v>
          </cell>
          <cell r="P63">
            <v>7526.8029409999999</v>
          </cell>
          <cell r="Q63">
            <v>7594.93696</v>
          </cell>
          <cell r="R63">
            <v>7663.4546259999997</v>
          </cell>
          <cell r="S63">
            <v>7732.4555149999997</v>
          </cell>
          <cell r="T63">
            <v>7802.0572540000003</v>
          </cell>
          <cell r="U63">
            <v>7872.3889349999999</v>
          </cell>
          <cell r="V63">
            <v>7939.2883430000002</v>
          </cell>
          <cell r="W63">
            <v>8009.791354</v>
          </cell>
          <cell r="X63">
            <v>8082.1497980000004</v>
          </cell>
          <cell r="Y63">
            <v>8156.1102330000003</v>
          </cell>
          <cell r="Z63">
            <v>8231.6647329999996</v>
          </cell>
          <cell r="AA63">
            <v>8296.5678420000004</v>
          </cell>
          <cell r="AB63">
            <v>8364.7836320000006</v>
          </cell>
          <cell r="AC63">
            <v>8434.4386439999998</v>
          </cell>
          <cell r="AD63">
            <v>8505.4575650000006</v>
          </cell>
          <cell r="AE63">
            <v>8577.9896599999993</v>
          </cell>
          <cell r="AF63">
            <v>8652.1985590000004</v>
          </cell>
          <cell r="AG63">
            <v>8728.2131169999993</v>
          </cell>
          <cell r="AH63">
            <v>8806.1191340000005</v>
          </cell>
          <cell r="AI63">
            <v>8885.9628190000003</v>
          </cell>
          <cell r="AJ63">
            <v>8967.7580739999994</v>
          </cell>
          <cell r="AK63">
            <v>9051.4947630000006</v>
          </cell>
          <cell r="AL63">
            <v>9134.2221659999996</v>
          </cell>
          <cell r="AM63">
            <v>9217.6489280000005</v>
          </cell>
          <cell r="AN63">
            <v>9302.2101010000006</v>
          </cell>
          <cell r="AO63">
            <v>9388.0958329999994</v>
          </cell>
          <cell r="AP63">
            <v>9475.4229419999992</v>
          </cell>
          <cell r="AQ63">
            <v>9564.2754550000009</v>
          </cell>
          <cell r="AR63">
            <v>9654.7143309999992</v>
          </cell>
          <cell r="AS63">
            <v>9746.7810759999993</v>
          </cell>
          <cell r="AT63">
            <v>9840.4944930000001</v>
          </cell>
          <cell r="AU63">
            <v>9935.8351770000008</v>
          </cell>
          <cell r="AV63">
            <v>10032.926030000001</v>
          </cell>
          <cell r="AW63">
            <v>10131.52433</v>
          </cell>
          <cell r="AX63">
            <v>10231.4673</v>
          </cell>
          <cell r="AY63">
            <v>10332.97666</v>
          </cell>
          <cell r="AZ63">
            <v>10436.25736</v>
          </cell>
          <cell r="BA63">
            <v>11084.852919999999</v>
          </cell>
          <cell r="BB63">
            <v>11229.245999999999</v>
          </cell>
          <cell r="BC63">
            <v>11376.230610000001</v>
          </cell>
          <cell r="BD63">
            <v>11525.85514</v>
          </cell>
          <cell r="BE63">
            <v>11678.160739999999</v>
          </cell>
        </row>
        <row r="64">
          <cell r="B64">
            <v>7832.971364</v>
          </cell>
          <cell r="C64">
            <v>7878.6781010000004</v>
          </cell>
          <cell r="D64">
            <v>7925.3478500000001</v>
          </cell>
          <cell r="E64">
            <v>7974.9913299999998</v>
          </cell>
          <cell r="F64">
            <v>8030.1540109999996</v>
          </cell>
          <cell r="G64">
            <v>8091.4728269999996</v>
          </cell>
          <cell r="H64">
            <v>8152.4234930000002</v>
          </cell>
          <cell r="I64">
            <v>8215.7085549999993</v>
          </cell>
          <cell r="J64">
            <v>8281.7863080000006</v>
          </cell>
          <cell r="K64">
            <v>8350.3096740000001</v>
          </cell>
          <cell r="L64">
            <v>8419.6531859999996</v>
          </cell>
          <cell r="M64">
            <v>8485.1311929999993</v>
          </cell>
          <cell r="N64">
            <v>8546.9787759999999</v>
          </cell>
          <cell r="O64">
            <v>8606.977449</v>
          </cell>
          <cell r="P64">
            <v>8666.2728380000008</v>
          </cell>
          <cell r="Q64">
            <v>8725.4587800000008</v>
          </cell>
          <cell r="R64">
            <v>8784.3337159999992</v>
          </cell>
          <cell r="S64">
            <v>8843.1742520000007</v>
          </cell>
          <cell r="T64">
            <v>8902.1367859999991</v>
          </cell>
          <cell r="U64">
            <v>8961.3121659999997</v>
          </cell>
          <cell r="V64">
            <v>9013.9927169999992</v>
          </cell>
          <cell r="W64">
            <v>9071.0923060000005</v>
          </cell>
          <cell r="X64">
            <v>9130.0901979999999</v>
          </cell>
          <cell r="Y64">
            <v>9190.2250469999999</v>
          </cell>
          <cell r="Z64">
            <v>9251.2419950000003</v>
          </cell>
          <cell r="AA64">
            <v>9294.3366640000004</v>
          </cell>
          <cell r="AB64">
            <v>9340.9098749999994</v>
          </cell>
          <cell r="AC64">
            <v>9388.9970909999993</v>
          </cell>
          <cell r="AD64">
            <v>9438.2014220000001</v>
          </cell>
          <cell r="AE64">
            <v>9488.4568469999995</v>
          </cell>
          <cell r="AF64">
            <v>9539.7949040000003</v>
          </cell>
          <cell r="AG64">
            <v>9592.3845390000006</v>
          </cell>
          <cell r="AH64">
            <v>9646.2353280000007</v>
          </cell>
          <cell r="AI64">
            <v>9701.3500230000009</v>
          </cell>
          <cell r="AJ64">
            <v>9757.7240089999996</v>
          </cell>
          <cell r="AK64">
            <v>9815.3441970000003</v>
          </cell>
          <cell r="AL64">
            <v>9871.0838440000007</v>
          </cell>
          <cell r="AM64">
            <v>9927.0414529999998</v>
          </cell>
          <cell r="AN64">
            <v>9983.8042740000001</v>
          </cell>
          <cell r="AO64">
            <v>10041.551659999999</v>
          </cell>
          <cell r="AP64">
            <v>10100.32958</v>
          </cell>
          <cell r="AQ64">
            <v>10160.305130000001</v>
          </cell>
          <cell r="AR64">
            <v>10221.41684</v>
          </cell>
          <cell r="AS64">
            <v>10283.60982</v>
          </cell>
          <cell r="AT64">
            <v>10346.840039999999</v>
          </cell>
          <cell r="AU64">
            <v>10411.07105</v>
          </cell>
          <cell r="AV64">
            <v>10477.17736</v>
          </cell>
          <cell r="AW64">
            <v>10544.76592</v>
          </cell>
          <cell r="AX64">
            <v>10613.60944</v>
          </cell>
          <cell r="AY64">
            <v>10683.56702</v>
          </cell>
          <cell r="AZ64">
            <v>10754.558290000001</v>
          </cell>
          <cell r="BA64">
            <v>12248.41584</v>
          </cell>
          <cell r="BB64">
            <v>12371.03154</v>
          </cell>
          <cell r="BC64">
            <v>12495.64899</v>
          </cell>
          <cell r="BD64">
            <v>12622.26433</v>
          </cell>
          <cell r="BE64">
            <v>12750.89213</v>
          </cell>
        </row>
        <row r="65">
          <cell r="B65">
            <v>7913.6606359999996</v>
          </cell>
          <cell r="C65">
            <v>7990.3891030000004</v>
          </cell>
          <cell r="D65">
            <v>8067.9693950000001</v>
          </cell>
          <cell r="E65">
            <v>8149.2163499999997</v>
          </cell>
          <cell r="F65">
            <v>8235.4516729999996</v>
          </cell>
          <cell r="G65">
            <v>8319.7968290000008</v>
          </cell>
          <cell r="H65">
            <v>8396.1485329999996</v>
          </cell>
          <cell r="I65">
            <v>8469.5897370000002</v>
          </cell>
          <cell r="J65">
            <v>8542.4909759999991</v>
          </cell>
          <cell r="K65">
            <v>8615.8540150000008</v>
          </cell>
          <cell r="L65">
            <v>8700.3020510000006</v>
          </cell>
          <cell r="M65">
            <v>8779.4539349999995</v>
          </cell>
          <cell r="N65">
            <v>8857.1350789999997</v>
          </cell>
          <cell r="O65">
            <v>8934.5388750000002</v>
          </cell>
          <cell r="P65">
            <v>9012.1155460000009</v>
          </cell>
          <cell r="Q65">
            <v>9090.0519860000004</v>
          </cell>
          <cell r="R65">
            <v>9168.4447490000002</v>
          </cell>
          <cell r="S65">
            <v>9247.3660830000008</v>
          </cell>
          <cell r="T65">
            <v>9326.8877100000009</v>
          </cell>
          <cell r="U65">
            <v>9407.0871119999993</v>
          </cell>
          <cell r="V65">
            <v>9480.9153869999991</v>
          </cell>
          <cell r="W65">
            <v>9559.8609280000001</v>
          </cell>
          <cell r="X65">
            <v>9641.2847669999992</v>
          </cell>
          <cell r="Y65">
            <v>9724.4043160000001</v>
          </cell>
          <cell r="Z65">
            <v>9808.9495829999996</v>
          </cell>
          <cell r="AA65">
            <v>9874.9042989999998</v>
          </cell>
          <cell r="AB65">
            <v>9944.7323670000005</v>
          </cell>
          <cell r="AC65">
            <v>10016.369129999999</v>
          </cell>
          <cell r="AD65">
            <v>10089.44083</v>
          </cell>
          <cell r="AE65">
            <v>10163.883470000001</v>
          </cell>
          <cell r="AF65">
            <v>10239.73101</v>
          </cell>
          <cell r="AG65">
            <v>10317.03572</v>
          </cell>
          <cell r="AH65">
            <v>10395.840630000001</v>
          </cell>
          <cell r="AI65">
            <v>10476.171679999999</v>
          </cell>
          <cell r="AJ65">
            <v>10558.03823</v>
          </cell>
          <cell r="AK65">
            <v>10641.437110000001</v>
          </cell>
          <cell r="AL65">
            <v>10721.864020000001</v>
          </cell>
          <cell r="AM65">
            <v>10801.98278</v>
          </cell>
          <cell r="AN65">
            <v>10882.727140000001</v>
          </cell>
          <cell r="AO65">
            <v>10964.512779999999</v>
          </cell>
          <cell r="AP65">
            <v>11047.561830000001</v>
          </cell>
          <cell r="AQ65">
            <v>11132.021650000001</v>
          </cell>
          <cell r="AR65">
            <v>11218.01554</v>
          </cell>
          <cell r="AS65">
            <v>11305.673119999999</v>
          </cell>
          <cell r="AT65">
            <v>11395.162410000001</v>
          </cell>
          <cell r="AU65">
            <v>11486.759330000001</v>
          </cell>
          <cell r="AV65">
            <v>11581.479139999999</v>
          </cell>
          <cell r="AW65">
            <v>11676.25058</v>
          </cell>
          <cell r="AX65">
            <v>11770.600769999999</v>
          </cell>
          <cell r="AY65">
            <v>11864.91581</v>
          </cell>
          <cell r="AZ65">
            <v>11959.764020000001</v>
          </cell>
          <cell r="BA65">
            <v>12608.19685</v>
          </cell>
          <cell r="BB65">
            <v>12741.371359999999</v>
          </cell>
          <cell r="BC65">
            <v>12876.53918</v>
          </cell>
          <cell r="BD65">
            <v>13013.763499999999</v>
          </cell>
          <cell r="BE65">
            <v>13153.091350000001</v>
          </cell>
        </row>
        <row r="66">
          <cell r="B66">
            <v>107.809363</v>
          </cell>
          <cell r="C66">
            <v>108.05363079999999</v>
          </cell>
          <cell r="D66">
            <v>108.3173776</v>
          </cell>
          <cell r="E66">
            <v>108.6564994</v>
          </cell>
          <cell r="F66">
            <v>109.1280245</v>
          </cell>
          <cell r="G66">
            <v>109.7397593</v>
          </cell>
          <cell r="H66">
            <v>110.4165672</v>
          </cell>
          <cell r="I66">
            <v>111.15898319999999</v>
          </cell>
          <cell r="J66">
            <v>111.943865</v>
          </cell>
          <cell r="K66">
            <v>112.7451138</v>
          </cell>
          <cell r="L66">
            <v>113.52827139999999</v>
          </cell>
          <cell r="M66">
            <v>114.4035652</v>
          </cell>
          <cell r="N66">
            <v>115.2909487</v>
          </cell>
          <cell r="O66">
            <v>116.1812315</v>
          </cell>
          <cell r="P66">
            <v>117.07246429999999</v>
          </cell>
          <cell r="Q66">
            <v>117.9636881</v>
          </cell>
          <cell r="R66">
            <v>118.85025109999999</v>
          </cell>
          <cell r="S66">
            <v>119.7324352</v>
          </cell>
          <cell r="T66">
            <v>120.61156269999999</v>
          </cell>
          <cell r="U66">
            <v>121.4893733</v>
          </cell>
          <cell r="V66">
            <v>122.3020885</v>
          </cell>
          <cell r="W66">
            <v>123.1574346</v>
          </cell>
          <cell r="X66">
            <v>124.0295771</v>
          </cell>
          <cell r="Y66">
            <v>124.9150629</v>
          </cell>
          <cell r="Z66">
            <v>125.8143692</v>
          </cell>
          <cell r="AA66">
            <v>126.542592</v>
          </cell>
          <cell r="AB66">
            <v>127.31343769999999</v>
          </cell>
          <cell r="AC66">
            <v>128.10085659999999</v>
          </cell>
          <cell r="AD66">
            <v>128.9042762</v>
          </cell>
          <cell r="AE66">
            <v>129.72633279999999</v>
          </cell>
          <cell r="AF66">
            <v>130.56985280000001</v>
          </cell>
          <cell r="AG66">
            <v>131.43805710000001</v>
          </cell>
          <cell r="AH66">
            <v>132.33254629999999</v>
          </cell>
          <cell r="AI66">
            <v>133.25405459999999</v>
          </cell>
          <cell r="AJ66">
            <v>134.20274499999999</v>
          </cell>
          <cell r="AK66">
            <v>135.17837180000001</v>
          </cell>
          <cell r="AL66">
            <v>136.1454324</v>
          </cell>
          <cell r="AM66">
            <v>137.12899139999999</v>
          </cell>
          <cell r="AN66">
            <v>138.13367719999999</v>
          </cell>
          <cell r="AO66">
            <v>139.1601019</v>
          </cell>
          <cell r="AP66">
            <v>140.207956</v>
          </cell>
          <cell r="AQ66">
            <v>141.27807540000001</v>
          </cell>
          <cell r="AR66">
            <v>142.3700307</v>
          </cell>
          <cell r="AS66">
            <v>143.48300169999999</v>
          </cell>
          <cell r="AT66">
            <v>144.61606459999999</v>
          </cell>
          <cell r="AU66">
            <v>145.76827589999999</v>
          </cell>
          <cell r="AV66">
            <v>146.94706640000001</v>
          </cell>
          <cell r="AW66">
            <v>148.1497779</v>
          </cell>
          <cell r="AX66">
            <v>149.37402399999999</v>
          </cell>
          <cell r="AY66">
            <v>150.61754049999999</v>
          </cell>
          <cell r="AZ66">
            <v>151.87839779999999</v>
          </cell>
          <cell r="BA66">
            <v>177.7286378</v>
          </cell>
          <cell r="BB66">
            <v>179.9775698</v>
          </cell>
          <cell r="BC66">
            <v>182.2684591</v>
          </cell>
          <cell r="BD66">
            <v>184.60153890000001</v>
          </cell>
          <cell r="BE66">
            <v>186.9770785</v>
          </cell>
        </row>
        <row r="67">
          <cell r="B67">
            <v>109.7649952</v>
          </cell>
          <cell r="C67">
            <v>110.5705423</v>
          </cell>
          <cell r="D67">
            <v>111.25226480000001</v>
          </cell>
          <cell r="E67">
            <v>111.9452926</v>
          </cell>
          <cell r="F67">
            <v>112.6958003</v>
          </cell>
          <cell r="G67">
            <v>113.5393772</v>
          </cell>
          <cell r="H67">
            <v>114.4239669</v>
          </cell>
          <cell r="I67">
            <v>115.3674977</v>
          </cell>
          <cell r="J67">
            <v>116.35920369999999</v>
          </cell>
          <cell r="K67">
            <v>117.38543180000001</v>
          </cell>
          <cell r="L67">
            <v>118.5319059</v>
          </cell>
          <cell r="M67">
            <v>119.63718679999999</v>
          </cell>
          <cell r="N67">
            <v>120.73875409999999</v>
          </cell>
          <cell r="O67">
            <v>121.8427231</v>
          </cell>
          <cell r="P67">
            <v>122.9506907</v>
          </cell>
          <cell r="Q67">
            <v>124.06366319999999</v>
          </cell>
          <cell r="R67">
            <v>125.18290260000001</v>
          </cell>
          <cell r="S67">
            <v>126.3100355</v>
          </cell>
          <cell r="T67">
            <v>127.4469833</v>
          </cell>
          <cell r="U67">
            <v>128.59585469999999</v>
          </cell>
          <cell r="V67">
            <v>129.68865980000001</v>
          </cell>
          <cell r="W67">
            <v>130.8403299</v>
          </cell>
          <cell r="X67">
            <v>132.02230850000001</v>
          </cell>
          <cell r="Y67">
            <v>133.23045579999999</v>
          </cell>
          <cell r="Z67">
            <v>134.46464230000001</v>
          </cell>
          <cell r="AA67">
            <v>135.52483770000001</v>
          </cell>
          <cell r="AB67">
            <v>136.63914589999999</v>
          </cell>
          <cell r="AC67">
            <v>137.7769639</v>
          </cell>
          <cell r="AD67">
            <v>138.9370614</v>
          </cell>
          <cell r="AE67">
            <v>140.1218767</v>
          </cell>
          <cell r="AF67">
            <v>141.33408270000001</v>
          </cell>
          <cell r="AG67">
            <v>142.57578419999999</v>
          </cell>
          <cell r="AH67">
            <v>143.8483827</v>
          </cell>
          <cell r="AI67">
            <v>145.1526332</v>
          </cell>
          <cell r="AJ67">
            <v>146.4887626</v>
          </cell>
          <cell r="AK67">
            <v>147.8566055</v>
          </cell>
          <cell r="AL67">
            <v>149.2079617</v>
          </cell>
          <cell r="AM67">
            <v>150.5707419</v>
          </cell>
          <cell r="AN67">
            <v>151.9520527</v>
          </cell>
          <cell r="AO67">
            <v>153.3550003</v>
          </cell>
          <cell r="AP67">
            <v>154.78149289999999</v>
          </cell>
          <cell r="AQ67">
            <v>156.23290299999999</v>
          </cell>
          <cell r="AR67">
            <v>157.71022640000001</v>
          </cell>
          <cell r="AS67">
            <v>159.21414110000001</v>
          </cell>
          <cell r="AT67">
            <v>160.74495429999999</v>
          </cell>
          <cell r="AU67">
            <v>162.30234899999999</v>
          </cell>
          <cell r="AV67">
            <v>163.88833289999999</v>
          </cell>
          <cell r="AW67">
            <v>165.49894080000001</v>
          </cell>
          <cell r="AX67">
            <v>167.1315141</v>
          </cell>
          <cell r="AY67">
            <v>168.7896743</v>
          </cell>
          <cell r="AZ67">
            <v>170.47676970000001</v>
          </cell>
          <cell r="BA67">
            <v>181.07160959999999</v>
          </cell>
          <cell r="BB67">
            <v>183.43027749999999</v>
          </cell>
          <cell r="BC67">
            <v>185.83127820000001</v>
          </cell>
          <cell r="BD67">
            <v>188.27540210000001</v>
          </cell>
          <cell r="BE67">
            <v>190.76332149999999</v>
          </cell>
        </row>
      </sheetData>
      <sheetData sheetId="4">
        <row r="2">
          <cell r="B2">
            <v>5219791.7249999996</v>
          </cell>
          <cell r="C2">
            <v>5273949.8779999996</v>
          </cell>
          <cell r="D2">
            <v>5328143.2520000003</v>
          </cell>
          <cell r="E2">
            <v>5383197.4850000003</v>
          </cell>
          <cell r="F2">
            <v>5439609.9929999998</v>
          </cell>
          <cell r="G2">
            <v>5497692.6100000003</v>
          </cell>
          <cell r="H2">
            <v>5557453.4129999997</v>
          </cell>
          <cell r="I2">
            <v>5618907.5810000002</v>
          </cell>
          <cell r="J2">
            <v>5682083.1940000001</v>
          </cell>
          <cell r="K2">
            <v>5747015.0530000003</v>
          </cell>
          <cell r="L2">
            <v>5813712.2340000002</v>
          </cell>
          <cell r="M2">
            <v>5882504.3030000003</v>
          </cell>
          <cell r="N2">
            <v>5953556.0880000005</v>
          </cell>
          <cell r="O2">
            <v>6026948.1900000004</v>
          </cell>
          <cell r="P2">
            <v>6102724.2570000002</v>
          </cell>
          <cell r="Q2">
            <v>6180912.4450000003</v>
          </cell>
          <cell r="R2">
            <v>6261515.8969999999</v>
          </cell>
          <cell r="S2">
            <v>6344542.21</v>
          </cell>
          <cell r="T2">
            <v>6430001.9110000003</v>
          </cell>
          <cell r="U2">
            <v>6517906.8820000002</v>
          </cell>
          <cell r="V2">
            <v>6608022.3090000004</v>
          </cell>
          <cell r="W2">
            <v>6700437.6339999996</v>
          </cell>
          <cell r="X2">
            <v>6795220.0049999999</v>
          </cell>
          <cell r="Y2">
            <v>6892415.6780000003</v>
          </cell>
          <cell r="Z2">
            <v>6992058.5369999995</v>
          </cell>
          <cell r="AA2">
            <v>7093460.3099999996</v>
          </cell>
          <cell r="AB2">
            <v>7196532.3770000003</v>
          </cell>
          <cell r="AC2">
            <v>7301217.2539999997</v>
          </cell>
          <cell r="AD2">
            <v>7407467.8370000003</v>
          </cell>
          <cell r="AE2">
            <v>7515248.2249999996</v>
          </cell>
          <cell r="AF2">
            <v>7624532.6600000001</v>
          </cell>
          <cell r="AG2">
            <v>7735308.4850000003</v>
          </cell>
          <cell r="AH2">
            <v>7847565.0549999997</v>
          </cell>
          <cell r="AI2">
            <v>7961291.4119999995</v>
          </cell>
          <cell r="AJ2">
            <v>8076474.4919999996</v>
          </cell>
          <cell r="AK2">
            <v>8193098.0120000001</v>
          </cell>
          <cell r="AL2">
            <v>8311024.1100000003</v>
          </cell>
          <cell r="AM2">
            <v>8430142.8509999998</v>
          </cell>
          <cell r="AN2">
            <v>8550365.7029999997</v>
          </cell>
          <cell r="AO2">
            <v>8671617.9330000002</v>
          </cell>
          <cell r="AP2">
            <v>8793835.4220000003</v>
          </cell>
          <cell r="AQ2">
            <v>8916972.9360000007</v>
          </cell>
          <cell r="AR2">
            <v>9040990.6030000001</v>
          </cell>
          <cell r="AS2">
            <v>9165853.8870000001</v>
          </cell>
          <cell r="AT2">
            <v>9291533.1199999992</v>
          </cell>
          <cell r="AU2">
            <v>9418002.8550000004</v>
          </cell>
          <cell r="AV2">
            <v>9545290.9489999991</v>
          </cell>
          <cell r="AW2">
            <v>9673412.159</v>
          </cell>
          <cell r="AX2">
            <v>9802372.5</v>
          </cell>
          <cell r="AY2">
            <v>9932172.9340000004</v>
          </cell>
          <cell r="AZ2">
            <v>10062812.029999999</v>
          </cell>
          <cell r="BA2">
            <v>11978567.880000001</v>
          </cell>
          <cell r="BB2">
            <v>12204228.35</v>
          </cell>
          <cell r="BC2">
            <v>12433206.91</v>
          </cell>
          <cell r="BD2">
            <v>12665453.859999999</v>
          </cell>
          <cell r="BE2">
            <v>12900919.949999999</v>
          </cell>
        </row>
        <row r="3">
          <cell r="B3">
            <v>5224351.5990000004</v>
          </cell>
          <cell r="C3">
            <v>5285939.1890000002</v>
          </cell>
          <cell r="D3">
            <v>5349468.2699999996</v>
          </cell>
          <cell r="E3">
            <v>5415267.1299999999</v>
          </cell>
          <cell r="F3">
            <v>5483570.4560000002</v>
          </cell>
          <cell r="G3">
            <v>5554548.6670000004</v>
          </cell>
          <cell r="H3">
            <v>5628132.9570000004</v>
          </cell>
          <cell r="I3">
            <v>5704292.977</v>
          </cell>
          <cell r="J3">
            <v>5783028.068</v>
          </cell>
          <cell r="K3">
            <v>5864354.1339999996</v>
          </cell>
          <cell r="L3">
            <v>5948646.0389999999</v>
          </cell>
          <cell r="M3">
            <v>6035819.6490000002</v>
          </cell>
          <cell r="N3">
            <v>6125820.8250000002</v>
          </cell>
          <cell r="O3">
            <v>6218620.2939999998</v>
          </cell>
          <cell r="P3">
            <v>6314200.1509999996</v>
          </cell>
          <cell r="Q3">
            <v>6412547.8660000004</v>
          </cell>
          <cell r="R3">
            <v>6513654.2599999998</v>
          </cell>
          <cell r="S3">
            <v>6617512.8940000003</v>
          </cell>
          <cell r="T3">
            <v>6724119.6909999996</v>
          </cell>
          <cell r="U3">
            <v>6833472.3940000003</v>
          </cell>
          <cell r="V3">
            <v>6945305.1560000004</v>
          </cell>
          <cell r="W3">
            <v>7059698.8569999998</v>
          </cell>
          <cell r="X3">
            <v>7176711.4019999998</v>
          </cell>
          <cell r="Y3">
            <v>7296379.2060000002</v>
          </cell>
          <cell r="Z3">
            <v>7418725.773</v>
          </cell>
          <cell r="AA3">
            <v>7542993.5420000004</v>
          </cell>
          <cell r="AB3">
            <v>7669058.5219999999</v>
          </cell>
          <cell r="AC3">
            <v>7796832.5369999995</v>
          </cell>
          <cell r="AD3">
            <v>7926240.9440000001</v>
          </cell>
          <cell r="AE3">
            <v>8057223.2769999998</v>
          </cell>
          <cell r="AF3">
            <v>8189731.773</v>
          </cell>
          <cell r="AG3">
            <v>8323728.102</v>
          </cell>
          <cell r="AH3">
            <v>8459179.6549999993</v>
          </cell>
          <cell r="AI3">
            <v>8596056.3389999997</v>
          </cell>
          <cell r="AJ3">
            <v>8734328.2559999991</v>
          </cell>
          <cell r="AK3">
            <v>8873964.3579999991</v>
          </cell>
          <cell r="AL3">
            <v>9014742.1789999995</v>
          </cell>
          <cell r="AM3">
            <v>9156493.5219999999</v>
          </cell>
          <cell r="AN3">
            <v>9299090.3080000002</v>
          </cell>
          <cell r="AO3">
            <v>9442431.8100000005</v>
          </cell>
          <cell r="AP3">
            <v>9586438.2229999993</v>
          </cell>
          <cell r="AQ3">
            <v>9731047.0309999995</v>
          </cell>
          <cell r="AR3">
            <v>9876210.398</v>
          </cell>
          <cell r="AS3">
            <v>10021892.93</v>
          </cell>
          <cell r="AT3">
            <v>10168069.75</v>
          </cell>
          <cell r="AU3">
            <v>10314724.859999999</v>
          </cell>
          <cell r="AV3">
            <v>10461867.300000001</v>
          </cell>
          <cell r="AW3">
            <v>10609507.949999999</v>
          </cell>
          <cell r="AX3">
            <v>10757660.439999999</v>
          </cell>
          <cell r="AY3">
            <v>10906341.779999999</v>
          </cell>
          <cell r="AZ3">
            <v>11055572.85</v>
          </cell>
          <cell r="BA3">
            <v>12048683.140000001</v>
          </cell>
          <cell r="BB3">
            <v>12276883.67</v>
          </cell>
          <cell r="BC3">
            <v>12508283.220000001</v>
          </cell>
          <cell r="BD3">
            <v>12742824.369999999</v>
          </cell>
          <cell r="BE3">
            <v>12980451.76</v>
          </cell>
        </row>
        <row r="4">
          <cell r="B4">
            <v>47165.203930000003</v>
          </cell>
          <cell r="C4">
            <v>47625.299550000003</v>
          </cell>
          <cell r="D4">
            <v>48067.15681</v>
          </cell>
          <cell r="E4">
            <v>48501.876049999999</v>
          </cell>
          <cell r="F4">
            <v>48938.607609999999</v>
          </cell>
          <cell r="G4">
            <v>49384.571479999999</v>
          </cell>
          <cell r="H4">
            <v>49843.470529999999</v>
          </cell>
          <cell r="I4">
            <v>50318.179389999998</v>
          </cell>
          <cell r="J4">
            <v>50810.932529999998</v>
          </cell>
          <cell r="K4">
            <v>51323.414929999999</v>
          </cell>
          <cell r="L4">
            <v>51855.741410000002</v>
          </cell>
          <cell r="M4">
            <v>52412.700049999999</v>
          </cell>
          <cell r="N4">
            <v>52996.392099999997</v>
          </cell>
          <cell r="O4">
            <v>53607.614540000002</v>
          </cell>
          <cell r="P4">
            <v>54246.592049999999</v>
          </cell>
          <cell r="Q4">
            <v>54913.267010000003</v>
          </cell>
          <cell r="R4">
            <v>55607.229590000003</v>
          </cell>
          <cell r="S4">
            <v>56328.033869999999</v>
          </cell>
          <cell r="T4">
            <v>57075.192770000001</v>
          </cell>
          <cell r="U4">
            <v>57848.2</v>
          </cell>
          <cell r="V4">
            <v>58644.288280000001</v>
          </cell>
          <cell r="W4">
            <v>59463.559139999998</v>
          </cell>
          <cell r="X4">
            <v>60306.069439999999</v>
          </cell>
          <cell r="Y4">
            <v>61171.767419999996</v>
          </cell>
          <cell r="Z4">
            <v>62060.544240000003</v>
          </cell>
          <cell r="AA4">
            <v>62965.71974</v>
          </cell>
          <cell r="AB4">
            <v>63885.832219999997</v>
          </cell>
          <cell r="AC4">
            <v>64819.982799999998</v>
          </cell>
          <cell r="AD4">
            <v>65767.578330000004</v>
          </cell>
          <cell r="AE4">
            <v>66728.297619999998</v>
          </cell>
          <cell r="AF4">
            <v>67702.046119999999</v>
          </cell>
          <cell r="AG4">
            <v>68688.954979999995</v>
          </cell>
          <cell r="AH4">
            <v>69689.242979999995</v>
          </cell>
          <cell r="AI4">
            <v>70703.176720000003</v>
          </cell>
          <cell r="AJ4">
            <v>71731.033809999994</v>
          </cell>
          <cell r="AK4">
            <v>72773.080059999993</v>
          </cell>
          <cell r="AL4">
            <v>73828.527100000007</v>
          </cell>
          <cell r="AM4">
            <v>74896.752959999998</v>
          </cell>
          <cell r="AN4">
            <v>75977.372969999997</v>
          </cell>
          <cell r="AO4">
            <v>77070.159249999997</v>
          </cell>
          <cell r="AP4">
            <v>78175.003729999997</v>
          </cell>
          <cell r="AQ4">
            <v>79291.998659999997</v>
          </cell>
          <cell r="AR4">
            <v>80421.292319999993</v>
          </cell>
          <cell r="AS4">
            <v>81563.086089999997</v>
          </cell>
          <cell r="AT4">
            <v>82717.614220000003</v>
          </cell>
          <cell r="AU4">
            <v>83885.127420000004</v>
          </cell>
          <cell r="AV4">
            <v>85066.376799999998</v>
          </cell>
          <cell r="AW4">
            <v>86261.955709999995</v>
          </cell>
          <cell r="AX4">
            <v>87472.350779999993</v>
          </cell>
          <cell r="AY4">
            <v>88697.947579999993</v>
          </cell>
          <cell r="AZ4">
            <v>89939.046579999995</v>
          </cell>
          <cell r="BA4">
            <v>103584.394</v>
          </cell>
          <cell r="BB4">
            <v>105462.39079999999</v>
          </cell>
          <cell r="BC4">
            <v>107372.7289</v>
          </cell>
          <cell r="BD4">
            <v>109315.7332</v>
          </cell>
          <cell r="BE4">
            <v>111291.7519</v>
          </cell>
        </row>
        <row r="5">
          <cell r="B5">
            <v>47217.39402</v>
          </cell>
          <cell r="C5">
            <v>47760.717660000002</v>
          </cell>
          <cell r="D5">
            <v>48305.589419999997</v>
          </cell>
          <cell r="E5">
            <v>48857.212800000001</v>
          </cell>
          <cell r="F5">
            <v>49421.240100000003</v>
          </cell>
          <cell r="G5">
            <v>50002.531949999997</v>
          </cell>
          <cell r="H5">
            <v>50603.050929999998</v>
          </cell>
          <cell r="I5">
            <v>51224.306550000001</v>
          </cell>
          <cell r="J5">
            <v>51867.452490000003</v>
          </cell>
          <cell r="K5">
            <v>52533.32185</v>
          </cell>
          <cell r="L5">
            <v>53225.705479999997</v>
          </cell>
          <cell r="M5">
            <v>53944.036310000003</v>
          </cell>
          <cell r="N5">
            <v>54687.691319999998</v>
          </cell>
          <cell r="O5">
            <v>55456.09564</v>
          </cell>
          <cell r="P5">
            <v>56248.676180000002</v>
          </cell>
          <cell r="Q5">
            <v>57064.860760000003</v>
          </cell>
          <cell r="R5">
            <v>57904.09794</v>
          </cell>
          <cell r="S5">
            <v>58765.87659</v>
          </cell>
          <cell r="T5">
            <v>59649.737860000001</v>
          </cell>
          <cell r="U5">
            <v>60555.279069999997</v>
          </cell>
          <cell r="V5">
            <v>61479.729299999999</v>
          </cell>
          <cell r="W5">
            <v>62423.455399999999</v>
          </cell>
          <cell r="X5">
            <v>63386.779849999999</v>
          </cell>
          <cell r="Y5">
            <v>64369.919150000002</v>
          </cell>
          <cell r="Z5">
            <v>65373.0337</v>
          </cell>
          <cell r="AA5">
            <v>66389.199959999998</v>
          </cell>
          <cell r="AB5">
            <v>67417.082179999998</v>
          </cell>
          <cell r="AC5">
            <v>68455.929489999995</v>
          </cell>
          <cell r="AD5">
            <v>69505.307230000006</v>
          </cell>
          <cell r="AE5">
            <v>70565.072759999995</v>
          </cell>
          <cell r="AF5">
            <v>71635.327050000007</v>
          </cell>
          <cell r="AG5">
            <v>72716.34762</v>
          </cell>
          <cell r="AH5">
            <v>73808.522070000006</v>
          </cell>
          <cell r="AI5">
            <v>74912.293369999999</v>
          </cell>
          <cell r="AJ5">
            <v>76028.120259999996</v>
          </cell>
          <cell r="AK5">
            <v>77156.4522</v>
          </cell>
          <cell r="AL5">
            <v>78295.991370000003</v>
          </cell>
          <cell r="AM5">
            <v>79445.868910000005</v>
          </cell>
          <cell r="AN5">
            <v>80605.588359999994</v>
          </cell>
          <cell r="AO5">
            <v>81774.930649999995</v>
          </cell>
          <cell r="AP5">
            <v>82953.897689999998</v>
          </cell>
          <cell r="AQ5">
            <v>84142.670199999993</v>
          </cell>
          <cell r="AR5">
            <v>85341.568490000005</v>
          </cell>
          <cell r="AS5">
            <v>86551.014720000006</v>
          </cell>
          <cell r="AT5">
            <v>87771.499030000006</v>
          </cell>
          <cell r="AU5">
            <v>89003.551760000002</v>
          </cell>
          <cell r="AV5">
            <v>90247.881559999994</v>
          </cell>
          <cell r="AW5">
            <v>91505.165290000004</v>
          </cell>
          <cell r="AX5">
            <v>92776.043260000006</v>
          </cell>
          <cell r="AY5">
            <v>94061.110230000006</v>
          </cell>
          <cell r="AZ5">
            <v>95360.914709999997</v>
          </cell>
          <cell r="BA5">
            <v>103506.8563</v>
          </cell>
          <cell r="BB5">
            <v>105342.2723</v>
          </cell>
          <cell r="BC5">
            <v>107205.95759999999</v>
          </cell>
          <cell r="BD5">
            <v>109098.23020000001</v>
          </cell>
          <cell r="BE5">
            <v>111019.45050000001</v>
          </cell>
        </row>
        <row r="6">
          <cell r="B6">
            <v>1844.319428</v>
          </cell>
          <cell r="C6">
            <v>1863.445704</v>
          </cell>
          <cell r="D6">
            <v>1880.3839829999999</v>
          </cell>
          <cell r="E6">
            <v>1895.170042</v>
          </cell>
          <cell r="F6">
            <v>1908.054834</v>
          </cell>
          <cell r="G6">
            <v>1919.3235870000001</v>
          </cell>
          <cell r="H6">
            <v>1929.1841730000001</v>
          </cell>
          <cell r="I6">
            <v>1937.816337</v>
          </cell>
          <cell r="J6">
            <v>1945.359792</v>
          </cell>
          <cell r="K6">
            <v>1951.911257</v>
          </cell>
          <cell r="L6">
            <v>1957.5814270000001</v>
          </cell>
          <cell r="M6">
            <v>1962.506772</v>
          </cell>
          <cell r="N6">
            <v>1966.783122</v>
          </cell>
          <cell r="O6">
            <v>1970.4959449999999</v>
          </cell>
          <cell r="P6">
            <v>1973.729693</v>
          </cell>
          <cell r="Q6">
            <v>1976.5684980000001</v>
          </cell>
          <cell r="R6">
            <v>1979.0851170000001</v>
          </cell>
          <cell r="S6">
            <v>1981.3539760000001</v>
          </cell>
          <cell r="T6">
            <v>1983.4489659999999</v>
          </cell>
          <cell r="U6">
            <v>1985.4423959999999</v>
          </cell>
          <cell r="V6">
            <v>1987.3499509999999</v>
          </cell>
          <cell r="W6">
            <v>1989.2590720000001</v>
          </cell>
          <cell r="X6">
            <v>1991.2497860000001</v>
          </cell>
          <cell r="Y6">
            <v>1993.3895640000001</v>
          </cell>
          <cell r="Z6">
            <v>1995.7361490000001</v>
          </cell>
          <cell r="AA6">
            <v>1998.1899780000001</v>
          </cell>
          <cell r="AB6">
            <v>2000.790056</v>
          </cell>
          <cell r="AC6">
            <v>2003.587479</v>
          </cell>
          <cell r="AD6">
            <v>2006.6291490000001</v>
          </cell>
          <cell r="AE6">
            <v>2009.9556930000001</v>
          </cell>
          <cell r="AF6">
            <v>2013.602386</v>
          </cell>
          <cell r="AG6">
            <v>2017.6025979999999</v>
          </cell>
          <cell r="AH6">
            <v>2021.9850180000001</v>
          </cell>
          <cell r="AI6">
            <v>2026.7744600000001</v>
          </cell>
          <cell r="AJ6">
            <v>2031.9922730000001</v>
          </cell>
          <cell r="AK6">
            <v>2037.6568540000001</v>
          </cell>
          <cell r="AL6">
            <v>2043.7711139999999</v>
          </cell>
          <cell r="AM6">
            <v>2050.3393310000001</v>
          </cell>
          <cell r="AN6">
            <v>2057.3688499999998</v>
          </cell>
          <cell r="AO6">
            <v>2064.8659170000001</v>
          </cell>
          <cell r="AP6">
            <v>2072.8348380000002</v>
          </cell>
          <cell r="AQ6">
            <v>2081.281935</v>
          </cell>
          <cell r="AR6">
            <v>2090.2110200000002</v>
          </cell>
          <cell r="AS6">
            <v>2099.6244459999998</v>
          </cell>
          <cell r="AT6">
            <v>2109.5234190000001</v>
          </cell>
          <cell r="AU6">
            <v>2119.908461</v>
          </cell>
          <cell r="AV6">
            <v>2130.794989</v>
          </cell>
          <cell r="AW6">
            <v>2142.1915709999998</v>
          </cell>
          <cell r="AX6">
            <v>2154.1024080000002</v>
          </cell>
          <cell r="AY6">
            <v>2166.5280010000001</v>
          </cell>
          <cell r="AZ6">
            <v>2179.4667460000001</v>
          </cell>
          <cell r="BA6">
            <v>2250.0236629999999</v>
          </cell>
          <cell r="BB6">
            <v>2268.8863310000002</v>
          </cell>
          <cell r="BC6">
            <v>2288.4447949999999</v>
          </cell>
          <cell r="BD6">
            <v>2308.6961110000002</v>
          </cell>
          <cell r="BE6">
            <v>2329.6364589999998</v>
          </cell>
        </row>
        <row r="7">
          <cell r="B7">
            <v>1844.7470519999999</v>
          </cell>
          <cell r="C7">
            <v>1864.514179</v>
          </cell>
          <cell r="D7">
            <v>1882.2706470000001</v>
          </cell>
          <cell r="E7">
            <v>1897.8557249999999</v>
          </cell>
          <cell r="F7">
            <v>1911.32401</v>
          </cell>
          <cell r="G7">
            <v>1922.8722560000001</v>
          </cell>
          <cell r="H7">
            <v>1932.7094629999999</v>
          </cell>
          <cell r="I7">
            <v>1941.0625580000001</v>
          </cell>
          <cell r="J7">
            <v>1948.144014</v>
          </cell>
          <cell r="K7">
            <v>1954.1370440000001</v>
          </cell>
          <cell r="L7">
            <v>1959.275416</v>
          </cell>
          <cell r="M7">
            <v>1963.6571280000001</v>
          </cell>
          <cell r="N7">
            <v>1967.3669110000001</v>
          </cell>
          <cell r="O7">
            <v>1970.488188</v>
          </cell>
          <cell r="P7">
            <v>1973.102048</v>
          </cell>
          <cell r="Q7">
            <v>1975.2856670000001</v>
          </cell>
          <cell r="R7">
            <v>1977.1115950000001</v>
          </cell>
          <cell r="S7">
            <v>1978.647663</v>
          </cell>
          <cell r="T7">
            <v>1979.9571269999999</v>
          </cell>
          <cell r="U7">
            <v>1981.0988769999999</v>
          </cell>
          <cell r="V7">
            <v>1982.0739900000001</v>
          </cell>
          <cell r="W7">
            <v>1982.9551369999999</v>
          </cell>
          <cell r="X7">
            <v>1983.8075389999999</v>
          </cell>
          <cell r="Y7">
            <v>1984.684608</v>
          </cell>
          <cell r="Z7">
            <v>1985.6309759999999</v>
          </cell>
          <cell r="AA7">
            <v>1986.5364950000001</v>
          </cell>
          <cell r="AB7">
            <v>1987.4260200000001</v>
          </cell>
          <cell r="AC7">
            <v>1988.3385599999999</v>
          </cell>
          <cell r="AD7">
            <v>1989.311117</v>
          </cell>
          <cell r="AE7">
            <v>1990.3766310000001</v>
          </cell>
          <cell r="AF7">
            <v>1991.564339</v>
          </cell>
          <cell r="AG7">
            <v>1992.900296</v>
          </cell>
          <cell r="AH7">
            <v>1994.4077299999999</v>
          </cell>
          <cell r="AI7">
            <v>1996.1072919999999</v>
          </cell>
          <cell r="AJ7">
            <v>1998.0172640000001</v>
          </cell>
          <cell r="AK7">
            <v>2000.153787</v>
          </cell>
          <cell r="AL7">
            <v>2002.497797</v>
          </cell>
          <cell r="AM7">
            <v>2005.0421610000001</v>
          </cell>
          <cell r="AN7">
            <v>2007.789364</v>
          </cell>
          <cell r="AO7">
            <v>2010.7468260000001</v>
          </cell>
          <cell r="AP7">
            <v>2013.9240159999999</v>
          </cell>
          <cell r="AQ7">
            <v>2017.3309919999999</v>
          </cell>
          <cell r="AR7">
            <v>2020.9777120000001</v>
          </cell>
          <cell r="AS7">
            <v>2024.8736140000001</v>
          </cell>
          <cell r="AT7">
            <v>2029.0271319999999</v>
          </cell>
          <cell r="AU7">
            <v>2033.444534</v>
          </cell>
          <cell r="AV7">
            <v>2038.1275049999999</v>
          </cell>
          <cell r="AW7">
            <v>2043.0724110000001</v>
          </cell>
          <cell r="AX7">
            <v>2048.274942</v>
          </cell>
          <cell r="AY7">
            <v>2053.7339740000002</v>
          </cell>
          <cell r="AZ7">
            <v>2059.4524040000001</v>
          </cell>
          <cell r="BA7">
            <v>2271.9894399999998</v>
          </cell>
          <cell r="BB7">
            <v>2288.2904079999998</v>
          </cell>
          <cell r="BC7">
            <v>2304.9516779999999</v>
          </cell>
          <cell r="BD7">
            <v>2321.9704510000001</v>
          </cell>
          <cell r="BE7">
            <v>2339.3448629999998</v>
          </cell>
        </row>
        <row r="8">
          <cell r="B8">
            <v>74458.774479999993</v>
          </cell>
          <cell r="C8">
            <v>75210.330050000004</v>
          </cell>
          <cell r="D8">
            <v>75943.062489999997</v>
          </cell>
          <cell r="E8">
            <v>76671.427379999994</v>
          </cell>
          <cell r="F8">
            <v>77407.361879999997</v>
          </cell>
          <cell r="G8">
            <v>78160.381169999993</v>
          </cell>
          <cell r="H8">
            <v>78935.054569999993</v>
          </cell>
          <cell r="I8">
            <v>79734.948369999998</v>
          </cell>
          <cell r="J8">
            <v>80562.885590000005</v>
          </cell>
          <cell r="K8">
            <v>81421.034599999999</v>
          </cell>
          <cell r="L8">
            <v>82310.404649999997</v>
          </cell>
          <cell r="M8">
            <v>83236.805319999999</v>
          </cell>
          <cell r="N8">
            <v>84202.742240000007</v>
          </cell>
          <cell r="O8">
            <v>85209.237129999994</v>
          </cell>
          <cell r="P8">
            <v>86256.613899999997</v>
          </cell>
          <cell r="Q8">
            <v>87344.800489999994</v>
          </cell>
          <cell r="R8">
            <v>88473.184389999995</v>
          </cell>
          <cell r="S8">
            <v>89641.043099999995</v>
          </cell>
          <cell r="T8">
            <v>90847.553329999995</v>
          </cell>
          <cell r="U8">
            <v>92091.812699999995</v>
          </cell>
          <cell r="V8">
            <v>93369.351429999995</v>
          </cell>
          <cell r="W8">
            <v>94679.984989999997</v>
          </cell>
          <cell r="X8">
            <v>96023.505650000006</v>
          </cell>
          <cell r="Y8">
            <v>97399.56048</v>
          </cell>
          <cell r="Z8">
            <v>98807.706680000003</v>
          </cell>
          <cell r="AA8">
            <v>100237.2844</v>
          </cell>
          <cell r="AB8">
            <v>101685.3515</v>
          </cell>
          <cell r="AC8">
            <v>103149.9063</v>
          </cell>
          <cell r="AD8">
            <v>104629.5076</v>
          </cell>
          <cell r="AE8">
            <v>106123.21610000001</v>
          </cell>
          <cell r="AF8">
            <v>107630.5102</v>
          </cell>
          <cell r="AG8">
            <v>109151.26669999999</v>
          </cell>
          <cell r="AH8">
            <v>110685.549</v>
          </cell>
          <cell r="AI8">
            <v>112233.5315</v>
          </cell>
          <cell r="AJ8">
            <v>113795.4421</v>
          </cell>
          <cell r="AK8">
            <v>115371.52469999999</v>
          </cell>
          <cell r="AL8">
            <v>116960.3836</v>
          </cell>
          <cell r="AM8">
            <v>118560.8789</v>
          </cell>
          <cell r="AN8">
            <v>120172.21799999999</v>
          </cell>
          <cell r="AO8">
            <v>121793.9017</v>
          </cell>
          <cell r="AP8">
            <v>123425.6884</v>
          </cell>
          <cell r="AQ8">
            <v>125067.70480000001</v>
          </cell>
          <cell r="AR8">
            <v>126720.228</v>
          </cell>
          <cell r="AS8">
            <v>128383.6553</v>
          </cell>
          <cell r="AT8">
            <v>130058.46739999999</v>
          </cell>
          <cell r="AU8">
            <v>131745.1949</v>
          </cell>
          <cell r="AV8">
            <v>133445.11730000001</v>
          </cell>
          <cell r="AW8">
            <v>135159.3175</v>
          </cell>
          <cell r="AX8">
            <v>136888.71170000001</v>
          </cell>
          <cell r="AY8">
            <v>138634.07560000001</v>
          </cell>
          <cell r="AZ8">
            <v>140396.07139999999</v>
          </cell>
          <cell r="BA8">
            <v>162579.52590000001</v>
          </cell>
          <cell r="BB8">
            <v>165357.26949999999</v>
          </cell>
          <cell r="BC8">
            <v>168176.40669999999</v>
          </cell>
          <cell r="BD8">
            <v>171037.34650000001</v>
          </cell>
          <cell r="BE8">
            <v>173940.5448</v>
          </cell>
        </row>
        <row r="9">
          <cell r="B9">
            <v>74528.112829999998</v>
          </cell>
          <cell r="C9">
            <v>75393.603109999996</v>
          </cell>
          <cell r="D9">
            <v>76271.233420000004</v>
          </cell>
          <cell r="E9">
            <v>77167.94889</v>
          </cell>
          <cell r="F9">
            <v>78091.028330000001</v>
          </cell>
          <cell r="G9">
            <v>79046.72911</v>
          </cell>
          <cell r="H9">
            <v>80037.142619999999</v>
          </cell>
          <cell r="I9">
            <v>81063.83279</v>
          </cell>
          <cell r="J9">
            <v>82127.996140000003</v>
          </cell>
          <cell r="K9">
            <v>83230.494030000002</v>
          </cell>
          <cell r="L9">
            <v>84376.895470000003</v>
          </cell>
          <cell r="M9">
            <v>85566.314610000001</v>
          </cell>
          <cell r="N9">
            <v>86797.691489999997</v>
          </cell>
          <cell r="O9">
            <v>88069.982990000004</v>
          </cell>
          <cell r="P9">
            <v>89382.127609999996</v>
          </cell>
          <cell r="Q9">
            <v>90733.060620000004</v>
          </cell>
          <cell r="R9">
            <v>92121.749500000005</v>
          </cell>
          <cell r="S9">
            <v>93547.224069999997</v>
          </cell>
          <cell r="T9">
            <v>95008.593290000004</v>
          </cell>
          <cell r="U9">
            <v>96505.049589999995</v>
          </cell>
          <cell r="V9">
            <v>98032.094949999999</v>
          </cell>
          <cell r="W9">
            <v>99589.946049999999</v>
          </cell>
          <cell r="X9">
            <v>101178.8532</v>
          </cell>
          <cell r="Y9">
            <v>102798.9657</v>
          </cell>
          <cell r="Z9">
            <v>104450.37089999999</v>
          </cell>
          <cell r="AA9">
            <v>106122.1235</v>
          </cell>
          <cell r="AB9">
            <v>107811.5143</v>
          </cell>
          <cell r="AC9">
            <v>109516.8328</v>
          </cell>
          <cell r="AD9">
            <v>111236.9773</v>
          </cell>
          <cell r="AE9">
            <v>112971.3939</v>
          </cell>
          <cell r="AF9">
            <v>114719.9794</v>
          </cell>
          <cell r="AG9">
            <v>116482.962</v>
          </cell>
          <cell r="AH9">
            <v>118260.7868</v>
          </cell>
          <cell r="AI9">
            <v>120054.0227</v>
          </cell>
          <cell r="AJ9">
            <v>121863.2953</v>
          </cell>
          <cell r="AK9">
            <v>123689.2435</v>
          </cell>
          <cell r="AL9">
            <v>125529.8098</v>
          </cell>
          <cell r="AM9">
            <v>127383.51489999999</v>
          </cell>
          <cell r="AN9">
            <v>129249.4422</v>
          </cell>
          <cell r="AO9">
            <v>131127.1341</v>
          </cell>
          <cell r="AP9">
            <v>133016.52069999999</v>
          </cell>
          <cell r="AQ9">
            <v>134917.85560000001</v>
          </cell>
          <cell r="AR9">
            <v>136831.65100000001</v>
          </cell>
          <cell r="AS9">
            <v>138758.6127</v>
          </cell>
          <cell r="AT9">
            <v>140699.5808</v>
          </cell>
          <cell r="AU9">
            <v>142655.48139999999</v>
          </cell>
          <cell r="AV9">
            <v>144627.53719999999</v>
          </cell>
          <cell r="AW9">
            <v>146616.9485</v>
          </cell>
          <cell r="AX9">
            <v>148624.875</v>
          </cell>
          <cell r="AY9">
            <v>150652.4112</v>
          </cell>
          <cell r="AZ9">
            <v>152700.58199999999</v>
          </cell>
          <cell r="BA9">
            <v>163548.33609999999</v>
          </cell>
          <cell r="BB9">
            <v>166373.9596</v>
          </cell>
          <cell r="BC9">
            <v>169241.5043</v>
          </cell>
          <cell r="BD9">
            <v>172151.42559999999</v>
          </cell>
          <cell r="BE9">
            <v>175104.24179999999</v>
          </cell>
        </row>
        <row r="10">
          <cell r="B10">
            <v>400620.24579999998</v>
          </cell>
          <cell r="C10">
            <v>404166.08110000001</v>
          </cell>
          <cell r="D10">
            <v>407918.20039999997</v>
          </cell>
          <cell r="E10">
            <v>411959.53370000003</v>
          </cell>
          <cell r="F10">
            <v>416277.4572</v>
          </cell>
          <cell r="G10">
            <v>420829.0601</v>
          </cell>
          <cell r="H10">
            <v>425543.99930000002</v>
          </cell>
          <cell r="I10">
            <v>430374.61599999998</v>
          </cell>
          <cell r="J10">
            <v>435288.96779999998</v>
          </cell>
          <cell r="K10">
            <v>440265.3982</v>
          </cell>
          <cell r="L10">
            <v>445246.50199999998</v>
          </cell>
          <cell r="M10">
            <v>450304.97110000002</v>
          </cell>
          <cell r="N10">
            <v>455459.95770000003</v>
          </cell>
          <cell r="O10">
            <v>460710.70760000002</v>
          </cell>
          <cell r="P10">
            <v>466050.57439999998</v>
          </cell>
          <cell r="Q10">
            <v>471472.02830000001</v>
          </cell>
          <cell r="R10">
            <v>476964.31359999999</v>
          </cell>
          <cell r="S10">
            <v>482520.86580000003</v>
          </cell>
          <cell r="T10">
            <v>488137.79609999998</v>
          </cell>
          <cell r="U10">
            <v>493813.10979999998</v>
          </cell>
          <cell r="V10">
            <v>499517.6029</v>
          </cell>
          <cell r="W10">
            <v>505270.60499999998</v>
          </cell>
          <cell r="X10">
            <v>511081.9621</v>
          </cell>
          <cell r="Y10">
            <v>516957.30369999999</v>
          </cell>
          <cell r="Z10">
            <v>522900.77059999999</v>
          </cell>
          <cell r="AA10">
            <v>528834.43050000002</v>
          </cell>
          <cell r="AB10">
            <v>534778.41599999997</v>
          </cell>
          <cell r="AC10">
            <v>540746.47329999995</v>
          </cell>
          <cell r="AD10">
            <v>546748.66960000002</v>
          </cell>
          <cell r="AE10">
            <v>552793.40599999996</v>
          </cell>
          <cell r="AF10">
            <v>558888.05460000003</v>
          </cell>
          <cell r="AG10">
            <v>565040.36309999996</v>
          </cell>
          <cell r="AH10">
            <v>571256.47089999996</v>
          </cell>
          <cell r="AI10">
            <v>577541.39850000001</v>
          </cell>
          <cell r="AJ10">
            <v>583899.27919999999</v>
          </cell>
          <cell r="AK10">
            <v>590333.49109999998</v>
          </cell>
          <cell r="AL10">
            <v>596839.23230000003</v>
          </cell>
          <cell r="AM10">
            <v>603415.90689999994</v>
          </cell>
          <cell r="AN10">
            <v>610064.84180000005</v>
          </cell>
          <cell r="AO10">
            <v>616787.96939999994</v>
          </cell>
          <cell r="AP10">
            <v>623587.277</v>
          </cell>
          <cell r="AQ10">
            <v>630466.59259999997</v>
          </cell>
          <cell r="AR10">
            <v>637428.24780000001</v>
          </cell>
          <cell r="AS10">
            <v>644473.80810000002</v>
          </cell>
          <cell r="AT10">
            <v>651604.38500000001</v>
          </cell>
          <cell r="AU10">
            <v>658820.77339999995</v>
          </cell>
          <cell r="AV10">
            <v>666132.3933</v>
          </cell>
          <cell r="AW10">
            <v>673542.84259999997</v>
          </cell>
          <cell r="AX10">
            <v>681053.25100000005</v>
          </cell>
          <cell r="AY10">
            <v>688663.73320000002</v>
          </cell>
          <cell r="AZ10">
            <v>696373.99459999998</v>
          </cell>
          <cell r="BA10">
            <v>865119.21860000002</v>
          </cell>
          <cell r="BB10">
            <v>879781.67909999995</v>
          </cell>
          <cell r="BC10">
            <v>894729.21810000006</v>
          </cell>
          <cell r="BD10">
            <v>909966.19389999995</v>
          </cell>
          <cell r="BE10">
            <v>925496.88950000005</v>
          </cell>
        </row>
        <row r="11">
          <cell r="B11">
            <v>401602.75579999998</v>
          </cell>
          <cell r="C11">
            <v>406515.0441</v>
          </cell>
          <cell r="D11">
            <v>411794.9791</v>
          </cell>
          <cell r="E11">
            <v>417445.86099999998</v>
          </cell>
          <cell r="F11">
            <v>423425.56770000001</v>
          </cell>
          <cell r="G11">
            <v>429681.67170000001</v>
          </cell>
          <cell r="H11">
            <v>436143.5392</v>
          </cell>
          <cell r="I11">
            <v>442767.00530000002</v>
          </cell>
          <cell r="J11">
            <v>449525.23959999997</v>
          </cell>
          <cell r="K11">
            <v>456402.16700000002</v>
          </cell>
          <cell r="L11">
            <v>463431.2426</v>
          </cell>
          <cell r="M11">
            <v>470579.13689999998</v>
          </cell>
          <cell r="N11">
            <v>477830.08279999997</v>
          </cell>
          <cell r="O11">
            <v>485176.91460000002</v>
          </cell>
          <cell r="P11">
            <v>492616.38170000003</v>
          </cell>
          <cell r="Q11">
            <v>500147.28720000002</v>
          </cell>
          <cell r="R11">
            <v>507769.72110000002</v>
          </cell>
          <cell r="S11">
            <v>515484.70970000001</v>
          </cell>
          <cell r="T11">
            <v>523294.01899999997</v>
          </cell>
          <cell r="U11">
            <v>531200.01340000005</v>
          </cell>
          <cell r="V11">
            <v>539173.47990000003</v>
          </cell>
          <cell r="W11">
            <v>547238.31599999999</v>
          </cell>
          <cell r="X11">
            <v>555407.14619999996</v>
          </cell>
          <cell r="Y11">
            <v>563687.34869999997</v>
          </cell>
          <cell r="Z11">
            <v>572084.1692</v>
          </cell>
          <cell r="AA11">
            <v>580509.15020000003</v>
          </cell>
          <cell r="AB11">
            <v>588981.98389999999</v>
          </cell>
          <cell r="AC11">
            <v>597516.39210000006</v>
          </cell>
          <cell r="AD11">
            <v>606122.46160000004</v>
          </cell>
          <cell r="AE11">
            <v>614808.61979999999</v>
          </cell>
          <cell r="AF11">
            <v>623582.25100000005</v>
          </cell>
          <cell r="AG11">
            <v>632449.85869999998</v>
          </cell>
          <cell r="AH11">
            <v>641417.10959999997</v>
          </cell>
          <cell r="AI11">
            <v>650488.8689</v>
          </cell>
          <cell r="AJ11">
            <v>659669.25939999998</v>
          </cell>
          <cell r="AK11">
            <v>668961.74360000005</v>
          </cell>
          <cell r="AL11">
            <v>678346.68830000004</v>
          </cell>
          <cell r="AM11">
            <v>687818.35160000005</v>
          </cell>
          <cell r="AN11">
            <v>697376.92870000005</v>
          </cell>
          <cell r="AO11">
            <v>707024.87659999996</v>
          </cell>
          <cell r="AP11">
            <v>716765.44700000004</v>
          </cell>
          <cell r="AQ11">
            <v>726602.06940000004</v>
          </cell>
          <cell r="AR11">
            <v>736538.07720000006</v>
          </cell>
          <cell r="AS11">
            <v>746576.58429999999</v>
          </cell>
          <cell r="AT11">
            <v>756720.43729999999</v>
          </cell>
          <cell r="AU11">
            <v>766972.21</v>
          </cell>
          <cell r="AV11">
            <v>777336.2659</v>
          </cell>
          <cell r="AW11">
            <v>787815.44330000004</v>
          </cell>
          <cell r="AX11">
            <v>798411.83689999999</v>
          </cell>
          <cell r="AY11">
            <v>809127.18299999996</v>
          </cell>
          <cell r="AZ11">
            <v>819963.04429999995</v>
          </cell>
          <cell r="BA11">
            <v>872049.647</v>
          </cell>
          <cell r="BB11">
            <v>887091.75049999997</v>
          </cell>
          <cell r="BC11">
            <v>902425.33770000003</v>
          </cell>
          <cell r="BD11">
            <v>918054.73739999998</v>
          </cell>
          <cell r="BE11">
            <v>933984.26800000004</v>
          </cell>
        </row>
        <row r="13">
          <cell r="B13">
            <v>16084.663259999999</v>
          </cell>
          <cell r="C13">
            <v>16273.87587</v>
          </cell>
          <cell r="D13">
            <v>16468.53011</v>
          </cell>
          <cell r="E13">
            <v>16669.80271</v>
          </cell>
          <cell r="F13">
            <v>16878.614259999998</v>
          </cell>
          <cell r="G13">
            <v>17095.639520000001</v>
          </cell>
          <cell r="H13">
            <v>17320.807840000001</v>
          </cell>
          <cell r="I13">
            <v>17554.072520000002</v>
          </cell>
          <cell r="J13">
            <v>17795.431759999999</v>
          </cell>
          <cell r="K13">
            <v>18044.915389999998</v>
          </cell>
          <cell r="L13">
            <v>18303.555850000001</v>
          </cell>
          <cell r="M13">
            <v>18571.14789</v>
          </cell>
          <cell r="N13">
            <v>18847.537980000001</v>
          </cell>
          <cell r="O13">
            <v>19132.645629999999</v>
          </cell>
          <cell r="P13">
            <v>19426.434689999998</v>
          </cell>
          <cell r="Q13">
            <v>19728.897089999999</v>
          </cell>
          <cell r="R13">
            <v>20040.045839999999</v>
          </cell>
          <cell r="S13">
            <v>20359.911609999999</v>
          </cell>
          <cell r="T13">
            <v>20688.540069999999</v>
          </cell>
          <cell r="U13">
            <v>21025.988519999999</v>
          </cell>
          <cell r="V13">
            <v>21371.58195</v>
          </cell>
          <cell r="W13">
            <v>21725.585050000002</v>
          </cell>
          <cell r="X13">
            <v>22088.230599999999</v>
          </cell>
          <cell r="Y13">
            <v>22459.695739999999</v>
          </cell>
          <cell r="Z13">
            <v>22840.117569999999</v>
          </cell>
          <cell r="AA13">
            <v>23227.441719999999</v>
          </cell>
          <cell r="AB13">
            <v>23621.28184</v>
          </cell>
          <cell r="AC13">
            <v>24021.390579999999</v>
          </cell>
          <cell r="AD13">
            <v>24427.564590000002</v>
          </cell>
          <cell r="AE13">
            <v>24839.634679999999</v>
          </cell>
          <cell r="AF13">
            <v>25257.458190000001</v>
          </cell>
          <cell r="AG13">
            <v>25680.908630000002</v>
          </cell>
          <cell r="AH13">
            <v>26109.864710000002</v>
          </cell>
          <cell r="AI13">
            <v>26544.200970000002</v>
          </cell>
          <cell r="AJ13">
            <v>26983.78111</v>
          </cell>
          <cell r="AK13">
            <v>27428.454409999998</v>
          </cell>
          <cell r="AL13">
            <v>27877.521349999999</v>
          </cell>
          <cell r="AM13">
            <v>28330.400979999999</v>
          </cell>
          <cell r="AN13">
            <v>28786.615539999999</v>
          </cell>
          <cell r="AO13">
            <v>29245.760849999999</v>
          </cell>
          <cell r="AP13">
            <v>29707.48978</v>
          </cell>
          <cell r="AQ13">
            <v>30171.50287</v>
          </cell>
          <cell r="AR13">
            <v>30637.541929999999</v>
          </cell>
          <cell r="AS13">
            <v>31105.384829999999</v>
          </cell>
          <cell r="AT13">
            <v>31574.840990000001</v>
          </cell>
          <cell r="AU13">
            <v>32045.747770000002</v>
          </cell>
          <cell r="AV13">
            <v>32518.016930000002</v>
          </cell>
          <cell r="AW13">
            <v>32991.57202</v>
          </cell>
          <cell r="AX13">
            <v>33466.349580000002</v>
          </cell>
          <cell r="AY13">
            <v>33942.301769999998</v>
          </cell>
          <cell r="AZ13">
            <v>34419.398759999996</v>
          </cell>
          <cell r="BA13">
            <v>37576.006950000003</v>
          </cell>
          <cell r="BB13">
            <v>38316.169329999997</v>
          </cell>
          <cell r="BC13">
            <v>39067.006710000001</v>
          </cell>
          <cell r="BD13">
            <v>39828.25834</v>
          </cell>
          <cell r="BE13">
            <v>40599.664290000001</v>
          </cell>
        </row>
        <row r="14">
          <cell r="B14">
            <v>13375.22018</v>
          </cell>
          <cell r="C14">
            <v>13500.907160000001</v>
          </cell>
          <cell r="D14">
            <v>13624.695460000001</v>
          </cell>
          <cell r="E14">
            <v>13749.79082</v>
          </cell>
          <cell r="F14">
            <v>13878.156859999999</v>
          </cell>
          <cell r="G14">
            <v>14011.0772</v>
          </cell>
          <cell r="H14">
            <v>14148.778829999999</v>
          </cell>
          <cell r="I14">
            <v>14291.47091</v>
          </cell>
          <cell r="J14">
            <v>14439.30395</v>
          </cell>
          <cell r="K14">
            <v>14592.346649999999</v>
          </cell>
          <cell r="L14">
            <v>14749.922070000001</v>
          </cell>
          <cell r="M14">
            <v>14913.592329999999</v>
          </cell>
          <cell r="N14">
            <v>15083.851350000001</v>
          </cell>
          <cell r="O14">
            <v>15260.72104</v>
          </cell>
          <cell r="P14">
            <v>15444.04502</v>
          </cell>
          <cell r="Q14">
            <v>15633.60348</v>
          </cell>
          <cell r="R14">
            <v>15829.07394</v>
          </cell>
          <cell r="S14">
            <v>16030.18237</v>
          </cell>
          <cell r="T14">
            <v>16236.688330000001</v>
          </cell>
          <cell r="U14">
            <v>16448.378949999998</v>
          </cell>
          <cell r="V14">
            <v>16664.31741</v>
          </cell>
          <cell r="W14">
            <v>16884.67857</v>
          </cell>
          <cell r="X14">
            <v>17109.52651</v>
          </cell>
          <cell r="Y14">
            <v>17338.86436</v>
          </cell>
          <cell r="Z14">
            <v>17572.681479999999</v>
          </cell>
          <cell r="AA14">
            <v>17808.814910000001</v>
          </cell>
          <cell r="AB14">
            <v>18047.238710000001</v>
          </cell>
          <cell r="AC14">
            <v>18287.957699999999</v>
          </cell>
          <cell r="AD14">
            <v>18530.982039999999</v>
          </cell>
          <cell r="AE14">
            <v>18776.354380000001</v>
          </cell>
          <cell r="AF14">
            <v>19024.153829999999</v>
          </cell>
          <cell r="AG14">
            <v>19274.513599999998</v>
          </cell>
          <cell r="AH14">
            <v>19527.570009999999</v>
          </cell>
          <cell r="AI14">
            <v>19783.458620000001</v>
          </cell>
          <cell r="AJ14">
            <v>20042.3089</v>
          </cell>
          <cell r="AK14">
            <v>20304.239549999998</v>
          </cell>
          <cell r="AL14">
            <v>20569.085009999999</v>
          </cell>
          <cell r="AM14">
            <v>20836.75534</v>
          </cell>
          <cell r="AN14">
            <v>21107.215100000001</v>
          </cell>
          <cell r="AO14">
            <v>21380.45852</v>
          </cell>
          <cell r="AP14">
            <v>21656.49826</v>
          </cell>
          <cell r="AQ14">
            <v>21935.402399999999</v>
          </cell>
          <cell r="AR14">
            <v>22217.227070000001</v>
          </cell>
          <cell r="AS14">
            <v>22502.024290000001</v>
          </cell>
          <cell r="AT14">
            <v>22789.84375</v>
          </cell>
          <cell r="AU14">
            <v>23080.732029999999</v>
          </cell>
          <cell r="AV14">
            <v>23374.929029999999</v>
          </cell>
          <cell r="AW14">
            <v>23672.571479999999</v>
          </cell>
          <cell r="AX14">
            <v>23973.741099999999</v>
          </cell>
          <cell r="AY14">
            <v>24278.489420000002</v>
          </cell>
          <cell r="AZ14">
            <v>24586.84922</v>
          </cell>
          <cell r="BA14">
            <v>29198.073670000002</v>
          </cell>
          <cell r="BB14">
            <v>29714.874299999999</v>
          </cell>
          <cell r="BC14">
            <v>30240.77392</v>
          </cell>
          <cell r="BD14">
            <v>30775.876130000001</v>
          </cell>
          <cell r="BE14">
            <v>31320.287349999999</v>
          </cell>
        </row>
        <row r="15">
          <cell r="B15">
            <v>13396.22386</v>
          </cell>
          <cell r="C15">
            <v>13553.285980000001</v>
          </cell>
          <cell r="D15">
            <v>13713.94793</v>
          </cell>
          <cell r="E15">
            <v>13879.35446</v>
          </cell>
          <cell r="F15">
            <v>14050.50469</v>
          </cell>
          <cell r="G15">
            <v>14228.15992</v>
          </cell>
          <cell r="H15">
            <v>14412.228639999999</v>
          </cell>
          <cell r="I15">
            <v>14602.703799999999</v>
          </cell>
          <cell r="J15">
            <v>14799.59101</v>
          </cell>
          <cell r="K15">
            <v>15002.870650000001</v>
          </cell>
          <cell r="L15">
            <v>15213.585080000001</v>
          </cell>
          <cell r="M15">
            <v>15431.168449999999</v>
          </cell>
          <cell r="N15">
            <v>15655.242609999999</v>
          </cell>
          <cell r="O15">
            <v>15885.54573</v>
          </cell>
          <cell r="P15">
            <v>16121.867630000001</v>
          </cell>
          <cell r="Q15">
            <v>16364.02817</v>
          </cell>
          <cell r="R15">
            <v>16611.873449999999</v>
          </cell>
          <cell r="S15">
            <v>16865.276709999998</v>
          </cell>
          <cell r="T15">
            <v>17124.139190000002</v>
          </cell>
          <cell r="U15">
            <v>17388.389589999999</v>
          </cell>
          <cell r="V15">
            <v>17657.162520000002</v>
          </cell>
          <cell r="W15">
            <v>17930.800179999998</v>
          </cell>
          <cell r="X15">
            <v>18209.510989999999</v>
          </cell>
          <cell r="Y15">
            <v>18493.42526</v>
          </cell>
          <cell r="Z15">
            <v>18782.645130000001</v>
          </cell>
          <cell r="AA15">
            <v>19074.881430000001</v>
          </cell>
          <cell r="AB15">
            <v>19370.146540000002</v>
          </cell>
          <cell r="AC15">
            <v>19668.489290000001</v>
          </cell>
          <cell r="AD15">
            <v>19969.960749999998</v>
          </cell>
          <cell r="AE15">
            <v>20274.641370000001</v>
          </cell>
          <cell r="AF15">
            <v>20582.644980000001</v>
          </cell>
          <cell r="AG15">
            <v>20894.110410000001</v>
          </cell>
          <cell r="AH15">
            <v>21209.189699999999</v>
          </cell>
          <cell r="AI15">
            <v>21528.037270000001</v>
          </cell>
          <cell r="AJ15">
            <v>21850.801599999999</v>
          </cell>
          <cell r="AK15">
            <v>22177.619989999999</v>
          </cell>
          <cell r="AL15">
            <v>22508.0327</v>
          </cell>
          <cell r="AM15">
            <v>22841.81799</v>
          </cell>
          <cell r="AN15">
            <v>23178.8868</v>
          </cell>
          <cell r="AO15">
            <v>23519.218720000001</v>
          </cell>
          <cell r="AP15">
            <v>23862.835139999999</v>
          </cell>
          <cell r="AQ15">
            <v>24209.786599999999</v>
          </cell>
          <cell r="AR15">
            <v>24560.14471</v>
          </cell>
          <cell r="AS15">
            <v>24913.995459999998</v>
          </cell>
          <cell r="AT15">
            <v>25271.43345</v>
          </cell>
          <cell r="AU15">
            <v>25632.55731</v>
          </cell>
          <cell r="AV15">
            <v>25997.519820000001</v>
          </cell>
          <cell r="AW15">
            <v>26366.449809999998</v>
          </cell>
          <cell r="AX15">
            <v>26739.460569999999</v>
          </cell>
          <cell r="AY15">
            <v>27116.65352</v>
          </cell>
          <cell r="AZ15">
            <v>27498.1204</v>
          </cell>
          <cell r="BA15">
            <v>29417.580399999999</v>
          </cell>
          <cell r="BB15">
            <v>29946.401600000001</v>
          </cell>
          <cell r="BC15">
            <v>30484.51958</v>
          </cell>
          <cell r="BD15">
            <v>31032.038619999999</v>
          </cell>
          <cell r="BE15">
            <v>31589.068230000001</v>
          </cell>
        </row>
        <row r="16">
          <cell r="B16">
            <v>36327.174910000002</v>
          </cell>
          <cell r="C16">
            <v>36649.964220000002</v>
          </cell>
          <cell r="D16">
            <v>36970.34304</v>
          </cell>
          <cell r="E16">
            <v>37297.404730000002</v>
          </cell>
          <cell r="F16">
            <v>37635.752110000001</v>
          </cell>
          <cell r="G16">
            <v>37987.940020000002</v>
          </cell>
          <cell r="H16">
            <v>38353.450940000002</v>
          </cell>
          <cell r="I16">
            <v>38732.206299999998</v>
          </cell>
          <cell r="J16">
            <v>39124.147349999999</v>
          </cell>
          <cell r="K16">
            <v>39529.076849999998</v>
          </cell>
          <cell r="L16">
            <v>39943.738669999999</v>
          </cell>
          <cell r="M16">
            <v>40373.742879999998</v>
          </cell>
          <cell r="N16">
            <v>40820.622060000002</v>
          </cell>
          <cell r="O16">
            <v>41284.279710000003</v>
          </cell>
          <cell r="P16">
            <v>41764.082829999999</v>
          </cell>
          <cell r="Q16">
            <v>42259.254999999997</v>
          </cell>
          <cell r="R16">
            <v>42768.719140000001</v>
          </cell>
          <cell r="S16">
            <v>43291.633750000001</v>
          </cell>
          <cell r="T16">
            <v>43827.306660000002</v>
          </cell>
          <cell r="U16">
            <v>44375.160900000003</v>
          </cell>
          <cell r="V16">
            <v>44932.400240000003</v>
          </cell>
          <cell r="W16">
            <v>45499.998310000003</v>
          </cell>
          <cell r="X16">
            <v>46078.275829999999</v>
          </cell>
          <cell r="Y16">
            <v>46667.307280000001</v>
          </cell>
          <cell r="Z16">
            <v>47267.125870000003</v>
          </cell>
          <cell r="AA16">
            <v>47871.132369999999</v>
          </cell>
          <cell r="AB16">
            <v>48480.251060000002</v>
          </cell>
          <cell r="AC16">
            <v>49094.98734</v>
          </cell>
          <cell r="AD16">
            <v>49715.667800000003</v>
          </cell>
          <cell r="AE16">
            <v>50342.618130000003</v>
          </cell>
          <cell r="AF16">
            <v>50976.207280000002</v>
          </cell>
          <cell r="AG16">
            <v>51616.930890000003</v>
          </cell>
          <cell r="AH16">
            <v>52265.246050000002</v>
          </cell>
          <cell r="AI16">
            <v>52921.580679999999</v>
          </cell>
          <cell r="AJ16">
            <v>53586.328280000002</v>
          </cell>
          <cell r="AK16">
            <v>54259.840250000001</v>
          </cell>
          <cell r="AL16">
            <v>54941.689659999996</v>
          </cell>
          <cell r="AM16">
            <v>55631.776980000002</v>
          </cell>
          <cell r="AN16">
            <v>56330.141309999999</v>
          </cell>
          <cell r="AO16">
            <v>57036.865360000003</v>
          </cell>
          <cell r="AP16">
            <v>57752.043859999998</v>
          </cell>
          <cell r="AQ16">
            <v>58475.920769999997</v>
          </cell>
          <cell r="AR16">
            <v>59208.652399999999</v>
          </cell>
          <cell r="AS16">
            <v>59950.354420000003</v>
          </cell>
          <cell r="AT16">
            <v>60701.118710000002</v>
          </cell>
          <cell r="AU16">
            <v>61461.01756</v>
          </cell>
          <cell r="AV16">
            <v>62230.773950000003</v>
          </cell>
          <cell r="AW16">
            <v>63010.702530000002</v>
          </cell>
          <cell r="AX16">
            <v>63800.936609999997</v>
          </cell>
          <cell r="AY16">
            <v>64601.525249999999</v>
          </cell>
          <cell r="AZ16">
            <v>65412.471769999996</v>
          </cell>
          <cell r="BA16">
            <v>79197.54393</v>
          </cell>
          <cell r="BB16">
            <v>80609.460149999999</v>
          </cell>
          <cell r="BC16">
            <v>82047.784960000005</v>
          </cell>
          <cell r="BD16">
            <v>83512.867060000004</v>
          </cell>
          <cell r="BE16">
            <v>85005.057159999997</v>
          </cell>
        </row>
        <row r="17">
          <cell r="B17">
            <v>36402.301390000001</v>
          </cell>
          <cell r="C17">
            <v>36832.178140000004</v>
          </cell>
          <cell r="D17">
            <v>37274.425660000001</v>
          </cell>
          <cell r="E17">
            <v>37731.827429999998</v>
          </cell>
          <cell r="F17">
            <v>38206.483489999999</v>
          </cell>
          <cell r="G17">
            <v>38699.813439999998</v>
          </cell>
          <cell r="H17">
            <v>39210.710910000002</v>
          </cell>
          <cell r="I17">
            <v>39738.740210000004</v>
          </cell>
          <cell r="J17">
            <v>40283.639430000003</v>
          </cell>
          <cell r="K17">
            <v>40845.132539999999</v>
          </cell>
          <cell r="L17">
            <v>41426.32733</v>
          </cell>
          <cell r="M17">
            <v>42024.883320000001</v>
          </cell>
          <cell r="N17">
            <v>42639.547189999997</v>
          </cell>
          <cell r="O17">
            <v>43269.563970000003</v>
          </cell>
          <cell r="P17">
            <v>43914.381390000002</v>
          </cell>
          <cell r="Q17">
            <v>44573.558620000003</v>
          </cell>
          <cell r="R17">
            <v>45246.745049999998</v>
          </cell>
          <cell r="S17">
            <v>45933.677739999999</v>
          </cell>
          <cell r="T17">
            <v>46634.180659999998</v>
          </cell>
          <cell r="U17">
            <v>47348.160830000001</v>
          </cell>
          <cell r="V17">
            <v>48073.031439999999</v>
          </cell>
          <cell r="W17">
            <v>48810.322289999996</v>
          </cell>
          <cell r="X17">
            <v>49560.795899999997</v>
          </cell>
          <cell r="Y17">
            <v>50324.894379999998</v>
          </cell>
          <cell r="Z17">
            <v>51102.963369999998</v>
          </cell>
          <cell r="AA17">
            <v>51887.862829999998</v>
          </cell>
          <cell r="AB17">
            <v>52680.643360000002</v>
          </cell>
          <cell r="AC17">
            <v>53481.94195</v>
          </cell>
          <cell r="AD17">
            <v>54292.197509999998</v>
          </cell>
          <cell r="AE17">
            <v>55111.832170000001</v>
          </cell>
          <cell r="AF17">
            <v>55941.298159999998</v>
          </cell>
          <cell r="AG17">
            <v>56781.072930000002</v>
          </cell>
          <cell r="AH17">
            <v>57631.639069999997</v>
          </cell>
          <cell r="AI17">
            <v>58493.463629999998</v>
          </cell>
          <cell r="AJ17">
            <v>59366.982069999998</v>
          </cell>
          <cell r="AK17">
            <v>60252.588179999999</v>
          </cell>
          <cell r="AL17">
            <v>61148.803240000001</v>
          </cell>
          <cell r="AM17">
            <v>62055.129309999997</v>
          </cell>
          <cell r="AN17">
            <v>62971.479789999998</v>
          </cell>
          <cell r="AO17">
            <v>63897.928919999998</v>
          </cell>
          <cell r="AP17">
            <v>64834.624739999999</v>
          </cell>
          <cell r="AQ17">
            <v>65781.75675</v>
          </cell>
          <cell r="AR17">
            <v>66739.539850000001</v>
          </cell>
          <cell r="AS17">
            <v>67708.202999999994</v>
          </cell>
          <cell r="AT17">
            <v>68687.979800000001</v>
          </cell>
          <cell r="AU17">
            <v>69679.101169999994</v>
          </cell>
          <cell r="AV17">
            <v>70681.957620000001</v>
          </cell>
          <cell r="AW17">
            <v>71696.835909999994</v>
          </cell>
          <cell r="AX17">
            <v>72723.970199999996</v>
          </cell>
          <cell r="AY17">
            <v>73763.562539999999</v>
          </cell>
          <cell r="AZ17">
            <v>74815.791989999998</v>
          </cell>
          <cell r="BA17">
            <v>79869.831170000005</v>
          </cell>
          <cell r="BB17">
            <v>81320.486560000005</v>
          </cell>
          <cell r="BC17">
            <v>82798.377609999996</v>
          </cell>
          <cell r="BD17">
            <v>84303.857399999994</v>
          </cell>
          <cell r="BE17">
            <v>85837.286909999995</v>
          </cell>
        </row>
        <row r="18">
          <cell r="B18">
            <v>13336.95665</v>
          </cell>
          <cell r="C18">
            <v>13458.77673</v>
          </cell>
          <cell r="D18">
            <v>13580.025229999999</v>
          </cell>
          <cell r="E18">
            <v>13703.960580000001</v>
          </cell>
          <cell r="F18">
            <v>13832.155210000001</v>
          </cell>
          <cell r="G18">
            <v>13965.41922</v>
          </cell>
          <cell r="H18">
            <v>14103.53644</v>
          </cell>
          <cell r="I18">
            <v>14246.40769</v>
          </cell>
          <cell r="J18">
            <v>14393.967689999999</v>
          </cell>
          <cell r="K18">
            <v>14546.13049</v>
          </cell>
          <cell r="L18">
            <v>14701.81054</v>
          </cell>
          <cell r="M18">
            <v>14862.870580000001</v>
          </cell>
          <cell r="N18">
            <v>15029.88017</v>
          </cell>
          <cell r="O18">
            <v>15202.835209999999</v>
          </cell>
          <cell r="P18">
            <v>15381.533299999999</v>
          </cell>
          <cell r="Q18">
            <v>15565.719220000001</v>
          </cell>
          <cell r="R18">
            <v>15755.038329999999</v>
          </cell>
          <cell r="S18">
            <v>15949.216619999999</v>
          </cell>
          <cell r="T18">
            <v>16148.03656</v>
          </cell>
          <cell r="U18">
            <v>16351.32444</v>
          </cell>
          <cell r="V18">
            <v>16558.178309999999</v>
          </cell>
          <cell r="W18">
            <v>16768.88751</v>
          </cell>
          <cell r="X18">
            <v>16983.59218</v>
          </cell>
          <cell r="Y18">
            <v>17202.359509999998</v>
          </cell>
          <cell r="Z18">
            <v>17425.24163</v>
          </cell>
          <cell r="AA18">
            <v>17650.099679999999</v>
          </cell>
          <cell r="AB18">
            <v>17877.114219999999</v>
          </cell>
          <cell r="AC18">
            <v>18106.432359999999</v>
          </cell>
          <cell r="AD18">
            <v>18338.165690000002</v>
          </cell>
          <cell r="AE18">
            <v>18572.431260000001</v>
          </cell>
          <cell r="AF18">
            <v>18809.362499999999</v>
          </cell>
          <cell r="AG18">
            <v>19049.136170000002</v>
          </cell>
          <cell r="AH18">
            <v>19291.916140000001</v>
          </cell>
          <cell r="AI18">
            <v>19537.853889999999</v>
          </cell>
          <cell r="AJ18">
            <v>19787.08596</v>
          </cell>
          <cell r="AK18">
            <v>20039.730739999999</v>
          </cell>
          <cell r="AL18">
            <v>20295.652740000001</v>
          </cell>
          <cell r="AM18">
            <v>20554.786120000001</v>
          </cell>
          <cell r="AN18">
            <v>20817.104340000002</v>
          </cell>
          <cell r="AO18">
            <v>21082.59605</v>
          </cell>
          <cell r="AP18">
            <v>21351.25562</v>
          </cell>
          <cell r="AQ18">
            <v>21623.129970000002</v>
          </cell>
          <cell r="AR18">
            <v>21898.239710000002</v>
          </cell>
          <cell r="AS18">
            <v>22176.592509999999</v>
          </cell>
          <cell r="AT18">
            <v>22458.188709999999</v>
          </cell>
          <cell r="AU18">
            <v>22743.022830000002</v>
          </cell>
          <cell r="AV18">
            <v>23031.310150000001</v>
          </cell>
          <cell r="AW18">
            <v>23323.138729999999</v>
          </cell>
          <cell r="AX18">
            <v>23618.533309999999</v>
          </cell>
          <cell r="AY18">
            <v>23917.488430000001</v>
          </cell>
          <cell r="AZ18">
            <v>24219.98302</v>
          </cell>
          <cell r="BA18">
            <v>29288.266189999998</v>
          </cell>
          <cell r="BB18">
            <v>29817.964530000001</v>
          </cell>
          <cell r="BC18">
            <v>30357.277910000001</v>
          </cell>
          <cell r="BD18">
            <v>30906.279409999999</v>
          </cell>
          <cell r="BE18">
            <v>31465.041249999998</v>
          </cell>
        </row>
        <row r="19">
          <cell r="B19">
            <v>13361.617630000001</v>
          </cell>
          <cell r="C19">
            <v>13519.35399</v>
          </cell>
          <cell r="D19">
            <v>13681.851699999999</v>
          </cell>
          <cell r="E19">
            <v>13850.09756</v>
          </cell>
          <cell r="F19">
            <v>14024.76684</v>
          </cell>
          <cell r="G19">
            <v>14206.28357</v>
          </cell>
          <cell r="H19">
            <v>14394.248659999999</v>
          </cell>
          <cell r="I19">
            <v>14588.45876</v>
          </cell>
          <cell r="J19">
            <v>14788.792649999999</v>
          </cell>
          <cell r="K19">
            <v>14995.148090000001</v>
          </cell>
          <cell r="L19">
            <v>15208.552079999999</v>
          </cell>
          <cell r="M19">
            <v>15428.325500000001</v>
          </cell>
          <cell r="N19">
            <v>15654.05975</v>
          </cell>
          <cell r="O19">
            <v>15885.502619999999</v>
          </cell>
          <cell r="P19">
            <v>16122.473190000001</v>
          </cell>
          <cell r="Q19">
            <v>16364.8315</v>
          </cell>
          <cell r="R19">
            <v>16612.470730000001</v>
          </cell>
          <cell r="S19">
            <v>16865.315770000001</v>
          </cell>
          <cell r="T19">
            <v>17123.32273</v>
          </cell>
          <cell r="U19">
            <v>17386.47726</v>
          </cell>
          <cell r="V19">
            <v>17653.94541</v>
          </cell>
          <cell r="W19">
            <v>17926.188699999999</v>
          </cell>
          <cell r="X19">
            <v>18203.48444</v>
          </cell>
          <cell r="Y19">
            <v>18486.010890000001</v>
          </cell>
          <cell r="Z19">
            <v>18773.91041</v>
          </cell>
          <cell r="AA19">
            <v>19064.855319999999</v>
          </cell>
          <cell r="AB19">
            <v>19359.032480000002</v>
          </cell>
          <cell r="AC19">
            <v>19656.60211</v>
          </cell>
          <cell r="AD19">
            <v>19957.683730000001</v>
          </cell>
          <cell r="AE19">
            <v>20262.397079999999</v>
          </cell>
          <cell r="AF19">
            <v>20570.873879999999</v>
          </cell>
          <cell r="AG19">
            <v>20883.254819999998</v>
          </cell>
          <cell r="AH19">
            <v>21199.68173</v>
          </cell>
          <cell r="AI19">
            <v>21520.2896</v>
          </cell>
          <cell r="AJ19">
            <v>21845.200440000001</v>
          </cell>
          <cell r="AK19">
            <v>22174.519420000001</v>
          </cell>
          <cell r="AL19">
            <v>22507.73128</v>
          </cell>
          <cell r="AM19">
            <v>22844.59707</v>
          </cell>
          <cell r="AN19">
            <v>23185.015210000001</v>
          </cell>
          <cell r="AO19">
            <v>23528.94471</v>
          </cell>
          <cell r="AP19">
            <v>23876.37542</v>
          </cell>
          <cell r="AQ19">
            <v>24227.316200000001</v>
          </cell>
          <cell r="AR19">
            <v>24581.7889</v>
          </cell>
          <cell r="AS19">
            <v>24939.824140000001</v>
          </cell>
          <cell r="AT19">
            <v>25301.457829999999</v>
          </cell>
          <cell r="AU19">
            <v>25666.728449999999</v>
          </cell>
          <cell r="AV19">
            <v>26035.73027</v>
          </cell>
          <cell r="AW19">
            <v>26408.530050000001</v>
          </cell>
          <cell r="AX19">
            <v>26785.17957</v>
          </cell>
          <cell r="AY19">
            <v>27165.722539999999</v>
          </cell>
          <cell r="AZ19">
            <v>27550.198260000001</v>
          </cell>
          <cell r="BA19">
            <v>29526.82949</v>
          </cell>
          <cell r="BB19">
            <v>30069.428540000001</v>
          </cell>
          <cell r="BC19">
            <v>30621.811959999999</v>
          </cell>
          <cell r="BD19">
            <v>31184.047979999999</v>
          </cell>
          <cell r="BE19">
            <v>31756.206590000002</v>
          </cell>
        </row>
        <row r="20">
          <cell r="B20">
            <v>66417.207370000004</v>
          </cell>
          <cell r="C20">
            <v>67020.252980000005</v>
          </cell>
          <cell r="D20">
            <v>67618.589819999994</v>
          </cell>
          <cell r="E20">
            <v>68229.514070000005</v>
          </cell>
          <cell r="F20">
            <v>68861.267999999996</v>
          </cell>
          <cell r="G20">
            <v>69517.857669999998</v>
          </cell>
          <cell r="H20">
            <v>70198.025160000005</v>
          </cell>
          <cell r="I20">
            <v>70900.967180000007</v>
          </cell>
          <cell r="J20">
            <v>71626.075679999994</v>
          </cell>
          <cell r="K20">
            <v>72372.714999999997</v>
          </cell>
          <cell r="L20">
            <v>73135.268500000006</v>
          </cell>
          <cell r="M20">
            <v>73922.863559999998</v>
          </cell>
          <cell r="N20">
            <v>74738.572759999995</v>
          </cell>
          <cell r="O20">
            <v>75582.58958</v>
          </cell>
          <cell r="P20">
            <v>76454.076050000003</v>
          </cell>
          <cell r="Q20">
            <v>77351.91949</v>
          </cell>
          <cell r="R20">
            <v>78274.52046</v>
          </cell>
          <cell r="S20">
            <v>79220.694300000003</v>
          </cell>
          <cell r="T20">
            <v>80189.564509999997</v>
          </cell>
          <cell r="U20">
            <v>81180.49411</v>
          </cell>
          <cell r="V20">
            <v>82189.331810000003</v>
          </cell>
          <cell r="W20">
            <v>83217.69296</v>
          </cell>
          <cell r="X20">
            <v>84266.50907</v>
          </cell>
          <cell r="Y20">
            <v>85336.330839999995</v>
          </cell>
          <cell r="Z20">
            <v>86427.608189999999</v>
          </cell>
          <cell r="AA20">
            <v>87530.153619999997</v>
          </cell>
          <cell r="AB20">
            <v>88644.953559999994</v>
          </cell>
          <cell r="AC20">
            <v>89772.902960000007</v>
          </cell>
          <cell r="AD20">
            <v>90914.673299999995</v>
          </cell>
          <cell r="AE20">
            <v>92070.897079999995</v>
          </cell>
          <cell r="AF20">
            <v>93242.229219999994</v>
          </cell>
          <cell r="AG20">
            <v>94429.493839999996</v>
          </cell>
          <cell r="AH20">
            <v>95633.419129999995</v>
          </cell>
          <cell r="AI20">
            <v>96854.645520000005</v>
          </cell>
          <cell r="AJ20">
            <v>98093.719519999999</v>
          </cell>
          <cell r="AK20">
            <v>99351.083240000007</v>
          </cell>
          <cell r="AL20">
            <v>100625.9822</v>
          </cell>
          <cell r="AM20">
            <v>101917.9811</v>
          </cell>
          <cell r="AN20">
            <v>103226.82</v>
          </cell>
          <cell r="AO20">
            <v>104552.2914</v>
          </cell>
          <cell r="AP20">
            <v>105894.1908</v>
          </cell>
          <cell r="AQ20">
            <v>107252.55130000001</v>
          </cell>
          <cell r="AR20">
            <v>108627.262</v>
          </cell>
          <cell r="AS20">
            <v>110018.13430000001</v>
          </cell>
          <cell r="AT20">
            <v>111424.9365</v>
          </cell>
          <cell r="AU20">
            <v>112847.4077</v>
          </cell>
          <cell r="AV20">
            <v>114286.3872</v>
          </cell>
          <cell r="AW20">
            <v>115742.113</v>
          </cell>
          <cell r="AX20">
            <v>117214.5141</v>
          </cell>
          <cell r="AY20">
            <v>118703.37579999999</v>
          </cell>
          <cell r="AZ20">
            <v>120208.4145</v>
          </cell>
          <cell r="BA20">
            <v>147963.2444</v>
          </cell>
          <cell r="BB20">
            <v>150724.8345</v>
          </cell>
          <cell r="BC20">
            <v>153535.99280000001</v>
          </cell>
          <cell r="BD20">
            <v>156396.79120000001</v>
          </cell>
          <cell r="BE20">
            <v>159307.28649999999</v>
          </cell>
        </row>
        <row r="21">
          <cell r="B21">
            <v>66540.278550000003</v>
          </cell>
          <cell r="C21">
            <v>67325.135370000004</v>
          </cell>
          <cell r="D21">
            <v>68133.770340000003</v>
          </cell>
          <cell r="E21">
            <v>68971.425919999994</v>
          </cell>
          <cell r="F21">
            <v>69841.506779999996</v>
          </cell>
          <cell r="G21">
            <v>70746.032319999998</v>
          </cell>
          <cell r="H21">
            <v>71682.969200000007</v>
          </cell>
          <cell r="I21">
            <v>72651.239889999997</v>
          </cell>
          <cell r="J21">
            <v>73650.235050000003</v>
          </cell>
          <cell r="K21">
            <v>74679.500830000004</v>
          </cell>
          <cell r="L21">
            <v>75744.138479999994</v>
          </cell>
          <cell r="M21">
            <v>76841.003020000004</v>
          </cell>
          <cell r="N21">
            <v>77968.228319999995</v>
          </cell>
          <cell r="O21">
            <v>79124.756219999996</v>
          </cell>
          <cell r="P21">
            <v>80309.909350000002</v>
          </cell>
          <cell r="Q21">
            <v>81523.222869999998</v>
          </cell>
          <cell r="R21">
            <v>82764.390419999996</v>
          </cell>
          <cell r="S21">
            <v>84033.248720000003</v>
          </cell>
          <cell r="T21">
            <v>85329.769979999997</v>
          </cell>
          <cell r="U21">
            <v>86654.051869999996</v>
          </cell>
          <cell r="V21">
            <v>88002.172739999995</v>
          </cell>
          <cell r="W21">
            <v>89376.484039999996</v>
          </cell>
          <cell r="X21">
            <v>90778.468760000003</v>
          </cell>
          <cell r="Y21">
            <v>92209.086020000002</v>
          </cell>
          <cell r="Z21">
            <v>93669.082920000001</v>
          </cell>
          <cell r="AA21">
            <v>95147.113899999997</v>
          </cell>
          <cell r="AB21">
            <v>96644.005780000007</v>
          </cell>
          <cell r="AC21">
            <v>98160.543449999997</v>
          </cell>
          <cell r="AD21">
            <v>99697.267319999999</v>
          </cell>
          <cell r="AE21">
            <v>101254.6563</v>
          </cell>
          <cell r="AF21">
            <v>102833.19379999999</v>
          </cell>
          <cell r="AG21">
            <v>104433.3664</v>
          </cell>
          <cell r="AH21">
            <v>106055.637</v>
          </cell>
          <cell r="AI21">
            <v>107700.4151</v>
          </cell>
          <cell r="AJ21">
            <v>109368.03350000001</v>
          </cell>
          <cell r="AK21">
            <v>111058.7332</v>
          </cell>
          <cell r="AL21">
            <v>112769.71189999999</v>
          </cell>
          <cell r="AM21">
            <v>114499.4917</v>
          </cell>
          <cell r="AN21">
            <v>116247.2795</v>
          </cell>
          <cell r="AO21">
            <v>118012.5808</v>
          </cell>
          <cell r="AP21">
            <v>119795.0451</v>
          </cell>
          <cell r="AQ21">
            <v>121594.4062</v>
          </cell>
          <cell r="AR21">
            <v>123410.45630000001</v>
          </cell>
          <cell r="AS21">
            <v>125243.0301</v>
          </cell>
          <cell r="AT21">
            <v>127091.9938</v>
          </cell>
          <cell r="AU21">
            <v>128957.2363</v>
          </cell>
          <cell r="AV21">
            <v>130838.9339</v>
          </cell>
          <cell r="AW21">
            <v>132737.14809999999</v>
          </cell>
          <cell r="AX21">
            <v>134651.886</v>
          </cell>
          <cell r="AY21">
            <v>136583.1385</v>
          </cell>
          <cell r="AZ21">
            <v>138530.9</v>
          </cell>
          <cell r="BA21">
            <v>149206.48629999999</v>
          </cell>
          <cell r="BB21">
            <v>152032.96799999999</v>
          </cell>
          <cell r="BC21">
            <v>154909.40760000001</v>
          </cell>
          <cell r="BD21">
            <v>157835.80369999999</v>
          </cell>
          <cell r="BE21">
            <v>160812.15539999999</v>
          </cell>
        </row>
        <row r="22">
          <cell r="B22">
            <v>128844.7534</v>
          </cell>
          <cell r="C22">
            <v>129937.9195</v>
          </cell>
          <cell r="D22">
            <v>131048.985</v>
          </cell>
          <cell r="E22">
            <v>132209.15549999999</v>
          </cell>
          <cell r="F22">
            <v>133428.5111</v>
          </cell>
          <cell r="G22">
            <v>134708.93830000001</v>
          </cell>
          <cell r="H22">
            <v>136041.39060000001</v>
          </cell>
          <cell r="I22">
            <v>137420.3051</v>
          </cell>
          <cell r="J22">
            <v>138841.45370000001</v>
          </cell>
          <cell r="K22">
            <v>140301.09169999999</v>
          </cell>
          <cell r="L22">
            <v>141781.01389999999</v>
          </cell>
          <cell r="M22">
            <v>143305.81719999999</v>
          </cell>
          <cell r="N22">
            <v>144881.41089999999</v>
          </cell>
          <cell r="O22">
            <v>146506.84479999999</v>
          </cell>
          <cell r="P22">
            <v>148179.18530000001</v>
          </cell>
          <cell r="Q22">
            <v>149895.2115</v>
          </cell>
          <cell r="R22">
            <v>151650.6403</v>
          </cell>
          <cell r="S22">
            <v>153442.55069999999</v>
          </cell>
          <cell r="T22">
            <v>155268.8634</v>
          </cell>
          <cell r="U22">
            <v>157128.10649999999</v>
          </cell>
          <cell r="V22">
            <v>159010.5465</v>
          </cell>
          <cell r="W22">
            <v>160921.41200000001</v>
          </cell>
          <cell r="X22">
            <v>162862.79029999999</v>
          </cell>
          <cell r="Y22">
            <v>164835.6789</v>
          </cell>
          <cell r="Z22">
            <v>166840.86499999999</v>
          </cell>
          <cell r="AA22">
            <v>168854.19</v>
          </cell>
          <cell r="AB22">
            <v>170881.84239999999</v>
          </cell>
          <cell r="AC22">
            <v>172927.23560000001</v>
          </cell>
          <cell r="AD22">
            <v>174992.61110000001</v>
          </cell>
          <cell r="AE22">
            <v>177079.88329999999</v>
          </cell>
          <cell r="AF22">
            <v>179190.8806</v>
          </cell>
          <cell r="AG22">
            <v>181327.7831</v>
          </cell>
          <cell r="AH22">
            <v>183492.424</v>
          </cell>
          <cell r="AI22">
            <v>185686.4063</v>
          </cell>
          <cell r="AJ22">
            <v>187911.12659999999</v>
          </cell>
          <cell r="AK22">
            <v>190167.7721</v>
          </cell>
          <cell r="AL22">
            <v>192455.2329</v>
          </cell>
          <cell r="AM22">
            <v>194773.49669999999</v>
          </cell>
          <cell r="AN22">
            <v>197122.8934</v>
          </cell>
          <cell r="AO22">
            <v>199503.77830000001</v>
          </cell>
          <cell r="AP22">
            <v>201916.4388</v>
          </cell>
          <cell r="AQ22">
            <v>204361.73680000001</v>
          </cell>
          <cell r="AR22">
            <v>206840.0356</v>
          </cell>
          <cell r="AS22">
            <v>209351.46710000001</v>
          </cell>
          <cell r="AT22">
            <v>211896.03589999999</v>
          </cell>
          <cell r="AU22">
            <v>214473.6575</v>
          </cell>
          <cell r="AV22">
            <v>217087.073</v>
          </cell>
          <cell r="AW22">
            <v>219737.11429999999</v>
          </cell>
          <cell r="AX22">
            <v>222423.851</v>
          </cell>
          <cell r="AY22">
            <v>225147.0478</v>
          </cell>
          <cell r="AZ22">
            <v>227906.3346</v>
          </cell>
          <cell r="BA22">
            <v>285631.02980000002</v>
          </cell>
          <cell r="BB22">
            <v>290823.48839999997</v>
          </cell>
          <cell r="BC22">
            <v>296116.929</v>
          </cell>
          <cell r="BD22">
            <v>301512.54700000002</v>
          </cell>
          <cell r="BE22">
            <v>307011.51209999999</v>
          </cell>
        </row>
        <row r="23">
          <cell r="B23">
            <v>129174.9146</v>
          </cell>
          <cell r="C23">
            <v>130725.43459999999</v>
          </cell>
          <cell r="D23">
            <v>132346.70819999999</v>
          </cell>
          <cell r="E23">
            <v>134044.92300000001</v>
          </cell>
          <cell r="F23">
            <v>135821.91219999999</v>
          </cell>
          <cell r="G23">
            <v>137677.1703</v>
          </cell>
          <cell r="H23">
            <v>139601.38200000001</v>
          </cell>
          <cell r="I23">
            <v>141589.34220000001</v>
          </cell>
          <cell r="J23">
            <v>143637.4437</v>
          </cell>
          <cell r="K23">
            <v>145742.7273</v>
          </cell>
          <cell r="L23">
            <v>147915.79250000001</v>
          </cell>
          <cell r="M23">
            <v>150145.7873</v>
          </cell>
          <cell r="N23">
            <v>152427.37839999999</v>
          </cell>
          <cell r="O23">
            <v>154757.6488</v>
          </cell>
          <cell r="P23">
            <v>157134.72649999999</v>
          </cell>
          <cell r="Q23">
            <v>159557.32930000001</v>
          </cell>
          <cell r="R23">
            <v>162024.61569999999</v>
          </cell>
          <cell r="S23">
            <v>164536.12899999999</v>
          </cell>
          <cell r="T23">
            <v>167091.76319999999</v>
          </cell>
          <cell r="U23">
            <v>169691.7279</v>
          </cell>
          <cell r="V23">
            <v>172326.63430000001</v>
          </cell>
          <cell r="W23">
            <v>175003.61670000001</v>
          </cell>
          <cell r="X23">
            <v>177726.08439999999</v>
          </cell>
          <cell r="Y23">
            <v>180496.01519999999</v>
          </cell>
          <cell r="Z23">
            <v>183314.94649999999</v>
          </cell>
          <cell r="AA23">
            <v>186155.62150000001</v>
          </cell>
          <cell r="AB23">
            <v>189024.3743</v>
          </cell>
          <cell r="AC23">
            <v>191924.79440000001</v>
          </cell>
          <cell r="AD23">
            <v>194859.2341</v>
          </cell>
          <cell r="AE23">
            <v>197829.66769999999</v>
          </cell>
          <cell r="AF23">
            <v>200837.9455</v>
          </cell>
          <cell r="AG23">
            <v>203885.83749999999</v>
          </cell>
          <cell r="AH23">
            <v>206975.00889999999</v>
          </cell>
          <cell r="AI23">
            <v>210106.98310000001</v>
          </cell>
          <cell r="AJ23">
            <v>213283.11139999999</v>
          </cell>
          <cell r="AK23">
            <v>216504.55669999999</v>
          </cell>
          <cell r="AL23">
            <v>219765.2659</v>
          </cell>
          <cell r="AM23">
            <v>223063.47469999999</v>
          </cell>
          <cell r="AN23">
            <v>226399.0048</v>
          </cell>
          <cell r="AO23">
            <v>229772.1924</v>
          </cell>
          <cell r="AP23">
            <v>233183.53599999999</v>
          </cell>
          <cell r="AQ23">
            <v>236633.58110000001</v>
          </cell>
          <cell r="AR23">
            <v>240122.88039999999</v>
          </cell>
          <cell r="AS23">
            <v>243651.9736</v>
          </cell>
          <cell r="AT23">
            <v>247221.375</v>
          </cell>
          <cell r="AU23">
            <v>250831.5644</v>
          </cell>
          <cell r="AV23">
            <v>254483.62530000001</v>
          </cell>
          <cell r="AW23">
            <v>258178.1923</v>
          </cell>
          <cell r="AX23">
            <v>261915.7035</v>
          </cell>
          <cell r="AY23">
            <v>265696.50719999999</v>
          </cell>
          <cell r="AZ23">
            <v>269520.90519999998</v>
          </cell>
          <cell r="BA23">
            <v>288049.45819999999</v>
          </cell>
          <cell r="BB23">
            <v>293378.7573</v>
          </cell>
          <cell r="BC23">
            <v>298811.56770000001</v>
          </cell>
          <cell r="BD23">
            <v>304349.05959999998</v>
          </cell>
          <cell r="BE23">
            <v>309992.39840000001</v>
          </cell>
        </row>
        <row r="24">
          <cell r="B24">
            <v>144702.8064</v>
          </cell>
          <cell r="C24">
            <v>146102.2297</v>
          </cell>
          <cell r="D24">
            <v>147478.2959</v>
          </cell>
          <cell r="E24">
            <v>148864.6084</v>
          </cell>
          <cell r="F24">
            <v>150281.38639999999</v>
          </cell>
          <cell r="G24">
            <v>151741.1495</v>
          </cell>
          <cell r="H24">
            <v>153245.84640000001</v>
          </cell>
          <cell r="I24">
            <v>154797.0773</v>
          </cell>
          <cell r="J24">
            <v>156396.32490000001</v>
          </cell>
          <cell r="K24">
            <v>158044.79079999999</v>
          </cell>
          <cell r="L24">
            <v>159738.04879999999</v>
          </cell>
          <cell r="M24">
            <v>161490.86919999999</v>
          </cell>
          <cell r="N24">
            <v>163309.40650000001</v>
          </cell>
          <cell r="O24">
            <v>165195.47579999999</v>
          </cell>
          <cell r="P24">
            <v>167149.09</v>
          </cell>
          <cell r="Q24">
            <v>169169.56839999999</v>
          </cell>
          <cell r="R24">
            <v>171255.2493</v>
          </cell>
          <cell r="S24">
            <v>173404.79430000001</v>
          </cell>
          <cell r="T24">
            <v>175617.10680000001</v>
          </cell>
          <cell r="U24">
            <v>177891.26819999999</v>
          </cell>
          <cell r="V24">
            <v>180219.16149999999</v>
          </cell>
          <cell r="W24">
            <v>182602.8817</v>
          </cell>
          <cell r="X24">
            <v>185043.8216</v>
          </cell>
          <cell r="Y24">
            <v>187542.7285</v>
          </cell>
          <cell r="Z24">
            <v>190100.05619999999</v>
          </cell>
          <cell r="AA24">
            <v>192694.9834</v>
          </cell>
          <cell r="AB24">
            <v>195325.89739999999</v>
          </cell>
          <cell r="AC24">
            <v>197992.18789999999</v>
          </cell>
          <cell r="AD24">
            <v>200693.44680000001</v>
          </cell>
          <cell r="AE24">
            <v>203429.5528</v>
          </cell>
          <cell r="AF24">
            <v>206200.67819999999</v>
          </cell>
          <cell r="AG24">
            <v>209007.44680000001</v>
          </cell>
          <cell r="AH24">
            <v>211850.50140000001</v>
          </cell>
          <cell r="AI24">
            <v>214730.45370000001</v>
          </cell>
          <cell r="AJ24">
            <v>217647.8389</v>
          </cell>
          <cell r="AK24">
            <v>220603.08069999999</v>
          </cell>
          <cell r="AL24">
            <v>223593.576</v>
          </cell>
          <cell r="AM24">
            <v>226617.3867</v>
          </cell>
          <cell r="AN24">
            <v>229673.15650000001</v>
          </cell>
          <cell r="AO24">
            <v>232759.8861</v>
          </cell>
          <cell r="AP24">
            <v>235876.82449999999</v>
          </cell>
          <cell r="AQ24">
            <v>239023.79860000001</v>
          </cell>
          <cell r="AR24">
            <v>242200.63860000001</v>
          </cell>
          <cell r="AS24">
            <v>245407.2133</v>
          </cell>
          <cell r="AT24">
            <v>248643.4369</v>
          </cell>
          <cell r="AU24">
            <v>251909.2585</v>
          </cell>
          <cell r="AV24">
            <v>255206.46179999999</v>
          </cell>
          <cell r="AW24">
            <v>258536.07870000001</v>
          </cell>
          <cell r="AX24">
            <v>261898.67819999999</v>
          </cell>
          <cell r="AY24">
            <v>265294.56640000001</v>
          </cell>
          <cell r="AZ24">
            <v>268723.89990000002</v>
          </cell>
          <cell r="BA24">
            <v>321001.99890000001</v>
          </cell>
          <cell r="BB24">
            <v>326859.30650000001</v>
          </cell>
          <cell r="BC24">
            <v>332813.91570000001</v>
          </cell>
          <cell r="BD24">
            <v>338866.0429</v>
          </cell>
          <cell r="BE24">
            <v>345015.929</v>
          </cell>
        </row>
        <row r="25">
          <cell r="B25">
            <v>144892.19870000001</v>
          </cell>
          <cell r="C25">
            <v>146585.408</v>
          </cell>
          <cell r="D25">
            <v>148314.58309999999</v>
          </cell>
          <cell r="E25">
            <v>150092.6685</v>
          </cell>
          <cell r="F25">
            <v>151930.21960000001</v>
          </cell>
          <cell r="G25">
            <v>153834.99050000001</v>
          </cell>
          <cell r="H25">
            <v>155806.44320000001</v>
          </cell>
          <cell r="I25">
            <v>157844.7034</v>
          </cell>
          <cell r="J25">
            <v>159950.33360000001</v>
          </cell>
          <cell r="K25">
            <v>162123.9785</v>
          </cell>
          <cell r="L25">
            <v>164376.8524</v>
          </cell>
          <cell r="M25">
            <v>166705.36069999999</v>
          </cell>
          <cell r="N25">
            <v>169106.98180000001</v>
          </cell>
          <cell r="O25">
            <v>171580.13630000001</v>
          </cell>
          <cell r="P25">
            <v>174123.67970000001</v>
          </cell>
          <cell r="Q25">
            <v>176736.6862</v>
          </cell>
          <cell r="R25">
            <v>179418.3891</v>
          </cell>
          <cell r="S25">
            <v>182168.17449999999</v>
          </cell>
          <cell r="T25">
            <v>184985.5827</v>
          </cell>
          <cell r="U25">
            <v>187870.3014</v>
          </cell>
          <cell r="V25">
            <v>190814.13939999999</v>
          </cell>
          <cell r="W25">
            <v>193819.9932</v>
          </cell>
          <cell r="X25">
            <v>196889.92739999999</v>
          </cell>
          <cell r="Y25">
            <v>200025.25030000001</v>
          </cell>
          <cell r="Z25">
            <v>203226.88649999999</v>
          </cell>
          <cell r="AA25">
            <v>206472.2267</v>
          </cell>
          <cell r="AB25">
            <v>209759.35029999999</v>
          </cell>
          <cell r="AC25">
            <v>213087.4951</v>
          </cell>
          <cell r="AD25">
            <v>216456.15090000001</v>
          </cell>
          <cell r="AE25">
            <v>219865.1311</v>
          </cell>
          <cell r="AF25">
            <v>223314.57010000001</v>
          </cell>
          <cell r="AG25">
            <v>226804.84179999999</v>
          </cell>
          <cell r="AH25">
            <v>230336.4522</v>
          </cell>
          <cell r="AI25">
            <v>233909.94289999999</v>
          </cell>
          <cell r="AJ25">
            <v>237525.8181</v>
          </cell>
          <cell r="AK25">
            <v>241184.5013</v>
          </cell>
          <cell r="AL25">
            <v>244880.58480000001</v>
          </cell>
          <cell r="AM25">
            <v>248610.61439999999</v>
          </cell>
          <cell r="AN25">
            <v>252372.47829999999</v>
          </cell>
          <cell r="AO25">
            <v>256164.864</v>
          </cell>
          <cell r="AP25">
            <v>259986.9909</v>
          </cell>
          <cell r="AQ25">
            <v>263838.47159999999</v>
          </cell>
          <cell r="AR25">
            <v>267719.22259999998</v>
          </cell>
          <cell r="AS25">
            <v>271629.39169999998</v>
          </cell>
          <cell r="AT25">
            <v>275569.29920000001</v>
          </cell>
          <cell r="AU25">
            <v>279539.38909999997</v>
          </cell>
          <cell r="AV25">
            <v>283540.72039999999</v>
          </cell>
          <cell r="AW25">
            <v>287574.23670000001</v>
          </cell>
          <cell r="AX25">
            <v>291640.81</v>
          </cell>
          <cell r="AY25">
            <v>295741.26809999999</v>
          </cell>
          <cell r="AZ25">
            <v>299876.4143</v>
          </cell>
          <cell r="BA25">
            <v>323223.7169</v>
          </cell>
          <cell r="BB25">
            <v>329188.19819999998</v>
          </cell>
          <cell r="BC25">
            <v>335249.99739999999</v>
          </cell>
          <cell r="BD25">
            <v>341409.25400000002</v>
          </cell>
          <cell r="BE25">
            <v>347666.16600000003</v>
          </cell>
        </row>
        <row r="26">
          <cell r="B26">
            <v>1693470.706</v>
          </cell>
          <cell r="C26">
            <v>1711958.486</v>
          </cell>
          <cell r="D26">
            <v>1730362.959</v>
          </cell>
          <cell r="E26">
            <v>1748892.4850000001</v>
          </cell>
          <cell r="F26">
            <v>1767715.923</v>
          </cell>
          <cell r="G26">
            <v>1786960.0109999999</v>
          </cell>
          <cell r="H26">
            <v>1806680.2960000001</v>
          </cell>
          <cell r="I26">
            <v>1826908.737</v>
          </cell>
          <cell r="J26">
            <v>1847672.4539999999</v>
          </cell>
          <cell r="K26">
            <v>1868999.7239999999</v>
          </cell>
          <cell r="L26">
            <v>1890940.676</v>
          </cell>
          <cell r="M26">
            <v>1913563.558</v>
          </cell>
          <cell r="N26">
            <v>1936931.923</v>
          </cell>
          <cell r="O26">
            <v>1961099.892</v>
          </cell>
          <cell r="P26">
            <v>1986114.26</v>
          </cell>
          <cell r="Q26">
            <v>2012017.358</v>
          </cell>
          <cell r="R26">
            <v>2038846.176</v>
          </cell>
          <cell r="S26">
            <v>2066635.351</v>
          </cell>
          <cell r="T26">
            <v>2095418.16</v>
          </cell>
          <cell r="U26">
            <v>2125226.4840000002</v>
          </cell>
          <cell r="V26">
            <v>2156039.8650000002</v>
          </cell>
          <cell r="W26">
            <v>2187880.1719999998</v>
          </cell>
          <cell r="X26">
            <v>2220779.5490000001</v>
          </cell>
          <cell r="Y26">
            <v>2254769.1979999999</v>
          </cell>
          <cell r="Z26">
            <v>2289876.5099999998</v>
          </cell>
          <cell r="AA26">
            <v>2325976.8960000002</v>
          </cell>
          <cell r="AB26">
            <v>2363001.827</v>
          </cell>
          <cell r="AC26">
            <v>2400906.571</v>
          </cell>
          <cell r="AD26">
            <v>2439655.764</v>
          </cell>
          <cell r="AE26">
            <v>2479218.4810000001</v>
          </cell>
          <cell r="AF26">
            <v>2519566.2749999999</v>
          </cell>
          <cell r="AG26">
            <v>2560672.898</v>
          </cell>
          <cell r="AH26">
            <v>2602512.6680000001</v>
          </cell>
          <cell r="AI26">
            <v>2645059.34</v>
          </cell>
          <cell r="AJ26">
            <v>2688285.3829999999</v>
          </cell>
          <cell r="AK26">
            <v>2732161.588</v>
          </cell>
          <cell r="AL26">
            <v>2776628.9539999999</v>
          </cell>
          <cell r="AM26">
            <v>2821623.591</v>
          </cell>
          <cell r="AN26">
            <v>2867083.227</v>
          </cell>
          <cell r="AO26">
            <v>2912948.29</v>
          </cell>
          <cell r="AP26">
            <v>2959162.1170000001</v>
          </cell>
          <cell r="AQ26">
            <v>3005672.6749999998</v>
          </cell>
          <cell r="AR26">
            <v>3052431.6439999999</v>
          </cell>
          <cell r="AS26">
            <v>3099393.9589999998</v>
          </cell>
          <cell r="AT26">
            <v>3146517.5989999999</v>
          </cell>
          <cell r="AU26">
            <v>3193763.4840000002</v>
          </cell>
          <cell r="AV26">
            <v>3241104.1490000002</v>
          </cell>
          <cell r="AW26">
            <v>3288516.6669999999</v>
          </cell>
          <cell r="AX26">
            <v>3335979.7850000001</v>
          </cell>
          <cell r="AY26">
            <v>3383473.2310000001</v>
          </cell>
          <cell r="AZ26">
            <v>3430977.9219999998</v>
          </cell>
          <cell r="BA26">
            <v>4240150.0130000003</v>
          </cell>
          <cell r="BB26">
            <v>4330272.5049999999</v>
          </cell>
          <cell r="BC26">
            <v>4421473.0580000002</v>
          </cell>
          <cell r="BD26">
            <v>4513684.6560000004</v>
          </cell>
          <cell r="BE26">
            <v>4606839.7630000003</v>
          </cell>
        </row>
        <row r="27">
          <cell r="B27">
            <v>1694118.743</v>
          </cell>
          <cell r="C27">
            <v>1713998.41</v>
          </cell>
          <cell r="D27">
            <v>1734461.932</v>
          </cell>
          <cell r="E27">
            <v>1755626.7660000001</v>
          </cell>
          <cell r="F27">
            <v>1777597.5330000001</v>
          </cell>
          <cell r="G27">
            <v>1800464.5619999999</v>
          </cell>
          <cell r="H27">
            <v>1824266.2009999999</v>
          </cell>
          <cell r="I27">
            <v>1849027.4240000001</v>
          </cell>
          <cell r="J27">
            <v>1874772.8570000001</v>
          </cell>
          <cell r="K27">
            <v>1901529.777</v>
          </cell>
          <cell r="L27">
            <v>1929398.56</v>
          </cell>
          <cell r="M27">
            <v>1958418.96</v>
          </cell>
          <cell r="N27">
            <v>1988612.7239999999</v>
          </cell>
          <cell r="O27">
            <v>2019997.75</v>
          </cell>
          <cell r="P27">
            <v>2052591.041</v>
          </cell>
          <cell r="Q27">
            <v>2086408.8570000001</v>
          </cell>
          <cell r="R27">
            <v>2121466.42</v>
          </cell>
          <cell r="S27">
            <v>2157777.648</v>
          </cell>
          <cell r="T27">
            <v>2195354.929</v>
          </cell>
          <cell r="U27">
            <v>2234208.8730000001</v>
          </cell>
          <cell r="V27">
            <v>2274293.8080000002</v>
          </cell>
          <cell r="W27">
            <v>2315608.5469999998</v>
          </cell>
          <cell r="X27">
            <v>2358163.21</v>
          </cell>
          <cell r="Y27">
            <v>2401967.4019999998</v>
          </cell>
          <cell r="Z27">
            <v>2447027.0430000001</v>
          </cell>
          <cell r="AA27">
            <v>2493183.6719999998</v>
          </cell>
          <cell r="AB27">
            <v>2540335.5460000001</v>
          </cell>
          <cell r="AC27">
            <v>2588405.8590000002</v>
          </cell>
          <cell r="AD27">
            <v>2637328.4339999999</v>
          </cell>
          <cell r="AE27">
            <v>2687042.89</v>
          </cell>
          <cell r="AF27">
            <v>2737492.6850000001</v>
          </cell>
          <cell r="AG27">
            <v>2788623.8870000001</v>
          </cell>
          <cell r="AH27">
            <v>2840384.1680000001</v>
          </cell>
          <cell r="AI27">
            <v>2892721.9569999999</v>
          </cell>
          <cell r="AJ27">
            <v>2945585.841</v>
          </cell>
          <cell r="AK27">
            <v>2998924.2409999999</v>
          </cell>
          <cell r="AL27">
            <v>3052645.2790000001</v>
          </cell>
          <cell r="AM27">
            <v>3106650.952</v>
          </cell>
          <cell r="AN27">
            <v>3160847.9509999999</v>
          </cell>
          <cell r="AO27">
            <v>3215150.1779999998</v>
          </cell>
          <cell r="AP27">
            <v>3269479.1120000002</v>
          </cell>
          <cell r="AQ27">
            <v>3323763.6910000001</v>
          </cell>
          <cell r="AR27">
            <v>3377940.0750000002</v>
          </cell>
          <cell r="AS27">
            <v>3431951.3620000002</v>
          </cell>
          <cell r="AT27">
            <v>3485747.2850000001</v>
          </cell>
          <cell r="AU27">
            <v>3539283.94</v>
          </cell>
          <cell r="AV27">
            <v>3592527.23</v>
          </cell>
          <cell r="AW27">
            <v>3645449.5789999999</v>
          </cell>
          <cell r="AX27">
            <v>3698028.8969999999</v>
          </cell>
          <cell r="AY27">
            <v>3750248.307</v>
          </cell>
          <cell r="AZ27">
            <v>3802096.145</v>
          </cell>
          <cell r="BA27">
            <v>4261665.0319999997</v>
          </cell>
          <cell r="BB27">
            <v>4352016.2649999997</v>
          </cell>
          <cell r="BC27">
            <v>4443318.9220000003</v>
          </cell>
          <cell r="BD27">
            <v>4535498.1179999998</v>
          </cell>
          <cell r="BE27">
            <v>4628479.3269999996</v>
          </cell>
        </row>
        <row r="28">
          <cell r="B28">
            <v>4356.2688690000004</v>
          </cell>
          <cell r="C28">
            <v>4400.9012140000004</v>
          </cell>
          <cell r="D28">
            <v>4445.0381600000001</v>
          </cell>
          <cell r="E28">
            <v>4489.3015530000002</v>
          </cell>
          <cell r="F28">
            <v>4534.0986560000001</v>
          </cell>
          <cell r="G28">
            <v>4579.7099230000003</v>
          </cell>
          <cell r="H28">
            <v>4626.1705160000001</v>
          </cell>
          <cell r="I28">
            <v>4673.5237980000002</v>
          </cell>
          <cell r="J28">
            <v>4721.8149009999997</v>
          </cell>
          <cell r="K28">
            <v>4771.0809099999997</v>
          </cell>
          <cell r="L28">
            <v>4821.2934740000001</v>
          </cell>
          <cell r="M28">
            <v>4872.7453089999999</v>
          </cell>
          <cell r="N28">
            <v>4925.5508810000001</v>
          </cell>
          <cell r="O28">
            <v>4979.7382520000001</v>
          </cell>
          <cell r="P28">
            <v>5035.3010599999998</v>
          </cell>
          <cell r="Q28">
            <v>5092.2203250000002</v>
          </cell>
          <cell r="R28">
            <v>5150.4558010000001</v>
          </cell>
          <cell r="S28">
            <v>5209.9745039999998</v>
          </cell>
          <cell r="T28">
            <v>5270.7489640000003</v>
          </cell>
          <cell r="U28">
            <v>5332.7558660000004</v>
          </cell>
          <cell r="V28">
            <v>5395.7772590000004</v>
          </cell>
          <cell r="W28">
            <v>5459.8744589999997</v>
          </cell>
          <cell r="X28">
            <v>5525.0872060000002</v>
          </cell>
          <cell r="Y28">
            <v>5591.4371849999998</v>
          </cell>
          <cell r="Z28">
            <v>5658.9386379999996</v>
          </cell>
          <cell r="AA28">
            <v>5727.0344610000002</v>
          </cell>
          <cell r="AB28">
            <v>5795.6954969999997</v>
          </cell>
          <cell r="AC28">
            <v>5864.9182090000004</v>
          </cell>
          <cell r="AD28">
            <v>5934.7042039999997</v>
          </cell>
          <cell r="AE28">
            <v>6005.0639549999996</v>
          </cell>
          <cell r="AF28">
            <v>6076.0171970000001</v>
          </cell>
          <cell r="AG28">
            <v>6147.5958929999997</v>
          </cell>
          <cell r="AH28">
            <v>6219.8336550000004</v>
          </cell>
          <cell r="AI28">
            <v>6292.763798</v>
          </cell>
          <cell r="AJ28">
            <v>6366.4178359999996</v>
          </cell>
          <cell r="AK28">
            <v>6440.8244839999998</v>
          </cell>
          <cell r="AL28">
            <v>6515.9233640000002</v>
          </cell>
          <cell r="AM28">
            <v>6591.6802610000004</v>
          </cell>
          <cell r="AN28">
            <v>6668.0791920000001</v>
          </cell>
          <cell r="AO28">
            <v>6745.1143760000004</v>
          </cell>
          <cell r="AP28">
            <v>6822.7869929999997</v>
          </cell>
          <cell r="AQ28">
            <v>6901.1124149999996</v>
          </cell>
          <cell r="AR28">
            <v>6980.1069729999999</v>
          </cell>
          <cell r="AS28">
            <v>7059.7881189999998</v>
          </cell>
          <cell r="AT28">
            <v>7140.174156</v>
          </cell>
          <cell r="AU28">
            <v>7221.2836939999997</v>
          </cell>
          <cell r="AV28">
            <v>7303.1780500000004</v>
          </cell>
          <cell r="AW28">
            <v>7385.9001500000004</v>
          </cell>
          <cell r="AX28">
            <v>7469.4805299999998</v>
          </cell>
          <cell r="AY28">
            <v>7553.9420829999999</v>
          </cell>
          <cell r="AZ28">
            <v>7639.3029070000002</v>
          </cell>
          <cell r="BA28">
            <v>8709.0840759999992</v>
          </cell>
          <cell r="BB28">
            <v>8845.8713709999993</v>
          </cell>
          <cell r="BC28">
            <v>8984.9626939999998</v>
          </cell>
          <cell r="BD28">
            <v>9126.3813480000008</v>
          </cell>
          <cell r="BE28">
            <v>9270.1512010000006</v>
          </cell>
        </row>
        <row r="29">
          <cell r="B29">
            <v>4360.2592759999998</v>
          </cell>
          <cell r="C29">
            <v>4411.0959359999997</v>
          </cell>
          <cell r="D29">
            <v>4462.7089169999999</v>
          </cell>
          <cell r="E29">
            <v>4515.2831249999999</v>
          </cell>
          <cell r="F29">
            <v>4569.0108920000002</v>
          </cell>
          <cell r="G29">
            <v>4624.0551839999998</v>
          </cell>
          <cell r="H29">
            <v>4680.3802409999998</v>
          </cell>
          <cell r="I29">
            <v>4737.9806619999999</v>
          </cell>
          <cell r="J29">
            <v>4796.8671759999997</v>
          </cell>
          <cell r="K29">
            <v>4857.0536769999999</v>
          </cell>
          <cell r="L29">
            <v>4918.8363559999998</v>
          </cell>
          <cell r="M29">
            <v>4982.1119470000003</v>
          </cell>
          <cell r="N29">
            <v>5046.8090519999996</v>
          </cell>
          <cell r="O29">
            <v>5112.8829299999998</v>
          </cell>
          <cell r="P29">
            <v>5180.3010400000003</v>
          </cell>
          <cell r="Q29">
            <v>5249.0374400000001</v>
          </cell>
          <cell r="R29">
            <v>5319.071535</v>
          </cell>
          <cell r="S29">
            <v>5390.3880929999996</v>
          </cell>
          <cell r="T29">
            <v>5462.9772709999997</v>
          </cell>
          <cell r="U29">
            <v>5536.8343279999999</v>
          </cell>
          <cell r="V29">
            <v>5611.7477580000004</v>
          </cell>
          <cell r="W29">
            <v>5687.8035470000004</v>
          </cell>
          <cell r="X29">
            <v>5765.0639760000004</v>
          </cell>
          <cell r="Y29">
            <v>5843.5713560000004</v>
          </cell>
          <cell r="Z29">
            <v>5923.3587960000004</v>
          </cell>
          <cell r="AA29">
            <v>6003.8433770000001</v>
          </cell>
          <cell r="AB29">
            <v>6084.9980750000004</v>
          </cell>
          <cell r="AC29">
            <v>6166.8244290000002</v>
          </cell>
          <cell r="AD29">
            <v>6249.3303310000001</v>
          </cell>
          <cell r="AE29">
            <v>6332.5334439999997</v>
          </cell>
          <cell r="AF29">
            <v>6416.4612209999996</v>
          </cell>
          <cell r="AG29">
            <v>6501.1482690000003</v>
          </cell>
          <cell r="AH29">
            <v>6586.6330180000004</v>
          </cell>
          <cell r="AI29">
            <v>6672.9547990000001</v>
          </cell>
          <cell r="AJ29">
            <v>6760.1517320000003</v>
          </cell>
          <cell r="AK29">
            <v>6848.2594600000002</v>
          </cell>
          <cell r="AL29">
            <v>6937.1621750000004</v>
          </cell>
          <cell r="AM29">
            <v>7026.7976330000001</v>
          </cell>
          <cell r="AN29">
            <v>7117.1388649999999</v>
          </cell>
          <cell r="AO29">
            <v>7208.1791640000001</v>
          </cell>
          <cell r="AP29">
            <v>7299.9250229999998</v>
          </cell>
          <cell r="AQ29">
            <v>7392.3924809999999</v>
          </cell>
          <cell r="AR29">
            <v>7485.6045960000001</v>
          </cell>
          <cell r="AS29">
            <v>7579.5893450000003</v>
          </cell>
          <cell r="AT29">
            <v>7674.3778259999999</v>
          </cell>
          <cell r="AU29">
            <v>7770.0028140000004</v>
          </cell>
          <cell r="AV29">
            <v>7866.5111870000001</v>
          </cell>
          <cell r="AW29">
            <v>7963.9447209999998</v>
          </cell>
          <cell r="AX29">
            <v>8062.3414039999998</v>
          </cell>
          <cell r="AY29">
            <v>8161.7363400000004</v>
          </cell>
          <cell r="AZ29">
            <v>8262.1622989999996</v>
          </cell>
          <cell r="BA29">
            <v>8774.3944449999999</v>
          </cell>
          <cell r="BB29">
            <v>8914.5550019999991</v>
          </cell>
          <cell r="BC29">
            <v>9057.0619380000007</v>
          </cell>
          <cell r="BD29">
            <v>9201.939155</v>
          </cell>
          <cell r="BE29">
            <v>9349.2119129999992</v>
          </cell>
        </row>
        <row r="30">
          <cell r="B30">
            <v>43490.73904</v>
          </cell>
          <cell r="C30">
            <v>43935.823989999997</v>
          </cell>
          <cell r="D30">
            <v>44375.532980000004</v>
          </cell>
          <cell r="E30">
            <v>44816.029860000002</v>
          </cell>
          <cell r="F30">
            <v>45261.370750000002</v>
          </cell>
          <cell r="G30">
            <v>45714.365590000001</v>
          </cell>
          <cell r="H30">
            <v>46175.390619999998</v>
          </cell>
          <cell r="I30">
            <v>46644.910170000003</v>
          </cell>
          <cell r="J30">
            <v>47123.409979999997</v>
          </cell>
          <cell r="K30">
            <v>47611.298589999999</v>
          </cell>
          <cell r="L30">
            <v>48108.322050000002</v>
          </cell>
          <cell r="M30">
            <v>48617.442569999999</v>
          </cell>
          <cell r="N30">
            <v>49139.85396</v>
          </cell>
          <cell r="O30">
            <v>49675.892119999997</v>
          </cell>
          <cell r="P30">
            <v>50225.549559999999</v>
          </cell>
          <cell r="Q30">
            <v>50788.69051</v>
          </cell>
          <cell r="R30">
            <v>51364.96372</v>
          </cell>
          <cell r="S30">
            <v>51954.085290000003</v>
          </cell>
          <cell r="T30">
            <v>52555.820919999998</v>
          </cell>
          <cell r="U30">
            <v>53169.97236</v>
          </cell>
          <cell r="V30">
            <v>53794.399960000002</v>
          </cell>
          <cell r="W30">
            <v>54429.735990000001</v>
          </cell>
          <cell r="X30">
            <v>55076.391210000002</v>
          </cell>
          <cell r="Y30">
            <v>55734.591610000003</v>
          </cell>
          <cell r="Z30">
            <v>56404.484880000004</v>
          </cell>
          <cell r="AA30">
            <v>57080.532030000002</v>
          </cell>
          <cell r="AB30">
            <v>57762.440089999996</v>
          </cell>
          <cell r="AC30">
            <v>58450.162559999997</v>
          </cell>
          <cell r="AD30">
            <v>59143.698210000002</v>
          </cell>
          <cell r="AE30">
            <v>59843.130060000003</v>
          </cell>
          <cell r="AF30">
            <v>60548.630949999999</v>
          </cell>
          <cell r="AG30">
            <v>61260.494169999998</v>
          </cell>
          <cell r="AH30">
            <v>61979.02936</v>
          </cell>
          <cell r="AI30">
            <v>62704.543799999999</v>
          </cell>
          <cell r="AJ30">
            <v>63437.327790000003</v>
          </cell>
          <cell r="AK30">
            <v>64177.644950000002</v>
          </cell>
          <cell r="AL30">
            <v>64924.873140000003</v>
          </cell>
          <cell r="AM30">
            <v>65678.653309999994</v>
          </cell>
          <cell r="AN30">
            <v>66438.808929999999</v>
          </cell>
          <cell r="AO30">
            <v>67205.265419999996</v>
          </cell>
          <cell r="AP30">
            <v>67978.017890000003</v>
          </cell>
          <cell r="AQ30">
            <v>68757.203160000005</v>
          </cell>
          <cell r="AR30">
            <v>69542.968989999994</v>
          </cell>
          <cell r="AS30">
            <v>70335.475959999996</v>
          </cell>
          <cell r="AT30">
            <v>71134.894880000007</v>
          </cell>
          <cell r="AU30">
            <v>71941.401419999995</v>
          </cell>
          <cell r="AV30">
            <v>72755.596839999998</v>
          </cell>
          <cell r="AW30">
            <v>73577.902359999993</v>
          </cell>
          <cell r="AX30">
            <v>74408.61838</v>
          </cell>
          <cell r="AY30">
            <v>75247.971120000002</v>
          </cell>
          <cell r="AZ30">
            <v>76096.140419999996</v>
          </cell>
          <cell r="BA30">
            <v>87013.627139999997</v>
          </cell>
          <cell r="BB30">
            <v>88382.012359999993</v>
          </cell>
          <cell r="BC30">
            <v>89773.287920000002</v>
          </cell>
          <cell r="BD30">
            <v>91187.670169999998</v>
          </cell>
          <cell r="BE30">
            <v>92625.381370000003</v>
          </cell>
        </row>
        <row r="31">
          <cell r="B31">
            <v>43530.6607</v>
          </cell>
          <cell r="C31">
            <v>44037.963250000001</v>
          </cell>
          <cell r="D31">
            <v>44552.852709999999</v>
          </cell>
          <cell r="E31">
            <v>45077.171580000002</v>
          </cell>
          <cell r="F31">
            <v>45612.85037</v>
          </cell>
          <cell r="G31">
            <v>46161.534769999998</v>
          </cell>
          <cell r="H31">
            <v>46722.894970000001</v>
          </cell>
          <cell r="I31">
            <v>47296.906739999999</v>
          </cell>
          <cell r="J31">
            <v>47883.707470000001</v>
          </cell>
          <cell r="K31">
            <v>48483.46632</v>
          </cell>
          <cell r="L31">
            <v>49099.164720000001</v>
          </cell>
          <cell r="M31">
            <v>49729.804179999999</v>
          </cell>
          <cell r="N31">
            <v>50374.70493</v>
          </cell>
          <cell r="O31">
            <v>51033.450989999998</v>
          </cell>
          <cell r="P31">
            <v>51705.744509999997</v>
          </cell>
          <cell r="Q31">
            <v>52391.349170000001</v>
          </cell>
          <cell r="R31">
            <v>53090.077449999997</v>
          </cell>
          <cell r="S31">
            <v>53801.790849999998</v>
          </cell>
          <cell r="T31">
            <v>54526.400320000001</v>
          </cell>
          <cell r="U31">
            <v>55263.863729999997</v>
          </cell>
          <cell r="V31">
            <v>56012.074950000002</v>
          </cell>
          <cell r="W31">
            <v>56771.88852</v>
          </cell>
          <cell r="X31">
            <v>57543.917970000002</v>
          </cell>
          <cell r="Y31">
            <v>58328.57516</v>
          </cell>
          <cell r="Z31">
            <v>59126.178670000001</v>
          </cell>
          <cell r="AA31">
            <v>59930.9061</v>
          </cell>
          <cell r="AB31">
            <v>60742.47322</v>
          </cell>
          <cell r="AC31">
            <v>61560.87371</v>
          </cell>
          <cell r="AD31">
            <v>62386.16027</v>
          </cell>
          <cell r="AE31">
            <v>63218.480900000002</v>
          </cell>
          <cell r="AF31">
            <v>64058.080690000003</v>
          </cell>
          <cell r="AG31">
            <v>64905.276669999999</v>
          </cell>
          <cell r="AH31">
            <v>65760.425390000004</v>
          </cell>
          <cell r="AI31">
            <v>66623.894209999999</v>
          </cell>
          <cell r="AJ31">
            <v>67496.040529999998</v>
          </cell>
          <cell r="AK31">
            <v>68377.199210000006</v>
          </cell>
          <cell r="AL31">
            <v>69266.197379999998</v>
          </cell>
          <cell r="AM31">
            <v>70162.398050000003</v>
          </cell>
          <cell r="AN31">
            <v>71065.516380000001</v>
          </cell>
          <cell r="AO31">
            <v>71975.469729999997</v>
          </cell>
          <cell r="AP31">
            <v>72892.307579999993</v>
          </cell>
          <cell r="AQ31">
            <v>73816.175579999996</v>
          </cell>
          <cell r="AR31">
            <v>74747.29075</v>
          </cell>
          <cell r="AS31">
            <v>75685.920939999996</v>
          </cell>
          <cell r="AT31">
            <v>76632.366980000006</v>
          </cell>
          <cell r="AU31">
            <v>77586.94846</v>
          </cell>
          <cell r="AV31">
            <v>78550.127569999997</v>
          </cell>
          <cell r="AW31">
            <v>79522.317559999996</v>
          </cell>
          <cell r="AX31">
            <v>80503.895910000007</v>
          </cell>
          <cell r="AY31">
            <v>81495.213140000007</v>
          </cell>
          <cell r="AZ31">
            <v>82496.598050000001</v>
          </cell>
          <cell r="BA31">
            <v>87653.784390000001</v>
          </cell>
          <cell r="BB31">
            <v>89054.829429999998</v>
          </cell>
          <cell r="BC31">
            <v>90479.130709999998</v>
          </cell>
          <cell r="BD31">
            <v>91926.909010000003</v>
          </cell>
          <cell r="BE31">
            <v>93398.398969999995</v>
          </cell>
        </row>
        <row r="32">
          <cell r="B32">
            <v>25673.536209999998</v>
          </cell>
          <cell r="C32">
            <v>25877.371800000001</v>
          </cell>
          <cell r="D32">
            <v>26085.714380000001</v>
          </cell>
          <cell r="E32">
            <v>26305.235700000001</v>
          </cell>
          <cell r="F32">
            <v>26537.896189999999</v>
          </cell>
          <cell r="G32">
            <v>26783.851210000001</v>
          </cell>
          <cell r="H32">
            <v>27040.789270000001</v>
          </cell>
          <cell r="I32">
            <v>27307.262920000001</v>
          </cell>
          <cell r="J32">
            <v>27582.115740000001</v>
          </cell>
          <cell r="K32">
            <v>27864.307390000002</v>
          </cell>
          <cell r="L32">
            <v>28149.184829999998</v>
          </cell>
          <cell r="M32">
            <v>28442.626100000001</v>
          </cell>
          <cell r="N32">
            <v>28745.909439999999</v>
          </cell>
          <cell r="O32">
            <v>29058.74021</v>
          </cell>
          <cell r="P32">
            <v>29380.396260000001</v>
          </cell>
          <cell r="Q32">
            <v>29710.102510000001</v>
          </cell>
          <cell r="R32">
            <v>30046.833439999999</v>
          </cell>
          <cell r="S32">
            <v>30389.897290000001</v>
          </cell>
          <cell r="T32">
            <v>30738.800719999999</v>
          </cell>
          <cell r="U32">
            <v>31093.192889999998</v>
          </cell>
          <cell r="V32">
            <v>31450.903350000001</v>
          </cell>
          <cell r="W32">
            <v>31813.225640000001</v>
          </cell>
          <cell r="X32">
            <v>32180.60801</v>
          </cell>
          <cell r="Y32">
            <v>32553.234240000002</v>
          </cell>
          <cell r="Z32">
            <v>32931.242200000001</v>
          </cell>
          <cell r="AA32">
            <v>33309.268259999997</v>
          </cell>
          <cell r="AB32">
            <v>33689.093540000002</v>
          </cell>
          <cell r="AC32">
            <v>34071.638270000003</v>
          </cell>
          <cell r="AD32">
            <v>34457.490160000001</v>
          </cell>
          <cell r="AE32">
            <v>34847.131609999997</v>
          </cell>
          <cell r="AF32">
            <v>35241.0023</v>
          </cell>
          <cell r="AG32">
            <v>35639.608180000003</v>
          </cell>
          <cell r="AH32">
            <v>36043.359259999997</v>
          </cell>
          <cell r="AI32">
            <v>36452.607839999997</v>
          </cell>
          <cell r="AJ32">
            <v>36867.659979999997</v>
          </cell>
          <cell r="AK32">
            <v>37288.778120000003</v>
          </cell>
          <cell r="AL32">
            <v>37715.787629999999</v>
          </cell>
          <cell r="AM32">
            <v>38148.789770000003</v>
          </cell>
          <cell r="AN32">
            <v>38587.955269999999</v>
          </cell>
          <cell r="AO32">
            <v>39033.448920000003</v>
          </cell>
          <cell r="AP32">
            <v>39485.408190000002</v>
          </cell>
          <cell r="AQ32">
            <v>39944.095020000001</v>
          </cell>
          <cell r="AR32">
            <v>40409.637799999997</v>
          </cell>
          <cell r="AS32">
            <v>40882.102680000004</v>
          </cell>
          <cell r="AT32">
            <v>41361.52115</v>
          </cell>
          <cell r="AU32">
            <v>41847.900509999999</v>
          </cell>
          <cell r="AV32">
            <v>42341.903960000003</v>
          </cell>
          <cell r="AW32">
            <v>42843.719210000003</v>
          </cell>
          <cell r="AX32">
            <v>43353.359689999997</v>
          </cell>
          <cell r="AY32">
            <v>43870.774469999997</v>
          </cell>
          <cell r="AZ32">
            <v>44395.885520000003</v>
          </cell>
          <cell r="BA32">
            <v>56467.149570000001</v>
          </cell>
          <cell r="BB32">
            <v>57483.405100000004</v>
          </cell>
          <cell r="BC32">
            <v>58520.538999999997</v>
          </cell>
          <cell r="BD32">
            <v>59578.896569999997</v>
          </cell>
          <cell r="BE32">
            <v>60658.817750000002</v>
          </cell>
        </row>
        <row r="33">
          <cell r="B33">
            <v>25752.231769999999</v>
          </cell>
          <cell r="C33">
            <v>26062.791539999998</v>
          </cell>
          <cell r="D33">
            <v>26388.554980000001</v>
          </cell>
          <cell r="E33">
            <v>26730.611260000001</v>
          </cell>
          <cell r="F33">
            <v>27089.140770000002</v>
          </cell>
          <cell r="G33">
            <v>27463.843120000001</v>
          </cell>
          <cell r="H33">
            <v>27852.457399999999</v>
          </cell>
          <cell r="I33">
            <v>28253.752359999999</v>
          </cell>
          <cell r="J33">
            <v>28666.851719999999</v>
          </cell>
          <cell r="K33">
            <v>29091.015960000001</v>
          </cell>
          <cell r="L33">
            <v>29528.534350000002</v>
          </cell>
          <cell r="M33">
            <v>29976.709220000001</v>
          </cell>
          <cell r="N33">
            <v>30434.306280000001</v>
          </cell>
          <cell r="O33">
            <v>30900.680380000002</v>
          </cell>
          <cell r="P33">
            <v>31375.432000000001</v>
          </cell>
          <cell r="Q33">
            <v>31858.298119999999</v>
          </cell>
          <cell r="R33">
            <v>32349.115229999999</v>
          </cell>
          <cell r="S33">
            <v>32847.804020000003</v>
          </cell>
          <cell r="T33">
            <v>33354.359960000002</v>
          </cell>
          <cell r="U33">
            <v>33868.844969999998</v>
          </cell>
          <cell r="V33">
            <v>34389.178379999998</v>
          </cell>
          <cell r="W33">
            <v>34917.120490000001</v>
          </cell>
          <cell r="X33">
            <v>35453.435570000001</v>
          </cell>
          <cell r="Y33">
            <v>35998.541640000003</v>
          </cell>
          <cell r="Z33">
            <v>36552.759030000001</v>
          </cell>
          <cell r="AA33">
            <v>37110.00202</v>
          </cell>
          <cell r="AB33">
            <v>37672.13968</v>
          </cell>
          <cell r="AC33">
            <v>38240.181299999997</v>
          </cell>
          <cell r="AD33">
            <v>38814.786410000001</v>
          </cell>
          <cell r="AE33">
            <v>39396.496099999997</v>
          </cell>
          <cell r="AF33">
            <v>39985.798779999997</v>
          </cell>
          <cell r="AG33">
            <v>40583.145640000002</v>
          </cell>
          <cell r="AH33">
            <v>41188.951560000001</v>
          </cell>
          <cell r="AI33">
            <v>41803.592770000003</v>
          </cell>
          <cell r="AJ33">
            <v>42427.405039999998</v>
          </cell>
          <cell r="AK33">
            <v>43060.683290000001</v>
          </cell>
          <cell r="AL33">
            <v>43702.120389999996</v>
          </cell>
          <cell r="AM33">
            <v>44351.480439999999</v>
          </cell>
          <cell r="AN33">
            <v>45008.882129999998</v>
          </cell>
          <cell r="AO33">
            <v>45674.539579999997</v>
          </cell>
          <cell r="AP33">
            <v>46348.682240000002</v>
          </cell>
          <cell r="AQ33">
            <v>47031.530120000003</v>
          </cell>
          <cell r="AR33">
            <v>47723.286460000003</v>
          </cell>
          <cell r="AS33">
            <v>48424.135649999997</v>
          </cell>
          <cell r="AT33">
            <v>49134.243029999998</v>
          </cell>
          <cell r="AU33">
            <v>49853.755360000003</v>
          </cell>
          <cell r="AV33">
            <v>50582.944990000004</v>
          </cell>
          <cell r="AW33">
            <v>51321.9666</v>
          </cell>
          <cell r="AX33">
            <v>52070.925020000002</v>
          </cell>
          <cell r="AY33">
            <v>52829.90135</v>
          </cell>
          <cell r="AZ33">
            <v>53598.96314</v>
          </cell>
          <cell r="BA33">
            <v>56986.638679999996</v>
          </cell>
          <cell r="BB33">
            <v>58034.382850000002</v>
          </cell>
          <cell r="BC33">
            <v>59103.829579999998</v>
          </cell>
          <cell r="BD33">
            <v>60195.3292</v>
          </cell>
          <cell r="BE33">
            <v>61309.229910000002</v>
          </cell>
        </row>
        <row r="34">
          <cell r="B34">
            <v>14893.584140000001</v>
          </cell>
          <cell r="C34">
            <v>15035.84367</v>
          </cell>
          <cell r="D34">
            <v>15180.5304</v>
          </cell>
          <cell r="E34">
            <v>15330.757519999999</v>
          </cell>
          <cell r="F34">
            <v>15488.11238</v>
          </cell>
          <cell r="G34">
            <v>15653.568719999999</v>
          </cell>
          <cell r="H34">
            <v>15826.98654</v>
          </cell>
          <cell r="I34">
            <v>16008.39194</v>
          </cell>
          <cell r="J34">
            <v>16197.84894</v>
          </cell>
          <cell r="K34">
            <v>16395.387569999999</v>
          </cell>
          <cell r="L34">
            <v>16600.163420000001</v>
          </cell>
          <cell r="M34">
            <v>16814.203839999998</v>
          </cell>
          <cell r="N34">
            <v>17038.111540000002</v>
          </cell>
          <cell r="O34">
            <v>17271.949400000001</v>
          </cell>
          <cell r="P34">
            <v>17515.591540000001</v>
          </cell>
          <cell r="Q34">
            <v>17768.841680000001</v>
          </cell>
          <cell r="R34">
            <v>18031.36047</v>
          </cell>
          <cell r="S34">
            <v>18302.85758</v>
          </cell>
          <cell r="T34">
            <v>18583.064780000001</v>
          </cell>
          <cell r="U34">
            <v>18871.72754</v>
          </cell>
          <cell r="V34">
            <v>19167.585579999999</v>
          </cell>
          <cell r="W34">
            <v>19470.833470000001</v>
          </cell>
          <cell r="X34">
            <v>19781.507119999998</v>
          </cell>
          <cell r="Y34">
            <v>20099.568930000001</v>
          </cell>
          <cell r="Z34">
            <v>20424.962370000001</v>
          </cell>
          <cell r="AA34">
            <v>20754.658169999999</v>
          </cell>
          <cell r="AB34">
            <v>21088.446120000001</v>
          </cell>
          <cell r="AC34">
            <v>21426.13969</v>
          </cell>
          <cell r="AD34">
            <v>21767.595570000001</v>
          </cell>
          <cell r="AE34">
            <v>22112.74785</v>
          </cell>
          <cell r="AF34">
            <v>22461.606830000001</v>
          </cell>
          <cell r="AG34">
            <v>22814.278409999999</v>
          </cell>
          <cell r="AH34">
            <v>23170.891350000002</v>
          </cell>
          <cell r="AI34">
            <v>23531.590219999998</v>
          </cell>
          <cell r="AJ34">
            <v>23896.526229999999</v>
          </cell>
          <cell r="AK34">
            <v>24265.849900000001</v>
          </cell>
          <cell r="AL34">
            <v>24639.31307</v>
          </cell>
          <cell r="AM34">
            <v>25016.758399999999</v>
          </cell>
          <cell r="AN34">
            <v>25398.10585</v>
          </cell>
          <cell r="AO34">
            <v>25783.332539999999</v>
          </cell>
          <cell r="AP34">
            <v>26172.463339999998</v>
          </cell>
          <cell r="AQ34">
            <v>26565.62226</v>
          </cell>
          <cell r="AR34">
            <v>26962.937580000002</v>
          </cell>
          <cell r="AS34">
            <v>27364.54925</v>
          </cell>
          <cell r="AT34">
            <v>27770.607039999999</v>
          </cell>
          <cell r="AU34">
            <v>28181.265869999999</v>
          </cell>
          <cell r="AV34">
            <v>28596.956279999999</v>
          </cell>
          <cell r="AW34">
            <v>29017.974969999999</v>
          </cell>
          <cell r="AX34">
            <v>29444.549559999999</v>
          </cell>
          <cell r="AY34">
            <v>29876.86793</v>
          </cell>
          <cell r="AZ34">
            <v>30315.092100000002</v>
          </cell>
          <cell r="BA34">
            <v>36789.749490000002</v>
          </cell>
          <cell r="BB34">
            <v>37531.980479999998</v>
          </cell>
          <cell r="BC34">
            <v>38288.681449999996</v>
          </cell>
          <cell r="BD34">
            <v>39060.101459999998</v>
          </cell>
          <cell r="BE34">
            <v>39846.50232</v>
          </cell>
        </row>
        <row r="35">
          <cell r="B35">
            <v>14918.317520000001</v>
          </cell>
          <cell r="C35">
            <v>15096.743259999999</v>
          </cell>
          <cell r="D35">
            <v>15284.30702</v>
          </cell>
          <cell r="E35">
            <v>15482.380429999999</v>
          </cell>
          <cell r="F35">
            <v>15691.690759999999</v>
          </cell>
          <cell r="G35">
            <v>15912.643749999999</v>
          </cell>
          <cell r="H35">
            <v>16144.66784</v>
          </cell>
          <cell r="I35">
            <v>16387.437409999999</v>
          </cell>
          <cell r="J35">
            <v>16640.741709999998</v>
          </cell>
          <cell r="K35">
            <v>16904.410909999999</v>
          </cell>
          <cell r="L35">
            <v>17179.731940000001</v>
          </cell>
          <cell r="M35">
            <v>17465.92829</v>
          </cell>
          <cell r="N35">
            <v>17762.491290000002</v>
          </cell>
          <cell r="O35">
            <v>18069.046200000001</v>
          </cell>
          <cell r="P35">
            <v>18385.2749</v>
          </cell>
          <cell r="Q35">
            <v>18710.894179999999</v>
          </cell>
          <cell r="R35">
            <v>19045.653490000001</v>
          </cell>
          <cell r="S35">
            <v>19389.33683</v>
          </cell>
          <cell r="T35">
            <v>19741.763859999999</v>
          </cell>
          <cell r="U35">
            <v>20102.789059999999</v>
          </cell>
          <cell r="V35">
            <v>20471.180919999999</v>
          </cell>
          <cell r="W35">
            <v>20847.315920000001</v>
          </cell>
          <cell r="X35">
            <v>21231.398150000001</v>
          </cell>
          <cell r="Y35">
            <v>21623.551950000001</v>
          </cell>
          <cell r="Z35">
            <v>22023.87746</v>
          </cell>
          <cell r="AA35">
            <v>22429.17382</v>
          </cell>
          <cell r="AB35">
            <v>22839.29637</v>
          </cell>
          <cell r="AC35">
            <v>23254.137859999999</v>
          </cell>
          <cell r="AD35">
            <v>23673.639910000002</v>
          </cell>
          <cell r="AE35">
            <v>24097.825570000001</v>
          </cell>
          <cell r="AF35">
            <v>24526.795880000001</v>
          </cell>
          <cell r="AG35">
            <v>24960.711640000001</v>
          </cell>
          <cell r="AH35">
            <v>25399.772489999999</v>
          </cell>
          <cell r="AI35">
            <v>25844.198619999999</v>
          </cell>
          <cell r="AJ35">
            <v>26294.217130000001</v>
          </cell>
          <cell r="AK35">
            <v>26750.053049999999</v>
          </cell>
          <cell r="AL35">
            <v>27211.100279999999</v>
          </cell>
          <cell r="AM35">
            <v>27677.061119999998</v>
          </cell>
          <cell r="AN35">
            <v>28147.813900000001</v>
          </cell>
          <cell r="AO35">
            <v>28623.344109999998</v>
          </cell>
          <cell r="AP35">
            <v>29103.715329999999</v>
          </cell>
          <cell r="AQ35">
            <v>29589.0527</v>
          </cell>
          <cell r="AR35">
            <v>30079.529340000001</v>
          </cell>
          <cell r="AS35">
            <v>30575.353810000001</v>
          </cell>
          <cell r="AT35">
            <v>31076.75879</v>
          </cell>
          <cell r="AU35">
            <v>31583.99164</v>
          </cell>
          <cell r="AV35">
            <v>32097.383689999999</v>
          </cell>
          <cell r="AW35">
            <v>32617.23979</v>
          </cell>
          <cell r="AX35">
            <v>33143.847159999998</v>
          </cell>
          <cell r="AY35">
            <v>33677.479489999998</v>
          </cell>
          <cell r="AZ35">
            <v>34218.398800000003</v>
          </cell>
          <cell r="BA35">
            <v>37058.8364</v>
          </cell>
          <cell r="BB35">
            <v>37816.079420000002</v>
          </cell>
          <cell r="BC35">
            <v>38588.090199999999</v>
          </cell>
          <cell r="BD35">
            <v>39375.126380000002</v>
          </cell>
          <cell r="BE35">
            <v>40177.462160000003</v>
          </cell>
        </row>
        <row r="36">
          <cell r="B36">
            <v>1987465.304</v>
          </cell>
          <cell r="C36">
            <v>2007888.666</v>
          </cell>
          <cell r="D36">
            <v>2028117.148</v>
          </cell>
          <cell r="E36">
            <v>2048510.8859999999</v>
          </cell>
          <cell r="F36">
            <v>2069318.906</v>
          </cell>
          <cell r="G36">
            <v>2090717.4480000001</v>
          </cell>
          <cell r="H36">
            <v>2112757.3939999999</v>
          </cell>
          <cell r="I36">
            <v>2135479.1340000001</v>
          </cell>
          <cell r="J36">
            <v>2158918.8110000002</v>
          </cell>
          <cell r="K36">
            <v>2183107.06</v>
          </cell>
          <cell r="L36">
            <v>2208061.2480000001</v>
          </cell>
          <cell r="M36">
            <v>2233908.767</v>
          </cell>
          <cell r="N36">
            <v>2260712.2540000002</v>
          </cell>
          <cell r="O36">
            <v>2288498.0090000001</v>
          </cell>
          <cell r="P36">
            <v>2317274.9049999998</v>
          </cell>
          <cell r="Q36">
            <v>2347043.0589999999</v>
          </cell>
          <cell r="R36">
            <v>2377790.5720000002</v>
          </cell>
          <cell r="S36">
            <v>2409504.611</v>
          </cell>
          <cell r="T36">
            <v>2442171.639</v>
          </cell>
          <cell r="U36">
            <v>2475777.335</v>
          </cell>
          <cell r="V36">
            <v>2510210.6120000002</v>
          </cell>
          <cell r="W36">
            <v>2545481.86</v>
          </cell>
          <cell r="X36">
            <v>2581598.8810000001</v>
          </cell>
          <cell r="Y36">
            <v>2618562.7480000001</v>
          </cell>
          <cell r="Z36">
            <v>2656370.537</v>
          </cell>
          <cell r="AA36">
            <v>2694739.1150000002</v>
          </cell>
          <cell r="AB36">
            <v>2733607.4049999998</v>
          </cell>
          <cell r="AC36">
            <v>2772939.05</v>
          </cell>
          <cell r="AD36">
            <v>2812707.6269999999</v>
          </cell>
          <cell r="AE36">
            <v>2852895.6120000002</v>
          </cell>
          <cell r="AF36">
            <v>2893493.31</v>
          </cell>
          <cell r="AG36">
            <v>2934499.25</v>
          </cell>
          <cell r="AH36">
            <v>2975915.3450000002</v>
          </cell>
          <cell r="AI36">
            <v>3017745.3119999999</v>
          </cell>
          <cell r="AJ36">
            <v>3059993.548</v>
          </cell>
          <cell r="AK36">
            <v>3102664.4210000001</v>
          </cell>
          <cell r="AL36">
            <v>3145715.5240000002</v>
          </cell>
          <cell r="AM36">
            <v>3189114.3220000002</v>
          </cell>
          <cell r="AN36">
            <v>3232838.2650000001</v>
          </cell>
          <cell r="AO36">
            <v>3276872.2280000001</v>
          </cell>
          <cell r="AP36">
            <v>3321207.1749999998</v>
          </cell>
          <cell r="AQ36">
            <v>3365842.9720000001</v>
          </cell>
          <cell r="AR36">
            <v>3410782.8960000002</v>
          </cell>
          <cell r="AS36">
            <v>3456032.9139999999</v>
          </cell>
          <cell r="AT36">
            <v>3501601.023</v>
          </cell>
          <cell r="AU36">
            <v>3547496.605</v>
          </cell>
          <cell r="AV36">
            <v>3593748.8369999998</v>
          </cell>
          <cell r="AW36">
            <v>3640381.71</v>
          </cell>
          <cell r="AX36">
            <v>3687414.5329999998</v>
          </cell>
          <cell r="AY36">
            <v>3734863.236</v>
          </cell>
          <cell r="AZ36">
            <v>3782741.4470000002</v>
          </cell>
          <cell r="BA36">
            <v>4389959.9960000003</v>
          </cell>
          <cell r="BB36">
            <v>4466700.5690000001</v>
          </cell>
          <cell r="BC36">
            <v>4544619.5580000002</v>
          </cell>
          <cell r="BD36">
            <v>4623723.8540000003</v>
          </cell>
          <cell r="BE36">
            <v>4704021.2580000004</v>
          </cell>
        </row>
        <row r="37">
          <cell r="B37">
            <v>1989199.2039999999</v>
          </cell>
          <cell r="C37">
            <v>2012525.5989999999</v>
          </cell>
          <cell r="D37">
            <v>2036439.223</v>
          </cell>
          <cell r="E37">
            <v>2061086.014</v>
          </cell>
          <cell r="F37">
            <v>2086593.703</v>
          </cell>
          <cell r="G37">
            <v>2113064.11</v>
          </cell>
          <cell r="H37">
            <v>2140498.0729999999</v>
          </cell>
          <cell r="I37">
            <v>2168898.5600000001</v>
          </cell>
          <cell r="J37">
            <v>2198272.4679999999</v>
          </cell>
          <cell r="K37">
            <v>2228627.3569999998</v>
          </cell>
          <cell r="L37">
            <v>2260105.5630000001</v>
          </cell>
          <cell r="M37">
            <v>2292673.7519999999</v>
          </cell>
          <cell r="N37">
            <v>2326299.29</v>
          </cell>
          <cell r="O37">
            <v>2360955.9980000001</v>
          </cell>
          <cell r="P37">
            <v>2396620.7799999998</v>
          </cell>
          <cell r="Q37">
            <v>2433272.162</v>
          </cell>
          <cell r="R37">
            <v>2470890.1510000001</v>
          </cell>
          <cell r="S37">
            <v>2509456.4730000002</v>
          </cell>
          <cell r="T37">
            <v>2548954.7230000002</v>
          </cell>
          <cell r="U37">
            <v>2589370.3450000002</v>
          </cell>
          <cell r="V37">
            <v>2630587.8679999998</v>
          </cell>
          <cell r="W37">
            <v>2672623.2790000001</v>
          </cell>
          <cell r="X37">
            <v>2715491.2650000001</v>
          </cell>
          <cell r="Y37">
            <v>2759200.534</v>
          </cell>
          <cell r="Z37">
            <v>2803756.2549999999</v>
          </cell>
          <cell r="AA37">
            <v>2848862.5120000001</v>
          </cell>
          <cell r="AB37">
            <v>2894457.94</v>
          </cell>
          <cell r="AC37">
            <v>2940508.34</v>
          </cell>
          <cell r="AD37">
            <v>2986990.98</v>
          </cell>
          <cell r="AE37">
            <v>3033893.3029999998</v>
          </cell>
          <cell r="AF37">
            <v>3081211.5079999999</v>
          </cell>
          <cell r="AG37">
            <v>3128948.415</v>
          </cell>
          <cell r="AH37">
            <v>3177111.2170000002</v>
          </cell>
          <cell r="AI37">
            <v>3225709.57</v>
          </cell>
          <cell r="AJ37">
            <v>3274754.193</v>
          </cell>
          <cell r="AK37">
            <v>3324255.9789999998</v>
          </cell>
          <cell r="AL37">
            <v>3374152.361</v>
          </cell>
          <cell r="AM37">
            <v>3424399.18</v>
          </cell>
          <cell r="AN37">
            <v>3474969.156</v>
          </cell>
          <cell r="AO37">
            <v>3525847.2429999998</v>
          </cell>
          <cell r="AP37">
            <v>3577027.82</v>
          </cell>
          <cell r="AQ37">
            <v>3628512.8149999999</v>
          </cell>
          <cell r="AR37">
            <v>3680310.15</v>
          </cell>
          <cell r="AS37">
            <v>3732432.3220000002</v>
          </cell>
          <cell r="AT37">
            <v>3784895.14</v>
          </cell>
          <cell r="AU37">
            <v>3837716.6910000001</v>
          </cell>
          <cell r="AV37">
            <v>3890923.2540000002</v>
          </cell>
          <cell r="AW37">
            <v>3944540.477</v>
          </cell>
          <cell r="AX37">
            <v>3998593.1379999998</v>
          </cell>
          <cell r="AY37">
            <v>4053104.963</v>
          </cell>
          <cell r="AZ37">
            <v>4108098.662</v>
          </cell>
          <cell r="BA37">
            <v>4416352.4210000001</v>
          </cell>
          <cell r="BB37">
            <v>4494341.6150000002</v>
          </cell>
          <cell r="BC37">
            <v>4573512.3600000003</v>
          </cell>
          <cell r="BD37">
            <v>4653871.7300000004</v>
          </cell>
          <cell r="BE37">
            <v>4735428.1529999999</v>
          </cell>
        </row>
        <row r="38">
          <cell r="B38">
            <v>436550.6078</v>
          </cell>
          <cell r="C38">
            <v>441673.30800000002</v>
          </cell>
          <cell r="D38">
            <v>446995.19669999997</v>
          </cell>
          <cell r="E38">
            <v>452539.91509999998</v>
          </cell>
          <cell r="F38">
            <v>458312.93310000002</v>
          </cell>
          <cell r="G38">
            <v>464311.6005</v>
          </cell>
          <cell r="H38">
            <v>470504.6923</v>
          </cell>
          <cell r="I38">
            <v>476876.89449999999</v>
          </cell>
          <cell r="J38">
            <v>483419.87540000002</v>
          </cell>
          <cell r="K38">
            <v>490128.64649999997</v>
          </cell>
          <cell r="L38">
            <v>497040.63740000001</v>
          </cell>
          <cell r="M38">
            <v>504130.75219999999</v>
          </cell>
          <cell r="N38">
            <v>511389.68680000002</v>
          </cell>
          <cell r="O38">
            <v>518814.0393</v>
          </cell>
          <cell r="P38">
            <v>526402.81550000003</v>
          </cell>
          <cell r="Q38">
            <v>534156.39119999995</v>
          </cell>
          <cell r="R38">
            <v>542075.73010000004</v>
          </cell>
          <cell r="S38">
            <v>550162.53480000002</v>
          </cell>
          <cell r="T38">
            <v>558419.02969999996</v>
          </cell>
          <cell r="U38">
            <v>566847.72919999994</v>
          </cell>
          <cell r="V38">
            <v>575417.82849999995</v>
          </cell>
          <cell r="W38">
            <v>584153.3173</v>
          </cell>
          <cell r="X38">
            <v>593064.62479999999</v>
          </cell>
          <cell r="Y38">
            <v>602156.79040000006</v>
          </cell>
          <cell r="Z38">
            <v>611432.90789999999</v>
          </cell>
          <cell r="AA38">
            <v>620798.05920000002</v>
          </cell>
          <cell r="AB38">
            <v>630270.20779999997</v>
          </cell>
          <cell r="AC38">
            <v>639856.79009999998</v>
          </cell>
          <cell r="AD38">
            <v>649560.60950000002</v>
          </cell>
          <cell r="AE38">
            <v>659383.06090000004</v>
          </cell>
          <cell r="AF38">
            <v>669325.14780000004</v>
          </cell>
          <cell r="AG38">
            <v>679387.85930000001</v>
          </cell>
          <cell r="AH38">
            <v>689572.05969999998</v>
          </cell>
          <cell r="AI38">
            <v>699878.45290000003</v>
          </cell>
          <cell r="AJ38">
            <v>710307.58109999995</v>
          </cell>
          <cell r="AK38">
            <v>720859.8554</v>
          </cell>
          <cell r="AL38">
            <v>731512.91540000006</v>
          </cell>
          <cell r="AM38">
            <v>742259.09719999996</v>
          </cell>
          <cell r="AN38">
            <v>753095.96200000006</v>
          </cell>
          <cell r="AO38">
            <v>764022.8395</v>
          </cell>
          <cell r="AP38">
            <v>775039.8567</v>
          </cell>
          <cell r="AQ38">
            <v>786147.89309999999</v>
          </cell>
          <cell r="AR38">
            <v>797348.28319999995</v>
          </cell>
          <cell r="AS38">
            <v>808642.74179999996</v>
          </cell>
          <cell r="AT38">
            <v>820033.32440000004</v>
          </cell>
          <cell r="AU38">
            <v>831522.39410000003</v>
          </cell>
          <cell r="AV38">
            <v>843115.44059999997</v>
          </cell>
          <cell r="AW38">
            <v>854816.66469999996</v>
          </cell>
          <cell r="AX38">
            <v>866629.69319999998</v>
          </cell>
          <cell r="AY38">
            <v>878557.94539999997</v>
          </cell>
          <cell r="AZ38">
            <v>890604.81830000004</v>
          </cell>
          <cell r="BA38">
            <v>969386.38840000005</v>
          </cell>
          <cell r="BB38">
            <v>986705.67310000001</v>
          </cell>
          <cell r="BC38">
            <v>1004324.552</v>
          </cell>
          <cell r="BD38">
            <v>1022245.498</v>
          </cell>
          <cell r="BE38">
            <v>1040471.069</v>
          </cell>
        </row>
        <row r="39">
          <cell r="B39">
            <v>436615.54820000002</v>
          </cell>
          <cell r="C39">
            <v>441840.71139999997</v>
          </cell>
          <cell r="D39">
            <v>447282.36989999999</v>
          </cell>
          <cell r="E39">
            <v>452955.38929999998</v>
          </cell>
          <cell r="F39">
            <v>458863.7709</v>
          </cell>
          <cell r="G39">
            <v>465006.92389999999</v>
          </cell>
          <cell r="H39">
            <v>471356.8958</v>
          </cell>
          <cell r="I39">
            <v>477901.48759999999</v>
          </cell>
          <cell r="J39">
            <v>484634.90960000001</v>
          </cell>
          <cell r="K39">
            <v>491554.07900000003</v>
          </cell>
          <cell r="L39">
            <v>498702.19469999999</v>
          </cell>
          <cell r="M39">
            <v>506049.7978</v>
          </cell>
          <cell r="N39">
            <v>513585.8787</v>
          </cell>
          <cell r="O39">
            <v>521306.7268</v>
          </cell>
          <cell r="P39">
            <v>529211.13500000001</v>
          </cell>
          <cell r="Q39">
            <v>537298.83059999999</v>
          </cell>
          <cell r="R39">
            <v>545569.96219999995</v>
          </cell>
          <cell r="S39">
            <v>554024.91009999998</v>
          </cell>
          <cell r="T39">
            <v>562664.1862</v>
          </cell>
          <cell r="U39">
            <v>571488.35739999998</v>
          </cell>
          <cell r="V39">
            <v>580464.20880000002</v>
          </cell>
          <cell r="W39">
            <v>589613.75309999997</v>
          </cell>
          <cell r="X39">
            <v>598945.46939999994</v>
          </cell>
          <cell r="Y39">
            <v>608462.52529999998</v>
          </cell>
          <cell r="Z39">
            <v>618166.2611</v>
          </cell>
          <cell r="AA39">
            <v>627958.91440000001</v>
          </cell>
          <cell r="AB39">
            <v>637856.65659999999</v>
          </cell>
          <cell r="AC39">
            <v>647865.41639999999</v>
          </cell>
          <cell r="AD39">
            <v>657986.82149999996</v>
          </cell>
          <cell r="AE39">
            <v>668221.42630000005</v>
          </cell>
          <cell r="AF39">
            <v>678569.69369999995</v>
          </cell>
          <cell r="AG39">
            <v>689032.21979999996</v>
          </cell>
          <cell r="AH39">
            <v>699609.72919999994</v>
          </cell>
          <cell r="AI39">
            <v>710303.02549999999</v>
          </cell>
          <cell r="AJ39">
            <v>721112.95909999998</v>
          </cell>
          <cell r="AK39">
            <v>732040.42279999994</v>
          </cell>
          <cell r="AL39">
            <v>743062.25219999999</v>
          </cell>
          <cell r="AM39">
            <v>754170.49650000001</v>
          </cell>
          <cell r="AN39">
            <v>765363.03</v>
          </cell>
          <cell r="AO39">
            <v>776639.95310000004</v>
          </cell>
          <cell r="AP39">
            <v>788002.4425</v>
          </cell>
          <cell r="AQ39">
            <v>799452.36410000001</v>
          </cell>
          <cell r="AR39">
            <v>810992.10690000001</v>
          </cell>
          <cell r="AS39">
            <v>822624.47660000005</v>
          </cell>
          <cell r="AT39">
            <v>834352.6102</v>
          </cell>
          <cell r="AU39">
            <v>846179.90619999997</v>
          </cell>
          <cell r="AV39">
            <v>858112.16440000001</v>
          </cell>
          <cell r="AW39">
            <v>870153.98230000003</v>
          </cell>
          <cell r="AX39">
            <v>882309.58490000002</v>
          </cell>
          <cell r="AY39">
            <v>894583.11300000001</v>
          </cell>
          <cell r="AZ39">
            <v>906978.71189999999</v>
          </cell>
          <cell r="BA39">
            <v>974839.33270000003</v>
          </cell>
          <cell r="BB39">
            <v>992423.24210000003</v>
          </cell>
          <cell r="BC39">
            <v>1010309.076</v>
          </cell>
          <cell r="BD39">
            <v>1028499.486</v>
          </cell>
          <cell r="BE39">
            <v>1046997.275</v>
          </cell>
        </row>
        <row r="40">
          <cell r="B40">
            <v>5629.2326579999999</v>
          </cell>
          <cell r="C40">
            <v>5683.3590489999997</v>
          </cell>
          <cell r="D40">
            <v>5736.1047339999996</v>
          </cell>
          <cell r="E40">
            <v>5788.8206840000003</v>
          </cell>
          <cell r="F40">
            <v>5842.4194429999998</v>
          </cell>
          <cell r="G40">
            <v>5897.536591</v>
          </cell>
          <cell r="H40">
            <v>5954.3847299999998</v>
          </cell>
          <cell r="I40">
            <v>6013.1152849999999</v>
          </cell>
          <cell r="J40">
            <v>6073.8353020000004</v>
          </cell>
          <cell r="K40">
            <v>6136.606933</v>
          </cell>
          <cell r="L40">
            <v>6201.2373799999996</v>
          </cell>
          <cell r="M40">
            <v>6268.2749949999998</v>
          </cell>
          <cell r="N40">
            <v>6337.9431809999996</v>
          </cell>
          <cell r="O40">
            <v>6410.2793769999998</v>
          </cell>
          <cell r="P40">
            <v>6485.2405509999999</v>
          </cell>
          <cell r="Q40">
            <v>6562.7515590000003</v>
          </cell>
          <cell r="R40">
            <v>6642.6975750000001</v>
          </cell>
          <cell r="S40">
            <v>6724.9759089999998</v>
          </cell>
          <cell r="T40">
            <v>6809.4957569999997</v>
          </cell>
          <cell r="U40">
            <v>6896.1772259999998</v>
          </cell>
          <cell r="V40">
            <v>6984.6752370000004</v>
          </cell>
          <cell r="W40">
            <v>7075.0283129999998</v>
          </cell>
          <cell r="X40">
            <v>7167.2662250000003</v>
          </cell>
          <cell r="Y40">
            <v>7261.4003510000002</v>
          </cell>
          <cell r="Z40">
            <v>7357.436471</v>
          </cell>
          <cell r="AA40">
            <v>7454.5883700000004</v>
          </cell>
          <cell r="AB40">
            <v>7552.7780039999998</v>
          </cell>
          <cell r="AC40">
            <v>7651.9925519999997</v>
          </cell>
          <cell r="AD40">
            <v>7752.2342470000003</v>
          </cell>
          <cell r="AE40">
            <v>7853.520904</v>
          </cell>
          <cell r="AF40">
            <v>7955.8854760000004</v>
          </cell>
          <cell r="AG40">
            <v>8059.3811020000003</v>
          </cell>
          <cell r="AH40">
            <v>8164.0637859999997</v>
          </cell>
          <cell r="AI40">
            <v>8269.9893200000006</v>
          </cell>
          <cell r="AJ40">
            <v>8377.2106600000006</v>
          </cell>
          <cell r="AK40">
            <v>8485.7758389999999</v>
          </cell>
          <cell r="AL40">
            <v>8595.6196149999996</v>
          </cell>
          <cell r="AM40">
            <v>8706.6960529999997</v>
          </cell>
          <cell r="AN40">
            <v>8818.9806310000004</v>
          </cell>
          <cell r="AO40">
            <v>8932.4616920000008</v>
          </cell>
          <cell r="AP40">
            <v>9047.1353390000004</v>
          </cell>
          <cell r="AQ40">
            <v>9163.0170909999997</v>
          </cell>
          <cell r="AR40">
            <v>9280.1200270000008</v>
          </cell>
          <cell r="AS40">
            <v>9398.4557089999998</v>
          </cell>
          <cell r="AT40">
            <v>9518.0345679999991</v>
          </cell>
          <cell r="AU40">
            <v>9638.8656059999994</v>
          </cell>
          <cell r="AV40">
            <v>9761.0241210000004</v>
          </cell>
          <cell r="AW40">
            <v>9884.5559369999992</v>
          </cell>
          <cell r="AX40">
            <v>10009.48674</v>
          </cell>
          <cell r="AY40">
            <v>10135.830169999999</v>
          </cell>
          <cell r="AZ40">
            <v>10263.59231</v>
          </cell>
          <cell r="BA40">
            <v>12147.36292</v>
          </cell>
          <cell r="BB40">
            <v>12363.873009999999</v>
          </cell>
          <cell r="BC40">
            <v>12584.15033</v>
          </cell>
          <cell r="BD40">
            <v>12808.216270000001</v>
          </cell>
          <cell r="BE40">
            <v>13036.09304</v>
          </cell>
        </row>
        <row r="41">
          <cell r="B41">
            <v>5636.5006009999997</v>
          </cell>
          <cell r="C41">
            <v>5702.0388590000002</v>
          </cell>
          <cell r="D41">
            <v>5768.4995099999996</v>
          </cell>
          <cell r="E41">
            <v>5836.3692300000002</v>
          </cell>
          <cell r="F41">
            <v>5906.1353040000004</v>
          </cell>
          <cell r="G41">
            <v>5978.2038709999997</v>
          </cell>
          <cell r="H41">
            <v>6052.6539229999998</v>
          </cell>
          <cell r="I41">
            <v>6129.5525859999998</v>
          </cell>
          <cell r="J41">
            <v>6208.9545179999996</v>
          </cell>
          <cell r="K41">
            <v>6290.8936299999996</v>
          </cell>
          <cell r="L41">
            <v>6375.7834460000004</v>
          </cell>
          <cell r="M41">
            <v>6463.4796189999997</v>
          </cell>
          <cell r="N41">
            <v>6553.8566700000001</v>
          </cell>
          <cell r="O41">
            <v>6646.8237079999999</v>
          </cell>
          <cell r="P41">
            <v>6742.3081099999999</v>
          </cell>
          <cell r="Q41">
            <v>6840.2481120000002</v>
          </cell>
          <cell r="R41">
            <v>6940.5913119999996</v>
          </cell>
          <cell r="S41">
            <v>7043.2950959999998</v>
          </cell>
          <cell r="T41">
            <v>7148.3271199999999</v>
          </cell>
          <cell r="U41">
            <v>7255.665285</v>
          </cell>
          <cell r="V41">
            <v>7364.9974739999998</v>
          </cell>
          <cell r="W41">
            <v>7476.4246830000002</v>
          </cell>
          <cell r="X41">
            <v>7590.0323619999999</v>
          </cell>
          <cell r="Y41">
            <v>7705.8804019999998</v>
          </cell>
          <cell r="Z41">
            <v>7824.0165360000001</v>
          </cell>
          <cell r="AA41">
            <v>7943.6126169999998</v>
          </cell>
          <cell r="AB41">
            <v>8064.5965489999999</v>
          </cell>
          <cell r="AC41">
            <v>8186.9646169999996</v>
          </cell>
          <cell r="AD41">
            <v>8310.7264159999995</v>
          </cell>
          <cell r="AE41">
            <v>8435.9050790000001</v>
          </cell>
          <cell r="AF41">
            <v>8562.5369489999994</v>
          </cell>
          <cell r="AG41">
            <v>8690.6679929999991</v>
          </cell>
          <cell r="AH41">
            <v>8820.3490849999998</v>
          </cell>
          <cell r="AI41">
            <v>8951.6316179999994</v>
          </cell>
          <cell r="AJ41">
            <v>9084.5641149999992</v>
          </cell>
          <cell r="AK41">
            <v>9219.189993</v>
          </cell>
          <cell r="AL41">
            <v>9355.3332190000001</v>
          </cell>
          <cell r="AM41">
            <v>9492.8829110000006</v>
          </cell>
          <cell r="AN41">
            <v>9631.7782179999995</v>
          </cell>
          <cell r="AO41">
            <v>9771.9871910000002</v>
          </cell>
          <cell r="AP41">
            <v>9913.4959699999999</v>
          </cell>
          <cell r="AQ41">
            <v>10056.303309999999</v>
          </cell>
          <cell r="AR41">
            <v>10200.41714</v>
          </cell>
          <cell r="AS41">
            <v>10345.85187</v>
          </cell>
          <cell r="AT41">
            <v>10492.626109999999</v>
          </cell>
          <cell r="AU41">
            <v>10640.760840000001</v>
          </cell>
          <cell r="AV41">
            <v>10790.297350000001</v>
          </cell>
          <cell r="AW41">
            <v>10941.271000000001</v>
          </cell>
          <cell r="AX41">
            <v>11093.712009999999</v>
          </cell>
          <cell r="AY41">
            <v>11247.64739</v>
          </cell>
          <cell r="AZ41">
            <v>11403.10202</v>
          </cell>
          <cell r="BA41">
            <v>12237.932129999999</v>
          </cell>
          <cell r="BB41">
            <v>12459.11011</v>
          </cell>
          <cell r="BC41">
            <v>12684.09014</v>
          </cell>
          <cell r="BD41">
            <v>12912.89061</v>
          </cell>
          <cell r="BE41">
            <v>13145.53176</v>
          </cell>
        </row>
        <row r="42">
          <cell r="B42">
            <v>22367.92468</v>
          </cell>
          <cell r="C42">
            <v>22580.30762</v>
          </cell>
          <cell r="D42">
            <v>22779.747729999999</v>
          </cell>
          <cell r="E42">
            <v>22969.00963</v>
          </cell>
          <cell r="F42">
            <v>23151.125889999999</v>
          </cell>
          <cell r="G42">
            <v>23329.094249999998</v>
          </cell>
          <cell r="H42">
            <v>23504.738580000001</v>
          </cell>
          <cell r="I42">
            <v>23679.748070000001</v>
          </cell>
          <cell r="J42">
            <v>23855.5216</v>
          </cell>
          <cell r="K42">
            <v>24033.107540000001</v>
          </cell>
          <cell r="L42">
            <v>24212.180039999999</v>
          </cell>
          <cell r="M42">
            <v>24395.566999999999</v>
          </cell>
          <cell r="N42">
            <v>24584.64098</v>
          </cell>
          <cell r="O42">
            <v>24780.050630000002</v>
          </cell>
          <cell r="P42">
            <v>24982.134040000001</v>
          </cell>
          <cell r="Q42">
            <v>25191.0769</v>
          </cell>
          <cell r="R42">
            <v>25406.8698</v>
          </cell>
          <cell r="S42">
            <v>25629.492699999999</v>
          </cell>
          <cell r="T42">
            <v>25858.90135</v>
          </cell>
          <cell r="U42">
            <v>26095.024000000001</v>
          </cell>
          <cell r="V42">
            <v>26336.816480000001</v>
          </cell>
          <cell r="W42">
            <v>26584.579180000001</v>
          </cell>
          <cell r="X42">
            <v>26838.437979999999</v>
          </cell>
          <cell r="Y42">
            <v>27098.40049</v>
          </cell>
          <cell r="Z42">
            <v>27364.428510000002</v>
          </cell>
          <cell r="AA42">
            <v>27633.754949999999</v>
          </cell>
          <cell r="AB42">
            <v>27906.255799999999</v>
          </cell>
          <cell r="AC42">
            <v>28181.84318</v>
          </cell>
          <cell r="AD42">
            <v>28460.40912</v>
          </cell>
          <cell r="AE42">
            <v>28741.87357</v>
          </cell>
          <cell r="AF42">
            <v>29026.2022</v>
          </cell>
          <cell r="AG42">
            <v>29313.435219999999</v>
          </cell>
          <cell r="AH42">
            <v>29603.633269999998</v>
          </cell>
          <cell r="AI42">
            <v>29896.876499999998</v>
          </cell>
          <cell r="AJ42">
            <v>30193.259760000001</v>
          </cell>
          <cell r="AK42">
            <v>30492.887569999999</v>
          </cell>
          <cell r="AL42">
            <v>30795.508119999999</v>
          </cell>
          <cell r="AM42">
            <v>31100.986239999998</v>
          </cell>
          <cell r="AN42">
            <v>31409.277180000001</v>
          </cell>
          <cell r="AO42">
            <v>31720.39086</v>
          </cell>
          <cell r="AP42">
            <v>32034.372859999999</v>
          </cell>
          <cell r="AQ42">
            <v>32351.34188</v>
          </cell>
          <cell r="AR42">
            <v>32671.409510000001</v>
          </cell>
          <cell r="AS42">
            <v>32994.689290000002</v>
          </cell>
          <cell r="AT42">
            <v>33321.299299999999</v>
          </cell>
          <cell r="AU42">
            <v>33651.360849999997</v>
          </cell>
          <cell r="AV42">
            <v>33985.223550000002</v>
          </cell>
          <cell r="AW42">
            <v>34323.120260000003</v>
          </cell>
          <cell r="AX42">
            <v>34665.227189999998</v>
          </cell>
          <cell r="AY42">
            <v>35011.695570000003</v>
          </cell>
          <cell r="AZ42">
            <v>35362.663399999998</v>
          </cell>
          <cell r="BA42">
            <v>42085.823779999999</v>
          </cell>
          <cell r="BB42">
            <v>42720.464610000003</v>
          </cell>
          <cell r="BC42">
            <v>43365.87472</v>
          </cell>
          <cell r="BD42">
            <v>44022.131200000003</v>
          </cell>
          <cell r="BE42">
            <v>44689.325839999998</v>
          </cell>
        </row>
        <row r="43">
          <cell r="B43">
            <v>22396.237659999999</v>
          </cell>
          <cell r="C43">
            <v>22651.085579999999</v>
          </cell>
          <cell r="D43">
            <v>22901.104230000001</v>
          </cell>
          <cell r="E43">
            <v>23146.932649999999</v>
          </cell>
          <cell r="F43">
            <v>23390.655599999998</v>
          </cell>
          <cell r="G43">
            <v>23634.72622</v>
          </cell>
          <cell r="H43">
            <v>23880.57531</v>
          </cell>
          <cell r="I43">
            <v>24129.560649999999</v>
          </cell>
          <cell r="J43">
            <v>24382.798419999999</v>
          </cell>
          <cell r="K43">
            <v>24641.120930000001</v>
          </cell>
          <cell r="L43">
            <v>24906.540550000002</v>
          </cell>
          <cell r="M43">
            <v>25178.835210000001</v>
          </cell>
          <cell r="N43">
            <v>25457.901610000001</v>
          </cell>
          <cell r="O43">
            <v>25743.7124</v>
          </cell>
          <cell r="P43">
            <v>26036.24092</v>
          </cell>
          <cell r="Q43">
            <v>26335.439699999999</v>
          </cell>
          <cell r="R43">
            <v>26641.24208</v>
          </cell>
          <cell r="S43">
            <v>26953.56997</v>
          </cell>
          <cell r="T43">
            <v>27272.3416</v>
          </cell>
          <cell r="U43">
            <v>27597.47741</v>
          </cell>
          <cell r="V43">
            <v>27927.847000000002</v>
          </cell>
          <cell r="W43">
            <v>28263.846679999999</v>
          </cell>
          <cell r="X43">
            <v>28605.690569999999</v>
          </cell>
          <cell r="Y43">
            <v>28953.473310000001</v>
          </cell>
          <cell r="Z43">
            <v>29307.246920000001</v>
          </cell>
          <cell r="AA43">
            <v>29663.995640000001</v>
          </cell>
          <cell r="AB43">
            <v>30023.641619999999</v>
          </cell>
          <cell r="AC43">
            <v>30386.161660000002</v>
          </cell>
          <cell r="AD43">
            <v>30751.512119999999</v>
          </cell>
          <cell r="AE43">
            <v>31119.67526</v>
          </cell>
          <cell r="AF43">
            <v>31490.67697</v>
          </cell>
          <cell r="AG43">
            <v>31864.585849999999</v>
          </cell>
          <cell r="AH43">
            <v>32241.504959999998</v>
          </cell>
          <cell r="AI43">
            <v>32621.561949999999</v>
          </cell>
          <cell r="AJ43">
            <v>33004.900119999998</v>
          </cell>
          <cell r="AK43">
            <v>33391.671069999997</v>
          </cell>
          <cell r="AL43">
            <v>33781.29019</v>
          </cell>
          <cell r="AM43">
            <v>34173.489880000001</v>
          </cell>
          <cell r="AN43">
            <v>34568.183040000004</v>
          </cell>
          <cell r="AO43">
            <v>34965.37156</v>
          </cell>
          <cell r="AP43">
            <v>35365.108749999999</v>
          </cell>
          <cell r="AQ43">
            <v>35767.483639999999</v>
          </cell>
          <cell r="AR43">
            <v>36172.612179999996</v>
          </cell>
          <cell r="AS43">
            <v>36580.63061</v>
          </cell>
          <cell r="AT43">
            <v>36991.689160000002</v>
          </cell>
          <cell r="AU43">
            <v>37405.945419999996</v>
          </cell>
          <cell r="AV43">
            <v>37823.619850000003</v>
          </cell>
          <cell r="AW43">
            <v>38244.900479999997</v>
          </cell>
          <cell r="AX43">
            <v>38669.9496</v>
          </cell>
          <cell r="AY43">
            <v>39098.935169999997</v>
          </cell>
          <cell r="AZ43">
            <v>39532.037450000003</v>
          </cell>
          <cell r="BA43">
            <v>42263.765290000003</v>
          </cell>
          <cell r="BB43">
            <v>42902.801449999999</v>
          </cell>
          <cell r="BC43">
            <v>43552.226329999998</v>
          </cell>
          <cell r="BD43">
            <v>44212.114000000001</v>
          </cell>
          <cell r="BE43">
            <v>44882.554239999998</v>
          </cell>
        </row>
        <row r="44">
          <cell r="B44">
            <v>1606.6588220000001</v>
          </cell>
          <cell r="C44">
            <v>1621.9919580000001</v>
          </cell>
          <cell r="D44">
            <v>1636.146659</v>
          </cell>
          <cell r="E44">
            <v>1649.3127019999999</v>
          </cell>
          <cell r="F44">
            <v>1661.751796</v>
          </cell>
          <cell r="G44">
            <v>1673.7308760000001</v>
          </cell>
          <cell r="H44">
            <v>1685.4331</v>
          </cell>
          <cell r="I44">
            <v>1697.0189929999999</v>
          </cell>
          <cell r="J44">
            <v>1708.617835</v>
          </cell>
          <cell r="K44">
            <v>1720.3287909999999</v>
          </cell>
          <cell r="L44">
            <v>1732.1534449999999</v>
          </cell>
          <cell r="M44">
            <v>1744.2980500000001</v>
          </cell>
          <cell r="N44">
            <v>1756.866276</v>
          </cell>
          <cell r="O44">
            <v>1769.912738</v>
          </cell>
          <cell r="P44">
            <v>1783.469887</v>
          </cell>
          <cell r="Q44">
            <v>1797.5580379999999</v>
          </cell>
          <cell r="R44">
            <v>1812.1830950000001</v>
          </cell>
          <cell r="S44">
            <v>1827.3481260000001</v>
          </cell>
          <cell r="T44">
            <v>1843.0524849999999</v>
          </cell>
          <cell r="U44">
            <v>1859.291933</v>
          </cell>
          <cell r="V44">
            <v>1876.0002460000001</v>
          </cell>
          <cell r="W44">
            <v>1893.1929950000001</v>
          </cell>
          <cell r="X44">
            <v>1910.8723970000001</v>
          </cell>
          <cell r="Y44">
            <v>1929.033273</v>
          </cell>
          <cell r="Z44">
            <v>1947.6675299999999</v>
          </cell>
          <cell r="AA44">
            <v>1966.597031</v>
          </cell>
          <cell r="AB44">
            <v>1985.8068129999999</v>
          </cell>
          <cell r="AC44">
            <v>2005.2796330000001</v>
          </cell>
          <cell r="AD44">
            <v>2024.9973210000001</v>
          </cell>
          <cell r="AE44">
            <v>2044.9445040000001</v>
          </cell>
          <cell r="AF44">
            <v>2065.1097209999998</v>
          </cell>
          <cell r="AG44">
            <v>2085.487126</v>
          </cell>
          <cell r="AH44">
            <v>2106.07305</v>
          </cell>
          <cell r="AI44">
            <v>2126.8659750000002</v>
          </cell>
          <cell r="AJ44">
            <v>2147.8661929999998</v>
          </cell>
          <cell r="AK44">
            <v>2169.0754019999999</v>
          </cell>
          <cell r="AL44">
            <v>2190.4735839999998</v>
          </cell>
          <cell r="AM44">
            <v>2212.0482900000002</v>
          </cell>
          <cell r="AN44">
            <v>2233.7928019999999</v>
          </cell>
          <cell r="AO44">
            <v>2255.7042369999999</v>
          </cell>
          <cell r="AP44">
            <v>2277.782631</v>
          </cell>
          <cell r="AQ44">
            <v>2300.0333869999999</v>
          </cell>
          <cell r="AR44">
            <v>2322.4622690000001</v>
          </cell>
          <cell r="AS44">
            <v>2345.076055</v>
          </cell>
          <cell r="AT44">
            <v>2367.8826060000001</v>
          </cell>
          <cell r="AU44">
            <v>2390.8906670000001</v>
          </cell>
          <cell r="AV44">
            <v>2414.1237839999999</v>
          </cell>
          <cell r="AW44">
            <v>2437.5985249999999</v>
          </cell>
          <cell r="AX44">
            <v>2461.3287</v>
          </cell>
          <cell r="AY44">
            <v>2485.3271319999999</v>
          </cell>
          <cell r="AZ44">
            <v>2509.6062219999999</v>
          </cell>
          <cell r="BA44">
            <v>2954.5719279999998</v>
          </cell>
          <cell r="BB44">
            <v>2997.2094339999999</v>
          </cell>
          <cell r="BC44">
            <v>3040.5167059999999</v>
          </cell>
          <cell r="BD44">
            <v>3084.4992379999999</v>
          </cell>
          <cell r="BE44">
            <v>3129.163877</v>
          </cell>
        </row>
        <row r="45">
          <cell r="B45">
            <v>1608.491522</v>
          </cell>
          <cell r="C45">
            <v>1626.5736360000001</v>
          </cell>
          <cell r="D45">
            <v>1644.0226339999999</v>
          </cell>
          <cell r="E45">
            <v>1660.9023380000001</v>
          </cell>
          <cell r="F45">
            <v>1677.42345</v>
          </cell>
          <cell r="G45">
            <v>1693.8208159999999</v>
          </cell>
          <cell r="H45">
            <v>1710.24918</v>
          </cell>
          <cell r="I45">
            <v>1726.841426</v>
          </cell>
          <cell r="J45">
            <v>1743.700685</v>
          </cell>
          <cell r="K45">
            <v>1760.9023810000001</v>
          </cell>
          <cell r="L45">
            <v>1778.588675</v>
          </cell>
          <cell r="M45">
            <v>1796.7584139999999</v>
          </cell>
          <cell r="N45">
            <v>1815.416759</v>
          </cell>
          <cell r="O45">
            <v>1834.5696600000001</v>
          </cell>
          <cell r="P45">
            <v>1854.2198800000001</v>
          </cell>
          <cell r="Q45">
            <v>1874.366518</v>
          </cell>
          <cell r="R45">
            <v>1895.0057019999999</v>
          </cell>
          <cell r="S45">
            <v>1916.1314789999999</v>
          </cell>
          <cell r="T45">
            <v>1937.7365669999999</v>
          </cell>
          <cell r="U45">
            <v>1959.812936</v>
          </cell>
          <cell r="V45">
            <v>1982.2863279999999</v>
          </cell>
          <cell r="W45">
            <v>2005.1769179999999</v>
          </cell>
          <cell r="X45">
            <v>2028.4914490000001</v>
          </cell>
          <cell r="Y45">
            <v>2052.2298430000001</v>
          </cell>
          <cell r="Z45">
            <v>2076.3899219999998</v>
          </cell>
          <cell r="AA45">
            <v>2100.7782980000002</v>
          </cell>
          <cell r="AB45">
            <v>2125.3847820000001</v>
          </cell>
          <cell r="AC45">
            <v>2150.197831</v>
          </cell>
          <cell r="AD45">
            <v>2175.2050530000001</v>
          </cell>
          <cell r="AE45">
            <v>2200.3969419999999</v>
          </cell>
          <cell r="AF45">
            <v>2225.767977</v>
          </cell>
          <cell r="AG45">
            <v>2251.3164069999998</v>
          </cell>
          <cell r="AH45">
            <v>2277.0435889999999</v>
          </cell>
          <cell r="AI45">
            <v>2302.9532370000002</v>
          </cell>
          <cell r="AJ45">
            <v>2329.0507670000002</v>
          </cell>
          <cell r="AK45">
            <v>2355.342752</v>
          </cell>
          <cell r="AL45">
            <v>2381.790297</v>
          </cell>
          <cell r="AM45">
            <v>2408.3748860000001</v>
          </cell>
          <cell r="AN45">
            <v>2435.0886390000001</v>
          </cell>
          <cell r="AO45">
            <v>2461.9291349999999</v>
          </cell>
          <cell r="AP45">
            <v>2488.8975070000001</v>
          </cell>
          <cell r="AQ45">
            <v>2515.9976569999999</v>
          </cell>
          <cell r="AR45">
            <v>2543.2357670000001</v>
          </cell>
          <cell r="AS45">
            <v>2570.619862</v>
          </cell>
          <cell r="AT45">
            <v>2598.1593809999999</v>
          </cell>
          <cell r="AU45">
            <v>2625.864791</v>
          </cell>
          <cell r="AV45">
            <v>2653.7513990000002</v>
          </cell>
          <cell r="AW45">
            <v>2681.8330959999998</v>
          </cell>
          <cell r="AX45">
            <v>2710.1230350000001</v>
          </cell>
          <cell r="AY45">
            <v>2738.6339950000001</v>
          </cell>
          <cell r="AZ45">
            <v>2767.3784519999999</v>
          </cell>
          <cell r="BA45">
            <v>2960.7927679999998</v>
          </cell>
          <cell r="BB45">
            <v>3003.4283660000001</v>
          </cell>
          <cell r="BC45">
            <v>3046.7030380000001</v>
          </cell>
          <cell r="BD45">
            <v>3090.6219099999998</v>
          </cell>
          <cell r="BE45">
            <v>3135.1914139999999</v>
          </cell>
        </row>
        <row r="46">
          <cell r="B46">
            <v>533.85308169999996</v>
          </cell>
          <cell r="C46">
            <v>539.17037870000001</v>
          </cell>
          <cell r="D46">
            <v>544.31455410000001</v>
          </cell>
          <cell r="E46">
            <v>549.3313339</v>
          </cell>
          <cell r="F46">
            <v>554.26266050000004</v>
          </cell>
          <cell r="G46">
            <v>559.15205860000003</v>
          </cell>
          <cell r="H46">
            <v>564.01851780000004</v>
          </cell>
          <cell r="I46">
            <v>568.8842965</v>
          </cell>
          <cell r="J46">
            <v>573.77045559999999</v>
          </cell>
          <cell r="K46">
            <v>578.69218550000005</v>
          </cell>
          <cell r="L46">
            <v>583.63821889999997</v>
          </cell>
          <cell r="M46">
            <v>588.65931369999998</v>
          </cell>
          <cell r="N46">
            <v>593.77747199999999</v>
          </cell>
          <cell r="O46">
            <v>599.00130060000004</v>
          </cell>
          <cell r="P46">
            <v>604.33518389999995</v>
          </cell>
          <cell r="Q46">
            <v>609.78234020000002</v>
          </cell>
          <cell r="R46">
            <v>615.34374379999997</v>
          </cell>
          <cell r="S46">
            <v>621.02065579999999</v>
          </cell>
          <cell r="T46">
            <v>626.8143566</v>
          </cell>
          <cell r="U46">
            <v>632.72594670000001</v>
          </cell>
          <cell r="V46">
            <v>638.72983839999995</v>
          </cell>
          <cell r="W46">
            <v>644.83717230000002</v>
          </cell>
          <cell r="X46">
            <v>651.05637760000002</v>
          </cell>
          <cell r="Y46">
            <v>657.39247330000001</v>
          </cell>
          <cell r="Z46">
            <v>663.84884320000003</v>
          </cell>
          <cell r="AA46">
            <v>670.35281529999997</v>
          </cell>
          <cell r="AB46">
            <v>676.90147579999996</v>
          </cell>
          <cell r="AC46">
            <v>683.49739260000001</v>
          </cell>
          <cell r="AD46">
            <v>690.14314339999999</v>
          </cell>
          <cell r="AE46">
            <v>696.84169210000005</v>
          </cell>
          <cell r="AF46">
            <v>703.59674040000004</v>
          </cell>
          <cell r="AG46">
            <v>710.41322090000006</v>
          </cell>
          <cell r="AH46">
            <v>717.2964369</v>
          </cell>
          <cell r="AI46">
            <v>724.25188430000003</v>
          </cell>
          <cell r="AJ46">
            <v>731.28509840000004</v>
          </cell>
          <cell r="AK46">
            <v>738.40154940000002</v>
          </cell>
          <cell r="AL46">
            <v>745.5933986</v>
          </cell>
          <cell r="AM46">
            <v>752.85739579999995</v>
          </cell>
          <cell r="AN46">
            <v>760.19383800000003</v>
          </cell>
          <cell r="AO46">
            <v>767.60485000000006</v>
          </cell>
          <cell r="AP46">
            <v>775.09347449999996</v>
          </cell>
          <cell r="AQ46">
            <v>782.66398830000003</v>
          </cell>
          <cell r="AR46">
            <v>790.32057999999995</v>
          </cell>
          <cell r="AS46">
            <v>798.06732320000003</v>
          </cell>
          <cell r="AT46">
            <v>805.90816010000003</v>
          </cell>
          <cell r="AU46">
            <v>813.84686269999997</v>
          </cell>
          <cell r="AV46">
            <v>821.89126429999999</v>
          </cell>
          <cell r="AW46">
            <v>830.04725989999997</v>
          </cell>
          <cell r="AX46">
            <v>838.31941519999998</v>
          </cell>
          <cell r="AY46">
            <v>846.7114914</v>
          </cell>
          <cell r="AZ46">
            <v>855.22670789999995</v>
          </cell>
          <cell r="BA46">
            <v>998.87981119999995</v>
          </cell>
          <cell r="BB46">
            <v>1013.927822</v>
          </cell>
          <cell r="BC46">
            <v>1029.2544969999999</v>
          </cell>
          <cell r="BD46">
            <v>1044.8615030000001</v>
          </cell>
          <cell r="BE46">
            <v>1060.750681</v>
          </cell>
        </row>
        <row r="47">
          <cell r="B47">
            <v>534.41030230000001</v>
          </cell>
          <cell r="C47">
            <v>540.57482110000001</v>
          </cell>
          <cell r="D47">
            <v>546.73872779999999</v>
          </cell>
          <cell r="E47">
            <v>552.90613189999999</v>
          </cell>
          <cell r="F47">
            <v>559.09678580000002</v>
          </cell>
          <cell r="G47">
            <v>565.33982260000005</v>
          </cell>
          <cell r="H47">
            <v>571.64426060000005</v>
          </cell>
          <cell r="I47">
            <v>578.02510210000003</v>
          </cell>
          <cell r="J47">
            <v>584.4983866</v>
          </cell>
          <cell r="K47">
            <v>591.07767890000002</v>
          </cell>
          <cell r="L47">
            <v>597.81247429999996</v>
          </cell>
          <cell r="M47">
            <v>604.69444390000001</v>
          </cell>
          <cell r="N47">
            <v>611.71704820000002</v>
          </cell>
          <cell r="O47">
            <v>618.87722659999997</v>
          </cell>
          <cell r="P47">
            <v>626.17335700000001</v>
          </cell>
          <cell r="Q47">
            <v>633.60424680000006</v>
          </cell>
          <cell r="R47">
            <v>641.16884589999995</v>
          </cell>
          <cell r="S47">
            <v>648.86624449999999</v>
          </cell>
          <cell r="T47">
            <v>656.69574820000003</v>
          </cell>
          <cell r="U47">
            <v>664.65695200000005</v>
          </cell>
          <cell r="V47">
            <v>672.72096120000003</v>
          </cell>
          <cell r="W47">
            <v>680.89951580000002</v>
          </cell>
          <cell r="X47">
            <v>689.20156710000003</v>
          </cell>
          <cell r="Y47">
            <v>697.63260630000002</v>
          </cell>
          <cell r="Z47">
            <v>706.19653259999995</v>
          </cell>
          <cell r="AA47">
            <v>714.81373900000006</v>
          </cell>
          <cell r="AB47">
            <v>723.48095490000003</v>
          </cell>
          <cell r="AC47">
            <v>732.20076700000004</v>
          </cell>
          <cell r="AD47">
            <v>740.97574099999997</v>
          </cell>
          <cell r="AE47">
            <v>749.80874530000006</v>
          </cell>
          <cell r="AF47">
            <v>758.70334379999997</v>
          </cell>
          <cell r="AG47">
            <v>767.6638408</v>
          </cell>
          <cell r="AH47">
            <v>776.69513689999997</v>
          </cell>
          <cell r="AI47">
            <v>785.80252610000002</v>
          </cell>
          <cell r="AJ47">
            <v>794.99150029999998</v>
          </cell>
          <cell r="AK47">
            <v>804.26758919999997</v>
          </cell>
          <cell r="AL47">
            <v>813.6164053</v>
          </cell>
          <cell r="AM47">
            <v>823.03114189999997</v>
          </cell>
          <cell r="AN47">
            <v>832.5103163</v>
          </cell>
          <cell r="AO47">
            <v>842.05518440000003</v>
          </cell>
          <cell r="AP47">
            <v>851.66847289999998</v>
          </cell>
          <cell r="AQ47">
            <v>861.35379950000004</v>
          </cell>
          <cell r="AR47">
            <v>871.11537060000001</v>
          </cell>
          <cell r="AS47">
            <v>880.95778310000003</v>
          </cell>
          <cell r="AT47">
            <v>890.88586199999997</v>
          </cell>
          <cell r="AU47">
            <v>900.90449699999999</v>
          </cell>
          <cell r="AV47">
            <v>911.02015180000001</v>
          </cell>
          <cell r="AW47">
            <v>921.2373953</v>
          </cell>
          <cell r="AX47">
            <v>931.55853760000002</v>
          </cell>
          <cell r="AY47">
            <v>941.98692979999998</v>
          </cell>
          <cell r="AZ47">
            <v>952.52775340000005</v>
          </cell>
          <cell r="BA47">
            <v>1007.435973</v>
          </cell>
          <cell r="BB47">
            <v>1022.772274</v>
          </cell>
          <cell r="BC47">
            <v>1038.3784450000001</v>
          </cell>
          <cell r="BD47">
            <v>1054.256204</v>
          </cell>
          <cell r="BE47">
            <v>1070.407559</v>
          </cell>
        </row>
        <row r="48">
          <cell r="B48">
            <v>333.34267629999999</v>
          </cell>
          <cell r="C48">
            <v>336.66727209999999</v>
          </cell>
          <cell r="D48">
            <v>339.88772669999997</v>
          </cell>
          <cell r="E48">
            <v>343.03225420000001</v>
          </cell>
          <cell r="F48">
            <v>346.12592430000001</v>
          </cell>
          <cell r="G48">
            <v>349.19448319999998</v>
          </cell>
          <cell r="H48">
            <v>352.24843700000002</v>
          </cell>
          <cell r="I48">
            <v>355.30056949999999</v>
          </cell>
          <cell r="J48">
            <v>358.36318990000001</v>
          </cell>
          <cell r="K48">
            <v>361.4451947</v>
          </cell>
          <cell r="L48">
            <v>364.53923600000002</v>
          </cell>
          <cell r="M48">
            <v>367.67675930000001</v>
          </cell>
          <cell r="N48">
            <v>370.87128100000001</v>
          </cell>
          <cell r="O48">
            <v>374.12804199999999</v>
          </cell>
          <cell r="P48">
            <v>377.449772</v>
          </cell>
          <cell r="Q48">
            <v>380.83859949999999</v>
          </cell>
          <cell r="R48">
            <v>384.29535249999998</v>
          </cell>
          <cell r="S48">
            <v>387.82112189999998</v>
          </cell>
          <cell r="T48">
            <v>391.41706950000003</v>
          </cell>
          <cell r="U48">
            <v>395.08427899999998</v>
          </cell>
          <cell r="V48">
            <v>398.80726279999999</v>
          </cell>
          <cell r="W48">
            <v>402.59340680000003</v>
          </cell>
          <cell r="X48">
            <v>406.4483573</v>
          </cell>
          <cell r="Y48">
            <v>410.37559249999998</v>
          </cell>
          <cell r="Z48">
            <v>414.37753249999997</v>
          </cell>
          <cell r="AA48">
            <v>418.4093163</v>
          </cell>
          <cell r="AB48">
            <v>422.46953769999999</v>
          </cell>
          <cell r="AC48">
            <v>426.5601264</v>
          </cell>
          <cell r="AD48">
            <v>430.68293740000001</v>
          </cell>
          <cell r="AE48">
            <v>434.83999610000001</v>
          </cell>
          <cell r="AF48">
            <v>439.03372899999999</v>
          </cell>
          <cell r="AG48">
            <v>443.26728220000001</v>
          </cell>
          <cell r="AH48">
            <v>447.54398939999999</v>
          </cell>
          <cell r="AI48">
            <v>451.86726570000002</v>
          </cell>
          <cell r="AJ48">
            <v>456.2405187</v>
          </cell>
          <cell r="AK48">
            <v>460.66709059999999</v>
          </cell>
          <cell r="AL48">
            <v>465.14207390000001</v>
          </cell>
          <cell r="AM48">
            <v>469.66342539999999</v>
          </cell>
          <cell r="AN48">
            <v>474.23128930000001</v>
          </cell>
          <cell r="AO48">
            <v>478.8469255</v>
          </cell>
          <cell r="AP48">
            <v>483.51215130000003</v>
          </cell>
          <cell r="AQ48">
            <v>488.22955409999997</v>
          </cell>
          <cell r="AR48">
            <v>493.00167010000001</v>
          </cell>
          <cell r="AS48">
            <v>497.83096999999998</v>
          </cell>
          <cell r="AT48">
            <v>502.71985069999999</v>
          </cell>
          <cell r="AU48">
            <v>507.67061430000001</v>
          </cell>
          <cell r="AV48">
            <v>512.68811940000001</v>
          </cell>
          <cell r="AW48">
            <v>517.77602320000005</v>
          </cell>
          <cell r="AX48">
            <v>522.93715299999997</v>
          </cell>
          <cell r="AY48">
            <v>528.17383510000002</v>
          </cell>
          <cell r="AZ48">
            <v>533.48806290000005</v>
          </cell>
          <cell r="BA48">
            <v>621.88281159999997</v>
          </cell>
          <cell r="BB48">
            <v>631.22261949999995</v>
          </cell>
          <cell r="BC48">
            <v>640.73759889999997</v>
          </cell>
          <cell r="BD48">
            <v>650.4289172</v>
          </cell>
          <cell r="BE48">
            <v>660.29783580000003</v>
          </cell>
        </row>
        <row r="49">
          <cell r="B49">
            <v>333.68970439999998</v>
          </cell>
          <cell r="C49">
            <v>337.54032910000001</v>
          </cell>
          <cell r="D49">
            <v>341.39183150000002</v>
          </cell>
          <cell r="E49">
            <v>345.2464736</v>
          </cell>
          <cell r="F49">
            <v>349.1159237</v>
          </cell>
          <cell r="G49">
            <v>353.01756089999998</v>
          </cell>
          <cell r="H49">
            <v>356.95628729999999</v>
          </cell>
          <cell r="I49">
            <v>360.94089109999999</v>
          </cell>
          <cell r="J49">
            <v>364.98097130000002</v>
          </cell>
          <cell r="K49">
            <v>369.08473400000003</v>
          </cell>
          <cell r="L49">
            <v>373.28284430000002</v>
          </cell>
          <cell r="M49">
            <v>377.57003370000001</v>
          </cell>
          <cell r="N49">
            <v>381.94227940000002</v>
          </cell>
          <cell r="O49">
            <v>386.3978166</v>
          </cell>
          <cell r="P49">
            <v>390.935834</v>
          </cell>
          <cell r="Q49">
            <v>395.55582450000003</v>
          </cell>
          <cell r="R49">
            <v>400.25739119999997</v>
          </cell>
          <cell r="S49">
            <v>405.04023610000002</v>
          </cell>
          <cell r="T49">
            <v>409.90419789999999</v>
          </cell>
          <cell r="U49">
            <v>414.84929010000002</v>
          </cell>
          <cell r="V49">
            <v>419.85781700000001</v>
          </cell>
          <cell r="W49">
            <v>424.93736960000001</v>
          </cell>
          <cell r="X49">
            <v>430.09374800000001</v>
          </cell>
          <cell r="Y49">
            <v>435.33055669999999</v>
          </cell>
          <cell r="Z49">
            <v>440.65037749999999</v>
          </cell>
          <cell r="AA49">
            <v>446.00389969999998</v>
          </cell>
          <cell r="AB49">
            <v>451.38937229999999</v>
          </cell>
          <cell r="AC49">
            <v>456.8086338</v>
          </cell>
          <cell r="AD49">
            <v>462.26345270000002</v>
          </cell>
          <cell r="AE49">
            <v>467.75574019999999</v>
          </cell>
          <cell r="AF49">
            <v>473.28780389999997</v>
          </cell>
          <cell r="AG49">
            <v>478.86238200000003</v>
          </cell>
          <cell r="AH49">
            <v>484.48255879999999</v>
          </cell>
          <cell r="AI49">
            <v>490.15164199999998</v>
          </cell>
          <cell r="AJ49">
            <v>495.8730458</v>
          </cell>
          <cell r="AK49">
            <v>501.6501955</v>
          </cell>
          <cell r="AL49">
            <v>507.4741373</v>
          </cell>
          <cell r="AM49">
            <v>513.3406612</v>
          </cell>
          <cell r="AN49">
            <v>519.24887890000002</v>
          </cell>
          <cell r="AO49">
            <v>525.19960430000003</v>
          </cell>
          <cell r="AP49">
            <v>531.19456279999997</v>
          </cell>
          <cell r="AQ49">
            <v>537.23603089999995</v>
          </cell>
          <cell r="AR49">
            <v>543.32664939999995</v>
          </cell>
          <cell r="AS49">
            <v>549.46930080000004</v>
          </cell>
          <cell r="AT49">
            <v>555.66700900000001</v>
          </cell>
          <cell r="AU49">
            <v>561.92283659999998</v>
          </cell>
          <cell r="AV49">
            <v>568.24082299999998</v>
          </cell>
          <cell r="AW49">
            <v>574.62382219999995</v>
          </cell>
          <cell r="AX49">
            <v>581.07327769999995</v>
          </cell>
          <cell r="AY49">
            <v>587.59128129999999</v>
          </cell>
          <cell r="AZ49">
            <v>594.18106609999995</v>
          </cell>
          <cell r="BA49">
            <v>627.44819989999996</v>
          </cell>
          <cell r="BB49">
            <v>636.98452870000006</v>
          </cell>
          <cell r="BC49">
            <v>646.69128360000002</v>
          </cell>
          <cell r="BD49">
            <v>656.56967480000003</v>
          </cell>
          <cell r="BE49">
            <v>666.62107909999997</v>
          </cell>
        </row>
        <row r="50">
          <cell r="B50">
            <v>27501.33179</v>
          </cell>
          <cell r="C50">
            <v>27767.35311</v>
          </cell>
          <cell r="D50">
            <v>28017.776539999999</v>
          </cell>
          <cell r="E50">
            <v>28254.98675</v>
          </cell>
          <cell r="F50">
            <v>28482.236639999999</v>
          </cell>
          <cell r="G50">
            <v>28703.113249999999</v>
          </cell>
          <cell r="H50">
            <v>28920.02738</v>
          </cell>
          <cell r="I50">
            <v>29134.978520000001</v>
          </cell>
          <cell r="J50">
            <v>29349.42885</v>
          </cell>
          <cell r="K50">
            <v>29564.22309</v>
          </cell>
          <cell r="L50">
            <v>29779.444589999999</v>
          </cell>
          <cell r="M50">
            <v>29996.690119999999</v>
          </cell>
          <cell r="N50">
            <v>30216.739079999999</v>
          </cell>
          <cell r="O50">
            <v>30439.92671</v>
          </cell>
          <cell r="P50">
            <v>30666.409319999999</v>
          </cell>
          <cell r="Q50">
            <v>30896.264449999999</v>
          </cell>
          <cell r="R50">
            <v>31129.463680000001</v>
          </cell>
          <cell r="S50">
            <v>31365.963299999999</v>
          </cell>
          <cell r="T50">
            <v>31605.72522</v>
          </cell>
          <cell r="U50">
            <v>31848.736099999998</v>
          </cell>
          <cell r="V50">
            <v>32093.965609999999</v>
          </cell>
          <cell r="W50">
            <v>32341.803970000001</v>
          </cell>
          <cell r="X50">
            <v>32592.669870000002</v>
          </cell>
          <cell r="Y50">
            <v>32846.912259999997</v>
          </cell>
          <cell r="Z50">
            <v>33104.853719999999</v>
          </cell>
          <cell r="AA50">
            <v>33363.824200000003</v>
          </cell>
          <cell r="AB50">
            <v>33623.70289</v>
          </cell>
          <cell r="AC50">
            <v>33884.766640000002</v>
          </cell>
          <cell r="AD50">
            <v>34147.386870000002</v>
          </cell>
          <cell r="AE50">
            <v>34411.996010000003</v>
          </cell>
          <cell r="AF50">
            <v>34679.080170000001</v>
          </cell>
          <cell r="AG50">
            <v>34949.181830000001</v>
          </cell>
          <cell r="AH50">
            <v>35222.867610000001</v>
          </cell>
          <cell r="AI50">
            <v>35500.710039999998</v>
          </cell>
          <cell r="AJ50">
            <v>35783.270279999997</v>
          </cell>
          <cell r="AK50">
            <v>36071.08599</v>
          </cell>
          <cell r="AL50">
            <v>36364.091419999997</v>
          </cell>
          <cell r="AM50">
            <v>36662.38839</v>
          </cell>
          <cell r="AN50">
            <v>36966.222119999999</v>
          </cell>
          <cell r="AO50">
            <v>37275.882799999999</v>
          </cell>
          <cell r="AP50">
            <v>37591.658889999999</v>
          </cell>
          <cell r="AQ50">
            <v>37913.841849999997</v>
          </cell>
          <cell r="AR50">
            <v>38242.698799999998</v>
          </cell>
          <cell r="AS50">
            <v>38578.468580000001</v>
          </cell>
          <cell r="AT50">
            <v>38921.356809999997</v>
          </cell>
          <cell r="AU50">
            <v>39271.534540000001</v>
          </cell>
          <cell r="AV50">
            <v>39629.27822</v>
          </cell>
          <cell r="AW50">
            <v>39994.814870000002</v>
          </cell>
          <cell r="AX50">
            <v>40368.316200000001</v>
          </cell>
          <cell r="AY50">
            <v>40749.891060000002</v>
          </cell>
          <cell r="AZ50">
            <v>41139.590069999998</v>
          </cell>
          <cell r="BA50">
            <v>47252.618300000002</v>
          </cell>
          <cell r="BB50">
            <v>47942.582459999998</v>
          </cell>
          <cell r="BC50">
            <v>48648.61911</v>
          </cell>
          <cell r="BD50">
            <v>49370.812539999999</v>
          </cell>
          <cell r="BE50">
            <v>50109.243090000004</v>
          </cell>
        </row>
        <row r="51">
          <cell r="B51">
            <v>27532.502830000001</v>
          </cell>
          <cell r="C51">
            <v>27844.588810000001</v>
          </cell>
          <cell r="D51">
            <v>28148.805400000001</v>
          </cell>
          <cell r="E51">
            <v>28444.014080000001</v>
          </cell>
          <cell r="F51">
            <v>28730.94656</v>
          </cell>
          <cell r="G51">
            <v>29011.463459999999</v>
          </cell>
          <cell r="H51">
            <v>29286.907500000001</v>
          </cell>
          <cell r="I51">
            <v>29558.713469999999</v>
          </cell>
          <cell r="J51">
            <v>29828.150160000001</v>
          </cell>
          <cell r="K51">
            <v>30096.190859999999</v>
          </cell>
          <cell r="L51">
            <v>30365.051520000001</v>
          </cell>
          <cell r="M51">
            <v>30634.734349999999</v>
          </cell>
          <cell r="N51">
            <v>30905.128799999999</v>
          </cell>
          <cell r="O51">
            <v>31176.203809999999</v>
          </cell>
          <cell r="P51">
            <v>31447.97941</v>
          </cell>
          <cell r="Q51">
            <v>31720.50619</v>
          </cell>
          <cell r="R51">
            <v>31993.862209999999</v>
          </cell>
          <cell r="S51">
            <v>32268.15713</v>
          </cell>
          <cell r="T51">
            <v>32543.537120000001</v>
          </cell>
          <cell r="U51">
            <v>32820.18821</v>
          </cell>
          <cell r="V51">
            <v>33097.237860000001</v>
          </cell>
          <cell r="W51">
            <v>33375.301939999998</v>
          </cell>
          <cell r="X51">
            <v>33655.008589999998</v>
          </cell>
          <cell r="Y51">
            <v>33936.89716</v>
          </cell>
          <cell r="Z51">
            <v>34221.461589999999</v>
          </cell>
          <cell r="AA51">
            <v>34506.045039999997</v>
          </cell>
          <cell r="AB51">
            <v>34790.625330000003</v>
          </cell>
          <cell r="AC51">
            <v>35075.55515</v>
          </cell>
          <cell r="AD51">
            <v>35361.258379999999</v>
          </cell>
          <cell r="AE51">
            <v>35648.206539999999</v>
          </cell>
          <cell r="AF51">
            <v>35936.914799999999</v>
          </cell>
          <cell r="AG51">
            <v>36227.930220000002</v>
          </cell>
          <cell r="AH51">
            <v>36521.815560000003</v>
          </cell>
          <cell r="AI51">
            <v>36819.133110000002</v>
          </cell>
          <cell r="AJ51">
            <v>37120.430820000001</v>
          </cell>
          <cell r="AK51">
            <v>37426.231699999997</v>
          </cell>
          <cell r="AL51">
            <v>37736.286079999998</v>
          </cell>
          <cell r="AM51">
            <v>38050.535080000001</v>
          </cell>
          <cell r="AN51">
            <v>38369.092420000001</v>
          </cell>
          <cell r="AO51">
            <v>38692.165560000001</v>
          </cell>
          <cell r="AP51">
            <v>39020.010300000002</v>
          </cell>
          <cell r="AQ51">
            <v>39352.907429999999</v>
          </cell>
          <cell r="AR51">
            <v>39691.149069999999</v>
          </cell>
          <cell r="AS51">
            <v>40035.029069999997</v>
          </cell>
          <cell r="AT51">
            <v>40384.834179999998</v>
          </cell>
          <cell r="AU51">
            <v>40740.831550000003</v>
          </cell>
          <cell r="AV51">
            <v>41103.301209999998</v>
          </cell>
          <cell r="AW51">
            <v>41472.453459999997</v>
          </cell>
          <cell r="AX51">
            <v>41848.424379999997</v>
          </cell>
          <cell r="AY51">
            <v>42231.373930000002</v>
          </cell>
          <cell r="AZ51">
            <v>42621.512069999997</v>
          </cell>
          <cell r="BA51">
            <v>47019.41704</v>
          </cell>
          <cell r="BB51">
            <v>47659.904040000001</v>
          </cell>
          <cell r="BC51">
            <v>48312.506249999999</v>
          </cell>
          <cell r="BD51">
            <v>48977.29161</v>
          </cell>
          <cell r="BE51">
            <v>49654.336730000003</v>
          </cell>
        </row>
        <row r="52">
          <cell r="B52">
            <v>548.09768129999998</v>
          </cell>
          <cell r="C52">
            <v>553.39944890000004</v>
          </cell>
          <cell r="D52">
            <v>558.39035260000003</v>
          </cell>
          <cell r="E52">
            <v>563.11791870000002</v>
          </cell>
          <cell r="F52">
            <v>567.64697720000004</v>
          </cell>
          <cell r="G52">
            <v>572.04901710000001</v>
          </cell>
          <cell r="H52">
            <v>576.37208510000005</v>
          </cell>
          <cell r="I52">
            <v>580.65603109999995</v>
          </cell>
          <cell r="J52">
            <v>584.92999620000001</v>
          </cell>
          <cell r="K52">
            <v>589.21081509999999</v>
          </cell>
          <cell r="L52">
            <v>593.50014950000002</v>
          </cell>
          <cell r="M52">
            <v>597.82982240000001</v>
          </cell>
          <cell r="N52">
            <v>602.21536719999995</v>
          </cell>
          <cell r="O52">
            <v>606.66346529999998</v>
          </cell>
          <cell r="P52">
            <v>611.177232</v>
          </cell>
          <cell r="Q52">
            <v>615.75821250000001</v>
          </cell>
          <cell r="R52">
            <v>620.40584030000002</v>
          </cell>
          <cell r="S52">
            <v>625.1192446</v>
          </cell>
          <cell r="T52">
            <v>629.89766589999999</v>
          </cell>
          <cell r="U52">
            <v>634.74083870000004</v>
          </cell>
          <cell r="V52">
            <v>639.62822840000001</v>
          </cell>
          <cell r="W52">
            <v>644.56761210000002</v>
          </cell>
          <cell r="X52">
            <v>649.56733429999997</v>
          </cell>
          <cell r="Y52">
            <v>654.63434949999998</v>
          </cell>
          <cell r="Z52">
            <v>659.77508660000001</v>
          </cell>
          <cell r="AA52">
            <v>664.93633190000003</v>
          </cell>
          <cell r="AB52">
            <v>670.11567769999999</v>
          </cell>
          <cell r="AC52">
            <v>675.31864150000001</v>
          </cell>
          <cell r="AD52">
            <v>680.55262570000002</v>
          </cell>
          <cell r="AE52">
            <v>685.82624880000003</v>
          </cell>
          <cell r="AF52">
            <v>691.14919870000006</v>
          </cell>
          <cell r="AG52">
            <v>696.53228669999999</v>
          </cell>
          <cell r="AH52">
            <v>701.986806</v>
          </cell>
          <cell r="AI52">
            <v>707.52416659999994</v>
          </cell>
          <cell r="AJ52">
            <v>713.15555259999996</v>
          </cell>
          <cell r="AK52">
            <v>718.89167910000003</v>
          </cell>
          <cell r="AL52">
            <v>724.73123620000001</v>
          </cell>
          <cell r="AM52">
            <v>730.67625290000001</v>
          </cell>
          <cell r="AN52">
            <v>736.73161660000005</v>
          </cell>
          <cell r="AO52">
            <v>742.90311050000003</v>
          </cell>
          <cell r="AP52">
            <v>749.1964835</v>
          </cell>
          <cell r="AQ52">
            <v>755.61754480000002</v>
          </cell>
          <cell r="AR52">
            <v>762.17161750000002</v>
          </cell>
          <cell r="AS52">
            <v>768.86346219999996</v>
          </cell>
          <cell r="AT52">
            <v>775.69717639999999</v>
          </cell>
          <cell r="AU52">
            <v>782.67616940000005</v>
          </cell>
          <cell r="AV52">
            <v>789.80595070000004</v>
          </cell>
          <cell r="AW52">
            <v>797.09104479999996</v>
          </cell>
          <cell r="AX52">
            <v>804.53487389999998</v>
          </cell>
          <cell r="AY52">
            <v>812.13960729999997</v>
          </cell>
          <cell r="AZ52">
            <v>819.90625390000002</v>
          </cell>
          <cell r="BA52">
            <v>941.73804810000001</v>
          </cell>
          <cell r="BB52">
            <v>955.48893710000004</v>
          </cell>
          <cell r="BC52">
            <v>969.56014830000004</v>
          </cell>
          <cell r="BD52">
            <v>983.95336199999997</v>
          </cell>
          <cell r="BE52">
            <v>998.67017920000001</v>
          </cell>
        </row>
        <row r="53">
          <cell r="B53">
            <v>548.71891570000003</v>
          </cell>
          <cell r="C53">
            <v>554.93874549999998</v>
          </cell>
          <cell r="D53">
            <v>561.00173930000005</v>
          </cell>
          <cell r="E53">
            <v>566.88520689999996</v>
          </cell>
          <cell r="F53">
            <v>572.60373089999996</v>
          </cell>
          <cell r="G53">
            <v>578.19439350000005</v>
          </cell>
          <cell r="H53">
            <v>583.68395450000003</v>
          </cell>
          <cell r="I53">
            <v>589.10100929999999</v>
          </cell>
          <cell r="J53">
            <v>594.4708445</v>
          </cell>
          <cell r="K53">
            <v>599.81285820000005</v>
          </cell>
          <cell r="L53">
            <v>605.17121340000006</v>
          </cell>
          <cell r="M53">
            <v>610.54595429999995</v>
          </cell>
          <cell r="N53">
            <v>615.93487770000002</v>
          </cell>
          <cell r="O53">
            <v>621.3373646</v>
          </cell>
          <cell r="P53">
            <v>626.75381419999997</v>
          </cell>
          <cell r="Q53">
            <v>632.18523459999994</v>
          </cell>
          <cell r="R53">
            <v>637.63318179999999</v>
          </cell>
          <cell r="S53">
            <v>643.0998409</v>
          </cell>
          <cell r="T53">
            <v>648.58812539999997</v>
          </cell>
          <cell r="U53">
            <v>654.10174289999998</v>
          </cell>
          <cell r="V53">
            <v>659.62330359999999</v>
          </cell>
          <cell r="W53">
            <v>665.16508169999997</v>
          </cell>
          <cell r="X53">
            <v>670.73959579999996</v>
          </cell>
          <cell r="Y53">
            <v>676.3575955</v>
          </cell>
          <cell r="Z53">
            <v>682.02892459999998</v>
          </cell>
          <cell r="AA53">
            <v>687.70063289999996</v>
          </cell>
          <cell r="AB53">
            <v>693.37227810000002</v>
          </cell>
          <cell r="AC53">
            <v>699.05088929999999</v>
          </cell>
          <cell r="AD53">
            <v>704.74491460000002</v>
          </cell>
          <cell r="AE53">
            <v>710.463751</v>
          </cell>
          <cell r="AF53">
            <v>716.21766609999997</v>
          </cell>
          <cell r="AG53">
            <v>722.01756269999998</v>
          </cell>
          <cell r="AH53">
            <v>727.87465629999997</v>
          </cell>
          <cell r="AI53">
            <v>733.80015330000003</v>
          </cell>
          <cell r="AJ53">
            <v>739.80497430000003</v>
          </cell>
          <cell r="AK53">
            <v>745.89954299999999</v>
          </cell>
          <cell r="AL53">
            <v>752.07888319999995</v>
          </cell>
          <cell r="AM53">
            <v>758.34182169999997</v>
          </cell>
          <cell r="AN53">
            <v>764.69062469999994</v>
          </cell>
          <cell r="AO53">
            <v>771.12942699999996</v>
          </cell>
          <cell r="AP53">
            <v>777.6633266</v>
          </cell>
          <cell r="AQ53">
            <v>784.29791969999997</v>
          </cell>
          <cell r="AR53">
            <v>791.03902800000003</v>
          </cell>
          <cell r="AS53">
            <v>797.89250830000003</v>
          </cell>
          <cell r="AT53">
            <v>804.86407489999999</v>
          </cell>
          <cell r="AU53">
            <v>811.95905249999998</v>
          </cell>
          <cell r="AV53">
            <v>819.18302189999997</v>
          </cell>
          <cell r="AW53">
            <v>826.54017439999996</v>
          </cell>
          <cell r="AX53">
            <v>834.03322219999995</v>
          </cell>
          <cell r="AY53">
            <v>841.66535290000002</v>
          </cell>
          <cell r="AZ53">
            <v>849.44075129999999</v>
          </cell>
          <cell r="BA53">
            <v>937.09037980000005</v>
          </cell>
          <cell r="BB53">
            <v>949.85519580000005</v>
          </cell>
          <cell r="BC53">
            <v>962.86146629999996</v>
          </cell>
          <cell r="BD53">
            <v>976.11054520000005</v>
          </cell>
          <cell r="BE53">
            <v>989.60395930000004</v>
          </cell>
        </row>
        <row r="54">
          <cell r="B54">
            <v>796.47800419999999</v>
          </cell>
          <cell r="C54">
            <v>804.18236320000005</v>
          </cell>
          <cell r="D54">
            <v>811.43498480000005</v>
          </cell>
          <cell r="E54">
            <v>818.30493239999998</v>
          </cell>
          <cell r="F54">
            <v>824.88641529999995</v>
          </cell>
          <cell r="G54">
            <v>831.2833187</v>
          </cell>
          <cell r="H54">
            <v>837.56546270000001</v>
          </cell>
          <cell r="I54">
            <v>843.79075590000002</v>
          </cell>
          <cell r="J54">
            <v>850.00154520000001</v>
          </cell>
          <cell r="K54">
            <v>856.22229419999996</v>
          </cell>
          <cell r="L54">
            <v>862.45541760000003</v>
          </cell>
          <cell r="M54">
            <v>868.74715960000003</v>
          </cell>
          <cell r="N54">
            <v>875.120093</v>
          </cell>
          <cell r="O54">
            <v>881.58392679999997</v>
          </cell>
          <cell r="P54">
            <v>888.14318809999997</v>
          </cell>
          <cell r="Q54">
            <v>894.8001223</v>
          </cell>
          <cell r="R54">
            <v>901.55390620000003</v>
          </cell>
          <cell r="S54">
            <v>908.40327439999999</v>
          </cell>
          <cell r="T54">
            <v>915.34712330000002</v>
          </cell>
          <cell r="U54">
            <v>922.38506700000005</v>
          </cell>
          <cell r="V54">
            <v>929.48726520000002</v>
          </cell>
          <cell r="W54">
            <v>936.66501949999997</v>
          </cell>
          <cell r="X54">
            <v>943.93045570000004</v>
          </cell>
          <cell r="Y54">
            <v>951.29367999999999</v>
          </cell>
          <cell r="Z54">
            <v>958.76403449999998</v>
          </cell>
          <cell r="AA54">
            <v>966.26419099999998</v>
          </cell>
          <cell r="AB54">
            <v>973.79065060000005</v>
          </cell>
          <cell r="AC54">
            <v>981.35143089999997</v>
          </cell>
          <cell r="AD54">
            <v>988.95728929999996</v>
          </cell>
          <cell r="AE54">
            <v>996.62074959999995</v>
          </cell>
          <cell r="AF54">
            <v>1004.35589</v>
          </cell>
          <cell r="AG54">
            <v>1012.178421</v>
          </cell>
          <cell r="AH54">
            <v>1020.104754</v>
          </cell>
          <cell r="AI54">
            <v>1028.1514689999999</v>
          </cell>
          <cell r="AJ54">
            <v>1036.3348189999999</v>
          </cell>
          <cell r="AK54">
            <v>1044.670374</v>
          </cell>
          <cell r="AL54">
            <v>1053.156232</v>
          </cell>
          <cell r="AM54">
            <v>1061.7953399999999</v>
          </cell>
          <cell r="AN54">
            <v>1070.5948000000001</v>
          </cell>
          <cell r="AO54">
            <v>1079.5630180000001</v>
          </cell>
          <cell r="AP54">
            <v>1088.7083459999999</v>
          </cell>
          <cell r="AQ54">
            <v>1098.039227</v>
          </cell>
          <cell r="AR54">
            <v>1107.5633949999999</v>
          </cell>
          <cell r="AS54">
            <v>1117.2877699999999</v>
          </cell>
          <cell r="AT54">
            <v>1127.2183050000001</v>
          </cell>
          <cell r="AU54">
            <v>1137.359954</v>
          </cell>
          <cell r="AV54">
            <v>1147.720724</v>
          </cell>
          <cell r="AW54">
            <v>1158.3071890000001</v>
          </cell>
          <cell r="AX54">
            <v>1169.124323</v>
          </cell>
          <cell r="AY54">
            <v>1180.1752779999999</v>
          </cell>
          <cell r="AZ54">
            <v>1191.4615209999999</v>
          </cell>
          <cell r="BA54">
            <v>1368.503584</v>
          </cell>
          <cell r="BB54">
            <v>1388.4859349999999</v>
          </cell>
          <cell r="BC54">
            <v>1408.933769</v>
          </cell>
          <cell r="BD54">
            <v>1429.8495270000001</v>
          </cell>
          <cell r="BE54">
            <v>1451.2355339999999</v>
          </cell>
        </row>
        <row r="55">
          <cell r="B55">
            <v>797.38076220000005</v>
          </cell>
          <cell r="C55">
            <v>806.41921979999995</v>
          </cell>
          <cell r="D55">
            <v>815.22976830000005</v>
          </cell>
          <cell r="E55">
            <v>823.7794351</v>
          </cell>
          <cell r="F55">
            <v>832.08941110000001</v>
          </cell>
          <cell r="G55">
            <v>840.21358290000001</v>
          </cell>
          <cell r="H55">
            <v>848.1908373</v>
          </cell>
          <cell r="I55">
            <v>856.06272790000003</v>
          </cell>
          <cell r="J55">
            <v>863.86600060000001</v>
          </cell>
          <cell r="K55">
            <v>871.62884380000003</v>
          </cell>
          <cell r="L55">
            <v>879.41543409999997</v>
          </cell>
          <cell r="M55">
            <v>887.22583540000005</v>
          </cell>
          <cell r="N55">
            <v>895.05684640000004</v>
          </cell>
          <cell r="O55">
            <v>902.90756739999995</v>
          </cell>
          <cell r="P55">
            <v>910.77857859999995</v>
          </cell>
          <cell r="Q55">
            <v>918.67134490000001</v>
          </cell>
          <cell r="R55">
            <v>926.58812739999996</v>
          </cell>
          <cell r="S55">
            <v>934.53210139999999</v>
          </cell>
          <cell r="T55">
            <v>942.50750070000004</v>
          </cell>
          <cell r="U55">
            <v>950.51971319999996</v>
          </cell>
          <cell r="V55">
            <v>958.54346840000005</v>
          </cell>
          <cell r="W55">
            <v>966.59660289999999</v>
          </cell>
          <cell r="X55">
            <v>974.69730830000003</v>
          </cell>
          <cell r="Y55">
            <v>982.86120559999995</v>
          </cell>
          <cell r="Z55">
            <v>991.10259959999996</v>
          </cell>
          <cell r="AA55">
            <v>999.34454440000002</v>
          </cell>
          <cell r="AB55">
            <v>1007.586398</v>
          </cell>
          <cell r="AC55">
            <v>1015.838374</v>
          </cell>
          <cell r="AD55">
            <v>1024.1127489999999</v>
          </cell>
          <cell r="AE55">
            <v>1032.4231789999999</v>
          </cell>
          <cell r="AF55">
            <v>1040.784584</v>
          </cell>
          <cell r="AG55">
            <v>1049.212808</v>
          </cell>
          <cell r="AH55">
            <v>1057.7241489999999</v>
          </cell>
          <cell r="AI55">
            <v>1066.3348920000001</v>
          </cell>
          <cell r="AJ55">
            <v>1075.060905</v>
          </cell>
          <cell r="AK55">
            <v>1083.917338</v>
          </cell>
          <cell r="AL55">
            <v>1092.8969569999999</v>
          </cell>
          <cell r="AM55">
            <v>1101.998059</v>
          </cell>
          <cell r="AN55">
            <v>1111.2239360000001</v>
          </cell>
          <cell r="AO55">
            <v>1120.5805969999999</v>
          </cell>
          <cell r="AP55">
            <v>1130.0754509999999</v>
          </cell>
          <cell r="AQ55">
            <v>1139.716629</v>
          </cell>
          <cell r="AR55">
            <v>1149.512592</v>
          </cell>
          <cell r="AS55">
            <v>1159.4718499999999</v>
          </cell>
          <cell r="AT55">
            <v>1169.6027079999999</v>
          </cell>
          <cell r="AU55">
            <v>1179.912902</v>
          </cell>
          <cell r="AV55">
            <v>1190.410543</v>
          </cell>
          <cell r="AW55">
            <v>1201.1017220000001</v>
          </cell>
          <cell r="AX55">
            <v>1211.9903790000001</v>
          </cell>
          <cell r="AY55">
            <v>1223.0811470000001</v>
          </cell>
          <cell r="AZ55">
            <v>1234.380107</v>
          </cell>
          <cell r="BA55">
            <v>1361.7497410000001</v>
          </cell>
          <cell r="BB55">
            <v>1380.2991629999999</v>
          </cell>
          <cell r="BC55">
            <v>1399.1994589999999</v>
          </cell>
          <cell r="BD55">
            <v>1418.4525960000001</v>
          </cell>
          <cell r="BE55">
            <v>1438.060794</v>
          </cell>
        </row>
        <row r="56">
          <cell r="B56">
            <v>723.60477890000004</v>
          </cell>
          <cell r="C56">
            <v>730.60423270000001</v>
          </cell>
          <cell r="D56">
            <v>737.19328040000005</v>
          </cell>
          <cell r="E56">
            <v>743.43466679999995</v>
          </cell>
          <cell r="F56">
            <v>749.41398130000005</v>
          </cell>
          <cell r="G56">
            <v>755.22560420000002</v>
          </cell>
          <cell r="H56">
            <v>760.93296769999995</v>
          </cell>
          <cell r="I56">
            <v>766.58868180000002</v>
          </cell>
          <cell r="J56">
            <v>772.23121909999998</v>
          </cell>
          <cell r="K56">
            <v>777.88280480000003</v>
          </cell>
          <cell r="L56">
            <v>783.54563270000006</v>
          </cell>
          <cell r="M56">
            <v>789.26171590000001</v>
          </cell>
          <cell r="N56">
            <v>795.05156199999999</v>
          </cell>
          <cell r="O56">
            <v>800.92399160000002</v>
          </cell>
          <cell r="P56">
            <v>806.88311769999996</v>
          </cell>
          <cell r="Q56">
            <v>812.93098010000006</v>
          </cell>
          <cell r="R56">
            <v>819.06683109999994</v>
          </cell>
          <cell r="S56">
            <v>825.28952079999999</v>
          </cell>
          <cell r="T56">
            <v>831.59804699999995</v>
          </cell>
          <cell r="U56">
            <v>837.99205870000003</v>
          </cell>
          <cell r="V56">
            <v>844.44444599999997</v>
          </cell>
          <cell r="W56">
            <v>850.96547639999994</v>
          </cell>
          <cell r="X56">
            <v>857.56616640000004</v>
          </cell>
          <cell r="Y56">
            <v>864.25569740000003</v>
          </cell>
          <cell r="Z56">
            <v>871.04255669999998</v>
          </cell>
          <cell r="AA56">
            <v>877.85649139999998</v>
          </cell>
          <cell r="AB56">
            <v>884.6943225</v>
          </cell>
          <cell r="AC56">
            <v>891.56333429999995</v>
          </cell>
          <cell r="AD56">
            <v>898.47329969999998</v>
          </cell>
          <cell r="AE56">
            <v>905.43559679999998</v>
          </cell>
          <cell r="AF56">
            <v>912.46301559999995</v>
          </cell>
          <cell r="AG56">
            <v>919.56982960000005</v>
          </cell>
          <cell r="AH56">
            <v>926.77094780000004</v>
          </cell>
          <cell r="AI56">
            <v>934.08143410000002</v>
          </cell>
          <cell r="AJ56">
            <v>941.51605380000001</v>
          </cell>
          <cell r="AK56">
            <v>949.08895310000003</v>
          </cell>
          <cell r="AL56">
            <v>956.7984027</v>
          </cell>
          <cell r="AM56">
            <v>964.6470812</v>
          </cell>
          <cell r="AN56">
            <v>972.64144109999995</v>
          </cell>
          <cell r="AO56">
            <v>980.78911730000004</v>
          </cell>
          <cell r="AP56">
            <v>989.09769979999999</v>
          </cell>
          <cell r="AQ56">
            <v>997.57485780000002</v>
          </cell>
          <cell r="AR56">
            <v>1006.227619</v>
          </cell>
          <cell r="AS56">
            <v>1015.062268</v>
          </cell>
          <cell r="AT56">
            <v>1024.0842150000001</v>
          </cell>
          <cell r="AU56">
            <v>1033.297961</v>
          </cell>
          <cell r="AV56">
            <v>1042.710779</v>
          </cell>
          <cell r="AW56">
            <v>1052.3286430000001</v>
          </cell>
          <cell r="AX56">
            <v>1062.1560710000001</v>
          </cell>
          <cell r="AY56">
            <v>1072.1959260000001</v>
          </cell>
          <cell r="AZ56">
            <v>1082.449541</v>
          </cell>
          <cell r="BA56">
            <v>1243.2932579999999</v>
          </cell>
          <cell r="BB56">
            <v>1261.4473379999999</v>
          </cell>
          <cell r="BC56">
            <v>1280.0243109999999</v>
          </cell>
          <cell r="BD56">
            <v>1299.0263950000001</v>
          </cell>
          <cell r="BE56">
            <v>1318.455704</v>
          </cell>
        </row>
        <row r="57">
          <cell r="B57">
            <v>724.42493960000002</v>
          </cell>
          <cell r="C57">
            <v>732.63642960000004</v>
          </cell>
          <cell r="D57">
            <v>740.64086280000004</v>
          </cell>
          <cell r="E57">
            <v>748.40828339999996</v>
          </cell>
          <cell r="F57">
            <v>755.95794379999995</v>
          </cell>
          <cell r="G57">
            <v>763.33879990000003</v>
          </cell>
          <cell r="H57">
            <v>770.5861807</v>
          </cell>
          <cell r="I57">
            <v>777.73783790000005</v>
          </cell>
          <cell r="J57">
            <v>784.82715529999996</v>
          </cell>
          <cell r="K57">
            <v>791.87974229999998</v>
          </cell>
          <cell r="L57">
            <v>798.95390380000003</v>
          </cell>
          <cell r="M57">
            <v>806.04969759999994</v>
          </cell>
          <cell r="N57">
            <v>813.16421539999999</v>
          </cell>
          <cell r="O57">
            <v>820.29664000000002</v>
          </cell>
          <cell r="P57">
            <v>827.44749820000004</v>
          </cell>
          <cell r="Q57">
            <v>834.61812110000005</v>
          </cell>
          <cell r="R57">
            <v>841.81056279999996</v>
          </cell>
          <cell r="S57">
            <v>849.02770820000001</v>
          </cell>
          <cell r="T57">
            <v>856.27340370000002</v>
          </cell>
          <cell r="U57">
            <v>863.55254409999998</v>
          </cell>
          <cell r="V57">
            <v>870.84217109999997</v>
          </cell>
          <cell r="W57">
            <v>878.15848949999997</v>
          </cell>
          <cell r="X57">
            <v>885.51802629999997</v>
          </cell>
          <cell r="Y57">
            <v>892.93497319999994</v>
          </cell>
          <cell r="Z57">
            <v>900.42232630000001</v>
          </cell>
          <cell r="AA57">
            <v>907.9101799</v>
          </cell>
          <cell r="AB57">
            <v>915.39795030000005</v>
          </cell>
          <cell r="AC57">
            <v>922.89491720000001</v>
          </cell>
          <cell r="AD57">
            <v>930.41223400000001</v>
          </cell>
          <cell r="AE57">
            <v>937.96230679999996</v>
          </cell>
          <cell r="AF57">
            <v>945.55869080000002</v>
          </cell>
          <cell r="AG57">
            <v>953.21578</v>
          </cell>
          <cell r="AH57">
            <v>960.94838159999995</v>
          </cell>
          <cell r="AI57">
            <v>968.77128990000006</v>
          </cell>
          <cell r="AJ57">
            <v>976.69892279999999</v>
          </cell>
          <cell r="AK57">
            <v>984.74504149999996</v>
          </cell>
          <cell r="AL57">
            <v>992.9030765</v>
          </cell>
          <cell r="AM57">
            <v>1001.171479</v>
          </cell>
          <cell r="AN57">
            <v>1009.553241</v>
          </cell>
          <cell r="AO57">
            <v>1018.053821</v>
          </cell>
          <cell r="AP57">
            <v>1026.6799490000001</v>
          </cell>
          <cell r="AQ57">
            <v>1035.439014</v>
          </cell>
          <cell r="AR57">
            <v>1044.338702</v>
          </cell>
          <cell r="AS57">
            <v>1053.3867439999999</v>
          </cell>
          <cell r="AT57">
            <v>1062.590686</v>
          </cell>
          <cell r="AU57">
            <v>1071.9575560000001</v>
          </cell>
          <cell r="AV57">
            <v>1081.4947219999999</v>
          </cell>
          <cell r="AW57">
            <v>1091.2077180000001</v>
          </cell>
          <cell r="AX57">
            <v>1101.1001249999999</v>
          </cell>
          <cell r="AY57">
            <v>1111.17615</v>
          </cell>
          <cell r="AZ57">
            <v>1121.4413199999999</v>
          </cell>
          <cell r="BA57">
            <v>1237.1573539999999</v>
          </cell>
          <cell r="BB57">
            <v>1254.009609</v>
          </cell>
          <cell r="BC57">
            <v>1271.1806349999999</v>
          </cell>
          <cell r="BD57">
            <v>1288.672219</v>
          </cell>
          <cell r="BE57">
            <v>1306.4863780000001</v>
          </cell>
        </row>
        <row r="58">
          <cell r="B58">
            <v>1424.0414450000001</v>
          </cell>
          <cell r="C58">
            <v>1437.757302</v>
          </cell>
          <cell r="D58">
            <v>1450.602294</v>
          </cell>
          <cell r="E58">
            <v>1462.6959629999999</v>
          </cell>
          <cell r="F58">
            <v>1474.2030970000001</v>
          </cell>
          <cell r="G58">
            <v>1485.305961</v>
          </cell>
          <cell r="H58">
            <v>1496.126242</v>
          </cell>
          <cell r="I58">
            <v>1506.7644190000001</v>
          </cell>
          <cell r="J58">
            <v>1517.2934640000001</v>
          </cell>
          <cell r="K58">
            <v>1527.7547609999999</v>
          </cell>
          <cell r="L58">
            <v>1538.150797</v>
          </cell>
          <cell r="M58">
            <v>1548.5620799999999</v>
          </cell>
          <cell r="N58">
            <v>1559.026537</v>
          </cell>
          <cell r="O58">
            <v>1569.5595249999999</v>
          </cell>
          <cell r="P58">
            <v>1580.167479</v>
          </cell>
          <cell r="Q58">
            <v>1590.8530519999999</v>
          </cell>
          <cell r="R58">
            <v>1601.61373</v>
          </cell>
          <cell r="S58">
            <v>1612.445704</v>
          </cell>
          <cell r="T58">
            <v>1623.3457249999999</v>
          </cell>
          <cell r="U58">
            <v>1634.3120570000001</v>
          </cell>
          <cell r="V58">
            <v>1645.29159</v>
          </cell>
          <cell r="W58">
            <v>1656.3036420000001</v>
          </cell>
          <cell r="X58">
            <v>1667.369119</v>
          </cell>
          <cell r="Y58">
            <v>1678.505484</v>
          </cell>
          <cell r="Z58">
            <v>1689.7289479999999</v>
          </cell>
          <cell r="AA58">
            <v>1700.905137</v>
          </cell>
          <cell r="AB58">
            <v>1712.0286060000001</v>
          </cell>
          <cell r="AC58">
            <v>1723.114462</v>
          </cell>
          <cell r="AD58">
            <v>1734.1825699999999</v>
          </cell>
          <cell r="AE58">
            <v>1745.2558260000001</v>
          </cell>
          <cell r="AF58">
            <v>1756.3597500000001</v>
          </cell>
          <cell r="AG58">
            <v>1767.5225929999999</v>
          </cell>
          <cell r="AH58">
            <v>1778.773897</v>
          </cell>
          <cell r="AI58">
            <v>1790.1433569999999</v>
          </cell>
          <cell r="AJ58">
            <v>1801.659942</v>
          </cell>
          <cell r="AK58">
            <v>1813.3512949999999</v>
          </cell>
          <cell r="AL58">
            <v>1825.215097</v>
          </cell>
          <cell r="AM58">
            <v>1837.259182</v>
          </cell>
          <cell r="AN58">
            <v>1849.4982600000001</v>
          </cell>
          <cell r="AO58">
            <v>1861.949036</v>
          </cell>
          <cell r="AP58">
            <v>1874.627894</v>
          </cell>
          <cell r="AQ58">
            <v>1887.5511349999999</v>
          </cell>
          <cell r="AR58">
            <v>1900.7339549999999</v>
          </cell>
          <cell r="AS58">
            <v>1914.189928</v>
          </cell>
          <cell r="AT58">
            <v>1927.9307699999999</v>
          </cell>
          <cell r="AU58">
            <v>1941.9662969999999</v>
          </cell>
          <cell r="AV58">
            <v>1956.3112169999999</v>
          </cell>
          <cell r="AW58">
            <v>1970.9787329999999</v>
          </cell>
          <cell r="AX58">
            <v>1985.97909</v>
          </cell>
          <cell r="AY58">
            <v>2001.3192340000001</v>
          </cell>
          <cell r="AZ58">
            <v>2017.003064</v>
          </cell>
          <cell r="BA58">
            <v>2311.4076319999999</v>
          </cell>
          <cell r="BB58">
            <v>2341.1783350000001</v>
          </cell>
          <cell r="BC58">
            <v>2371.645669</v>
          </cell>
          <cell r="BD58">
            <v>2402.8138439999998</v>
          </cell>
          <cell r="BE58">
            <v>2434.686631</v>
          </cell>
        </row>
        <row r="59">
          <cell r="B59">
            <v>1425.6555049999999</v>
          </cell>
          <cell r="C59">
            <v>1441.8153930000001</v>
          </cell>
          <cell r="D59">
            <v>1457.5677880000001</v>
          </cell>
          <cell r="E59">
            <v>1472.8537490000001</v>
          </cell>
          <cell r="F59">
            <v>1487.711166</v>
          </cell>
          <cell r="G59">
            <v>1502.236386</v>
          </cell>
          <cell r="H59">
            <v>1516.498936</v>
          </cell>
          <cell r="I59">
            <v>1530.57311</v>
          </cell>
          <cell r="J59">
            <v>1544.5246070000001</v>
          </cell>
          <cell r="K59">
            <v>1558.403826</v>
          </cell>
          <cell r="L59">
            <v>1572.3255099999999</v>
          </cell>
          <cell r="M59">
            <v>1586.2897720000001</v>
          </cell>
          <cell r="N59">
            <v>1600.2908890000001</v>
          </cell>
          <cell r="O59">
            <v>1614.3272529999999</v>
          </cell>
          <cell r="P59">
            <v>1628.3998999999999</v>
          </cell>
          <cell r="Q59">
            <v>1642.51145</v>
          </cell>
          <cell r="R59">
            <v>1656.6659440000001</v>
          </cell>
          <cell r="S59">
            <v>1670.869062</v>
          </cell>
          <cell r="T59">
            <v>1685.128371</v>
          </cell>
          <cell r="U59">
            <v>1699.453505</v>
          </cell>
          <cell r="V59">
            <v>1713.7992810000001</v>
          </cell>
          <cell r="W59">
            <v>1728.1975910000001</v>
          </cell>
          <cell r="X59">
            <v>1742.6809599999999</v>
          </cell>
          <cell r="Y59">
            <v>1757.277315</v>
          </cell>
          <cell r="Z59">
            <v>1772.0122329999999</v>
          </cell>
          <cell r="AA59">
            <v>1786.7481399999999</v>
          </cell>
          <cell r="AB59">
            <v>1801.4838890000001</v>
          </cell>
          <cell r="AC59">
            <v>1816.23774</v>
          </cell>
          <cell r="AD59">
            <v>1831.031643</v>
          </cell>
          <cell r="AE59">
            <v>1845.890013</v>
          </cell>
          <cell r="AF59">
            <v>1860.839526</v>
          </cell>
          <cell r="AG59">
            <v>1875.9085090000001</v>
          </cell>
          <cell r="AH59">
            <v>1891.1261019999999</v>
          </cell>
          <cell r="AI59">
            <v>1906.52142</v>
          </cell>
          <cell r="AJ59">
            <v>1922.122836</v>
          </cell>
          <cell r="AK59">
            <v>1937.957433</v>
          </cell>
          <cell r="AL59">
            <v>1954.012281</v>
          </cell>
          <cell r="AM59">
            <v>1970.2843319999999</v>
          </cell>
          <cell r="AN59">
            <v>1986.7794739999999</v>
          </cell>
          <cell r="AO59">
            <v>2003.5084489999999</v>
          </cell>
          <cell r="AP59">
            <v>2020.4845029999999</v>
          </cell>
          <cell r="AQ59">
            <v>2037.7221750000001</v>
          </cell>
          <cell r="AR59">
            <v>2055.2365909999999</v>
          </cell>
          <cell r="AS59">
            <v>2073.0429669999999</v>
          </cell>
          <cell r="AT59">
            <v>2091.1561499999998</v>
          </cell>
          <cell r="AU59">
            <v>2109.5899749999999</v>
          </cell>
          <cell r="AV59">
            <v>2128.3589400000001</v>
          </cell>
          <cell r="AW59">
            <v>2147.473935</v>
          </cell>
          <cell r="AX59">
            <v>2166.9420070000001</v>
          </cell>
          <cell r="AY59">
            <v>2186.7714369999999</v>
          </cell>
          <cell r="AZ59">
            <v>2206.9730989999998</v>
          </cell>
          <cell r="BA59">
            <v>2348.0538369999999</v>
          </cell>
          <cell r="BB59">
            <v>2379.1126669999999</v>
          </cell>
          <cell r="BC59">
            <v>2410.8315600000001</v>
          </cell>
          <cell r="BD59">
            <v>2443.2137870000001</v>
          </cell>
          <cell r="BE59">
            <v>2476.2628920000002</v>
          </cell>
        </row>
        <row r="60">
          <cell r="B60">
            <v>517.69350489999999</v>
          </cell>
          <cell r="C60">
            <v>522.66382799999997</v>
          </cell>
          <cell r="D60">
            <v>527.30222019999997</v>
          </cell>
          <cell r="E60">
            <v>531.65276679999999</v>
          </cell>
          <cell r="F60">
            <v>535.77596549999998</v>
          </cell>
          <cell r="G60">
            <v>539.73861139999997</v>
          </cell>
          <cell r="H60">
            <v>543.58546539999998</v>
          </cell>
          <cell r="I60">
            <v>547.35354589999997</v>
          </cell>
          <cell r="J60">
            <v>551.06986340000003</v>
          </cell>
          <cell r="K60">
            <v>554.74995569999999</v>
          </cell>
          <cell r="L60">
            <v>558.39525590000005</v>
          </cell>
          <cell r="M60">
            <v>562.03543579999996</v>
          </cell>
          <cell r="N60">
            <v>565.68466909999995</v>
          </cell>
          <cell r="O60">
            <v>569.34894499999996</v>
          </cell>
          <cell r="P60">
            <v>573.03101500000002</v>
          </cell>
          <cell r="Q60">
            <v>576.73225420000006</v>
          </cell>
          <cell r="R60">
            <v>580.45216129999994</v>
          </cell>
          <cell r="S60">
            <v>584.18970790000003</v>
          </cell>
          <cell r="T60">
            <v>587.94406170000002</v>
          </cell>
          <cell r="U60">
            <v>591.71493069999997</v>
          </cell>
          <cell r="V60">
            <v>595.48349069999995</v>
          </cell>
          <cell r="W60">
            <v>599.25703899999996</v>
          </cell>
          <cell r="X60">
            <v>603.04342889999998</v>
          </cell>
          <cell r="Y60">
            <v>606.84925459999999</v>
          </cell>
          <cell r="Z60">
            <v>610.68063959999995</v>
          </cell>
          <cell r="AA60">
            <v>614.48950409999998</v>
          </cell>
          <cell r="AB60">
            <v>618.27419120000002</v>
          </cell>
          <cell r="AC60">
            <v>622.04045380000002</v>
          </cell>
          <cell r="AD60">
            <v>625.79573470000003</v>
          </cell>
          <cell r="AE60">
            <v>629.54854220000004</v>
          </cell>
          <cell r="AF60">
            <v>633.30830319999995</v>
          </cell>
          <cell r="AG60">
            <v>637.08539859999996</v>
          </cell>
          <cell r="AH60">
            <v>640.8906614</v>
          </cell>
          <cell r="AI60">
            <v>644.73495019999996</v>
          </cell>
          <cell r="AJ60">
            <v>648.62883769999996</v>
          </cell>
          <cell r="AK60">
            <v>652.58239319999996</v>
          </cell>
          <cell r="AL60">
            <v>656.59492729999999</v>
          </cell>
          <cell r="AM60">
            <v>660.66949999999997</v>
          </cell>
          <cell r="AN60">
            <v>664.81160890000001</v>
          </cell>
          <cell r="AO60">
            <v>669.0274369</v>
          </cell>
          <cell r="AP60">
            <v>673.32302689999995</v>
          </cell>
          <cell r="AQ60">
            <v>677.70436529999995</v>
          </cell>
          <cell r="AR60">
            <v>682.17703900000004</v>
          </cell>
          <cell r="AS60">
            <v>686.74603030000003</v>
          </cell>
          <cell r="AT60">
            <v>691.41563470000006</v>
          </cell>
          <cell r="AU60">
            <v>696.1894456</v>
          </cell>
          <cell r="AV60">
            <v>701.07278310000004</v>
          </cell>
          <cell r="AW60">
            <v>706.0704806</v>
          </cell>
          <cell r="AX60">
            <v>711.18629229999999</v>
          </cell>
          <cell r="AY60">
            <v>716.42277309999997</v>
          </cell>
          <cell r="AZ60">
            <v>721.78137089999996</v>
          </cell>
          <cell r="BA60">
            <v>826.75095950000002</v>
          </cell>
          <cell r="BB60">
            <v>837.11272180000003</v>
          </cell>
          <cell r="BC60">
            <v>847.72050979999995</v>
          </cell>
          <cell r="BD60">
            <v>858.57579580000004</v>
          </cell>
          <cell r="BE60">
            <v>869.67987830000004</v>
          </cell>
        </row>
        <row r="61">
          <cell r="B61">
            <v>518.28027810000003</v>
          </cell>
          <cell r="C61">
            <v>524.15508039999997</v>
          </cell>
          <cell r="D61">
            <v>529.88174670000001</v>
          </cell>
          <cell r="E61">
            <v>535.43884549999996</v>
          </cell>
          <cell r="F61">
            <v>540.84015050000005</v>
          </cell>
          <cell r="G61">
            <v>546.12068669999996</v>
          </cell>
          <cell r="H61">
            <v>551.30572979999999</v>
          </cell>
          <cell r="I61">
            <v>556.42228880000005</v>
          </cell>
          <cell r="J61">
            <v>561.49424750000003</v>
          </cell>
          <cell r="K61">
            <v>566.53992789999995</v>
          </cell>
          <cell r="L61">
            <v>571.60104349999995</v>
          </cell>
          <cell r="M61">
            <v>576.67763579999996</v>
          </cell>
          <cell r="N61">
            <v>581.76762380000002</v>
          </cell>
          <cell r="O61">
            <v>586.87042299999996</v>
          </cell>
          <cell r="P61">
            <v>591.98641029999999</v>
          </cell>
          <cell r="Q61">
            <v>597.11653799999999</v>
          </cell>
          <cell r="R61">
            <v>602.26227559999995</v>
          </cell>
          <cell r="S61">
            <v>607.42568719999997</v>
          </cell>
          <cell r="T61">
            <v>612.60952459999999</v>
          </cell>
          <cell r="U61">
            <v>617.81728959999998</v>
          </cell>
          <cell r="V61">
            <v>623.03255730000001</v>
          </cell>
          <cell r="W61">
            <v>628.26692079999998</v>
          </cell>
          <cell r="X61">
            <v>633.53220439999996</v>
          </cell>
          <cell r="Y61">
            <v>638.8385614</v>
          </cell>
          <cell r="Z61">
            <v>644.19528949999994</v>
          </cell>
          <cell r="AA61">
            <v>649.55237569999997</v>
          </cell>
          <cell r="AB61">
            <v>654.90940239999998</v>
          </cell>
          <cell r="AC61">
            <v>660.27300860000003</v>
          </cell>
          <cell r="AD61">
            <v>665.6511739</v>
          </cell>
          <cell r="AE61">
            <v>671.052774</v>
          </cell>
          <cell r="AF61">
            <v>676.48750680000001</v>
          </cell>
          <cell r="AG61">
            <v>681.96567040000002</v>
          </cell>
          <cell r="AH61">
            <v>687.49785829999996</v>
          </cell>
          <cell r="AI61">
            <v>693.09465499999999</v>
          </cell>
          <cell r="AJ61">
            <v>698.76637540000002</v>
          </cell>
          <cell r="AK61">
            <v>704.52286509999999</v>
          </cell>
          <cell r="AL61">
            <v>710.35942369999998</v>
          </cell>
          <cell r="AM61">
            <v>716.27494339999998</v>
          </cell>
          <cell r="AN61">
            <v>722.27156439999999</v>
          </cell>
          <cell r="AO61">
            <v>728.35319219999997</v>
          </cell>
          <cell r="AP61">
            <v>734.52464220000002</v>
          </cell>
          <cell r="AQ61">
            <v>740.79119990000004</v>
          </cell>
          <cell r="AR61">
            <v>747.15836420000005</v>
          </cell>
          <cell r="AS61">
            <v>753.63166690000003</v>
          </cell>
          <cell r="AT61">
            <v>760.21650550000004</v>
          </cell>
          <cell r="AU61">
            <v>766.91790920000005</v>
          </cell>
          <cell r="AV61">
            <v>773.74114929999996</v>
          </cell>
          <cell r="AW61">
            <v>780.69018440000002</v>
          </cell>
          <cell r="AX61">
            <v>787.76757650000002</v>
          </cell>
          <cell r="AY61">
            <v>794.97633619999999</v>
          </cell>
          <cell r="AZ61">
            <v>802.32041630000003</v>
          </cell>
          <cell r="BA61">
            <v>843.12812159999999</v>
          </cell>
          <cell r="BB61">
            <v>854.19711310000002</v>
          </cell>
          <cell r="BC61">
            <v>865.50899930000003</v>
          </cell>
          <cell r="BD61">
            <v>877.06487609999999</v>
          </cell>
          <cell r="BE61">
            <v>888.86592389999998</v>
          </cell>
        </row>
        <row r="62">
          <cell r="B62">
            <v>3985.282921</v>
          </cell>
          <cell r="C62">
            <v>4022.5086030000002</v>
          </cell>
          <cell r="D62">
            <v>4056.2553429999998</v>
          </cell>
          <cell r="E62">
            <v>4086.9691560000001</v>
          </cell>
          <cell r="F62">
            <v>4115.2144490000001</v>
          </cell>
          <cell r="G62">
            <v>4141.5957950000002</v>
          </cell>
          <cell r="H62">
            <v>4166.5428609999999</v>
          </cell>
          <cell r="I62">
            <v>4190.4206160000003</v>
          </cell>
          <cell r="J62">
            <v>4213.5124169999999</v>
          </cell>
          <cell r="K62">
            <v>4236.0097610000003</v>
          </cell>
          <cell r="L62">
            <v>4257.9933289999999</v>
          </cell>
          <cell r="M62">
            <v>4279.7514650000003</v>
          </cell>
          <cell r="N62">
            <v>4301.4532220000001</v>
          </cell>
          <cell r="O62">
            <v>4323.2019749999999</v>
          </cell>
          <cell r="P62">
            <v>4345.0728630000003</v>
          </cell>
          <cell r="Q62">
            <v>4367.1269329999996</v>
          </cell>
          <cell r="R62">
            <v>4389.4075830000002</v>
          </cell>
          <cell r="S62">
            <v>4411.9527900000003</v>
          </cell>
          <cell r="T62">
            <v>4434.7984839999999</v>
          </cell>
          <cell r="U62">
            <v>4457.9812279999996</v>
          </cell>
          <cell r="V62">
            <v>4481.3965040000003</v>
          </cell>
          <cell r="W62">
            <v>4505.1309549999996</v>
          </cell>
          <cell r="X62">
            <v>4529.2721819999997</v>
          </cell>
          <cell r="Y62">
            <v>4553.8955260000002</v>
          </cell>
          <cell r="Z62">
            <v>4579.0701120000003</v>
          </cell>
          <cell r="AA62">
            <v>4604.4593450000002</v>
          </cell>
          <cell r="AB62">
            <v>4630.0691550000001</v>
          </cell>
          <cell r="AC62">
            <v>4655.9570050000002</v>
          </cell>
          <cell r="AD62">
            <v>4682.1907600000004</v>
          </cell>
          <cell r="AE62">
            <v>4708.8442290000003</v>
          </cell>
          <cell r="AF62">
            <v>4735.9962560000004</v>
          </cell>
          <cell r="AG62">
            <v>4763.7311749999999</v>
          </cell>
          <cell r="AH62">
            <v>4792.1347040000001</v>
          </cell>
          <cell r="AI62">
            <v>4821.2915059999996</v>
          </cell>
          <cell r="AJ62">
            <v>4851.2830059999997</v>
          </cell>
          <cell r="AK62">
            <v>4882.1858949999996</v>
          </cell>
          <cell r="AL62">
            <v>4913.9952069999999</v>
          </cell>
          <cell r="AM62">
            <v>4946.7281220000004</v>
          </cell>
          <cell r="AN62">
            <v>4980.4196339999999</v>
          </cell>
          <cell r="AO62">
            <v>5015.1095240000004</v>
          </cell>
          <cell r="AP62">
            <v>5050.8362429999997</v>
          </cell>
          <cell r="AQ62">
            <v>5087.6376250000003</v>
          </cell>
          <cell r="AR62">
            <v>5125.5475200000001</v>
          </cell>
          <cell r="AS62">
            <v>5164.5951789999999</v>
          </cell>
          <cell r="AT62">
            <v>5204.8046610000001</v>
          </cell>
          <cell r="AU62">
            <v>5246.1947449999998</v>
          </cell>
          <cell r="AV62">
            <v>5288.7974800000002</v>
          </cell>
          <cell r="AW62">
            <v>5332.638438</v>
          </cell>
          <cell r="AX62">
            <v>5377.7353190000003</v>
          </cell>
          <cell r="AY62">
            <v>5424.0970150000003</v>
          </cell>
          <cell r="AZ62">
            <v>5471.7242880000003</v>
          </cell>
          <cell r="BA62">
            <v>6279.5823499999997</v>
          </cell>
          <cell r="BB62">
            <v>6367.1195879999996</v>
          </cell>
          <cell r="BC62">
            <v>6456.9473399999997</v>
          </cell>
          <cell r="BD62">
            <v>6549.0697090000003</v>
          </cell>
          <cell r="BE62">
            <v>6643.4899400000004</v>
          </cell>
        </row>
        <row r="63">
          <cell r="B63">
            <v>3989.79999</v>
          </cell>
          <cell r="C63">
            <v>4035.0251069999999</v>
          </cell>
          <cell r="D63">
            <v>4079.1098499999998</v>
          </cell>
          <cell r="E63">
            <v>4121.8892379999998</v>
          </cell>
          <cell r="F63">
            <v>4163.4693010000001</v>
          </cell>
          <cell r="G63">
            <v>4204.1196680000003</v>
          </cell>
          <cell r="H63">
            <v>4244.0349139999998</v>
          </cell>
          <cell r="I63">
            <v>4283.4229590000004</v>
          </cell>
          <cell r="J63">
            <v>4322.4676639999998</v>
          </cell>
          <cell r="K63">
            <v>4361.3100759999998</v>
          </cell>
          <cell r="L63">
            <v>4400.2713089999997</v>
          </cell>
          <cell r="M63">
            <v>4439.3516840000002</v>
          </cell>
          <cell r="N63">
            <v>4478.5351819999996</v>
          </cell>
          <cell r="O63">
            <v>4517.8173020000004</v>
          </cell>
          <cell r="P63">
            <v>4557.2009459999999</v>
          </cell>
          <cell r="Q63">
            <v>4596.6934449999999</v>
          </cell>
          <cell r="R63">
            <v>4636.3061120000002</v>
          </cell>
          <cell r="S63">
            <v>4676.0548360000003</v>
          </cell>
          <cell r="T63">
            <v>4715.9607999999998</v>
          </cell>
          <cell r="U63">
            <v>4756.050964</v>
          </cell>
          <cell r="V63">
            <v>4796.198883</v>
          </cell>
          <cell r="W63">
            <v>4836.4938050000001</v>
          </cell>
          <cell r="X63">
            <v>4877.0267549999999</v>
          </cell>
          <cell r="Y63">
            <v>4917.8758939999998</v>
          </cell>
          <cell r="Z63">
            <v>4959.1127969999998</v>
          </cell>
          <cell r="AA63">
            <v>5000.352457</v>
          </cell>
          <cell r="AB63">
            <v>5041.5916589999997</v>
          </cell>
          <cell r="AC63">
            <v>5082.8815109999996</v>
          </cell>
          <cell r="AD63">
            <v>5124.2834409999996</v>
          </cell>
          <cell r="AE63">
            <v>5165.8657759999996</v>
          </cell>
          <cell r="AF63">
            <v>5207.7031710000001</v>
          </cell>
          <cell r="AG63">
            <v>5249.8749029999999</v>
          </cell>
          <cell r="AH63">
            <v>5292.4625230000001</v>
          </cell>
          <cell r="AI63">
            <v>5335.5475109999998</v>
          </cell>
          <cell r="AJ63">
            <v>5379.2092730000004</v>
          </cell>
          <cell r="AK63">
            <v>5423.5236009999999</v>
          </cell>
          <cell r="AL63">
            <v>5468.4543119999998</v>
          </cell>
          <cell r="AM63">
            <v>5513.9928769999997</v>
          </cell>
          <cell r="AN63">
            <v>5560.1557730000004</v>
          </cell>
          <cell r="AO63">
            <v>5606.9730639999998</v>
          </cell>
          <cell r="AP63">
            <v>5654.48182</v>
          </cell>
          <cell r="AQ63">
            <v>5702.7227290000001</v>
          </cell>
          <cell r="AR63">
            <v>5751.7381230000001</v>
          </cell>
          <cell r="AS63">
            <v>5801.5705870000002</v>
          </cell>
          <cell r="AT63">
            <v>5852.2616699999999</v>
          </cell>
          <cell r="AU63">
            <v>5903.8500899999999</v>
          </cell>
          <cell r="AV63">
            <v>5956.376424</v>
          </cell>
          <cell r="AW63">
            <v>6009.8711480000002</v>
          </cell>
          <cell r="AX63">
            <v>6064.353983</v>
          </cell>
          <cell r="AY63">
            <v>6119.8481060000004</v>
          </cell>
          <cell r="AZ63">
            <v>6176.3839459999999</v>
          </cell>
          <cell r="BA63">
            <v>6275.9039229999998</v>
          </cell>
          <cell r="BB63">
            <v>6358.980654</v>
          </cell>
          <cell r="BC63">
            <v>6443.9139329999998</v>
          </cell>
          <cell r="BD63">
            <v>6530.7056890000003</v>
          </cell>
          <cell r="BE63">
            <v>6619.3587230000003</v>
          </cell>
        </row>
        <row r="64">
          <cell r="B64">
            <v>4697.1187159999999</v>
          </cell>
          <cell r="C64">
            <v>4746.4122509999997</v>
          </cell>
          <cell r="D64">
            <v>4794.5034470000001</v>
          </cell>
          <cell r="E64">
            <v>4841.5947159999996</v>
          </cell>
          <cell r="F64">
            <v>4887.9869019999996</v>
          </cell>
          <cell r="G64">
            <v>4934.0304239999996</v>
          </cell>
          <cell r="H64">
            <v>4979.8367070000004</v>
          </cell>
          <cell r="I64">
            <v>5025.5425850000001</v>
          </cell>
          <cell r="J64">
            <v>5071.3089099999997</v>
          </cell>
          <cell r="K64">
            <v>5117.2871450000002</v>
          </cell>
          <cell r="L64">
            <v>5163.5604599999997</v>
          </cell>
          <cell r="M64">
            <v>5210.0107500000004</v>
          </cell>
          <cell r="N64">
            <v>5256.4712520000003</v>
          </cell>
          <cell r="O64">
            <v>5302.8315810000004</v>
          </cell>
          <cell r="P64">
            <v>5349.0456240000003</v>
          </cell>
          <cell r="Q64">
            <v>5395.1109829999996</v>
          </cell>
          <cell r="R64">
            <v>5441.0312290000002</v>
          </cell>
          <cell r="S64">
            <v>5486.8255019999997</v>
          </cell>
          <cell r="T64">
            <v>5532.5223990000004</v>
          </cell>
          <cell r="U64">
            <v>5578.156344</v>
          </cell>
          <cell r="V64">
            <v>5623.5067680000002</v>
          </cell>
          <cell r="W64">
            <v>5668.6947529999998</v>
          </cell>
          <cell r="X64">
            <v>5713.8518819999999</v>
          </cell>
          <cell r="Y64">
            <v>5759.0786049999997</v>
          </cell>
          <cell r="Z64">
            <v>5804.4534309999999</v>
          </cell>
          <cell r="AA64">
            <v>5849.3252149999998</v>
          </cell>
          <cell r="AB64">
            <v>5893.6488010000003</v>
          </cell>
          <cell r="AC64">
            <v>5937.4996309999997</v>
          </cell>
          <cell r="AD64">
            <v>5980.9710459999997</v>
          </cell>
          <cell r="AE64">
            <v>6024.1571450000001</v>
          </cell>
          <cell r="AF64">
            <v>6067.151613</v>
          </cell>
          <cell r="AG64">
            <v>6110.0526090000003</v>
          </cell>
          <cell r="AH64">
            <v>6152.957026</v>
          </cell>
          <cell r="AI64">
            <v>6195.9594829999996</v>
          </cell>
          <cell r="AJ64">
            <v>6239.1513839999998</v>
          </cell>
          <cell r="AK64">
            <v>6282.6202620000004</v>
          </cell>
          <cell r="AL64">
            <v>6326.3289400000003</v>
          </cell>
          <cell r="AM64">
            <v>6370.2743389999996</v>
          </cell>
          <cell r="AN64">
            <v>6414.4903700000004</v>
          </cell>
          <cell r="AO64">
            <v>6459.0282319999997</v>
          </cell>
          <cell r="AP64">
            <v>6503.9446630000002</v>
          </cell>
          <cell r="AQ64">
            <v>6549.3029329999999</v>
          </cell>
          <cell r="AR64">
            <v>6595.1627429999999</v>
          </cell>
          <cell r="AS64">
            <v>6641.5791760000002</v>
          </cell>
          <cell r="AT64">
            <v>6688.6024319999997</v>
          </cell>
          <cell r="AU64">
            <v>6736.2781230000001</v>
          </cell>
          <cell r="AV64">
            <v>6784.6831750000001</v>
          </cell>
          <cell r="AW64">
            <v>6833.8818819999997</v>
          </cell>
          <cell r="AX64">
            <v>6883.9250000000002</v>
          </cell>
          <cell r="AY64">
            <v>6934.8517750000001</v>
          </cell>
          <cell r="AZ64">
            <v>6986.6932059999999</v>
          </cell>
          <cell r="BA64">
            <v>7835.2333630000003</v>
          </cell>
          <cell r="BB64">
            <v>7924.841547</v>
          </cell>
          <cell r="BC64">
            <v>8016.2188239999996</v>
          </cell>
          <cell r="BD64">
            <v>8109.3837100000001</v>
          </cell>
          <cell r="BE64">
            <v>8204.3534830000008</v>
          </cell>
        </row>
        <row r="65">
          <cell r="B65">
            <v>4700.159917</v>
          </cell>
          <cell r="C65">
            <v>4754.0195089999997</v>
          </cell>
          <cell r="D65">
            <v>4807.8055949999998</v>
          </cell>
          <cell r="E65">
            <v>4861.5796309999996</v>
          </cell>
          <cell r="F65">
            <v>4915.5323150000004</v>
          </cell>
          <cell r="G65">
            <v>4969.6303129999997</v>
          </cell>
          <cell r="H65">
            <v>5023.5403409999999</v>
          </cell>
          <cell r="I65">
            <v>5077.0363930000003</v>
          </cell>
          <cell r="J65">
            <v>5130.0244140000004</v>
          </cell>
          <cell r="K65">
            <v>5182.4925549999998</v>
          </cell>
          <cell r="L65">
            <v>5234.8548629999996</v>
          </cell>
          <cell r="M65">
            <v>5287.0341310000003</v>
          </cell>
          <cell r="N65">
            <v>5338.9419520000001</v>
          </cell>
          <cell r="O65">
            <v>5390.537832</v>
          </cell>
          <cell r="P65">
            <v>5441.8151690000004</v>
          </cell>
          <cell r="Q65">
            <v>5492.7857620000004</v>
          </cell>
          <cell r="R65">
            <v>5543.4711509999997</v>
          </cell>
          <cell r="S65">
            <v>5593.898784</v>
          </cell>
          <cell r="T65">
            <v>5644.1006109999998</v>
          </cell>
          <cell r="U65">
            <v>5694.112693</v>
          </cell>
          <cell r="V65">
            <v>5743.7091389999996</v>
          </cell>
          <cell r="W65">
            <v>5793.0164489999997</v>
          </cell>
          <cell r="X65">
            <v>5842.1727709999996</v>
          </cell>
          <cell r="Y65">
            <v>5891.2851929999997</v>
          </cell>
          <cell r="Z65">
            <v>5940.438529</v>
          </cell>
          <cell r="AA65">
            <v>5988.965819</v>
          </cell>
          <cell r="AB65">
            <v>6036.8154430000004</v>
          </cell>
          <cell r="AC65">
            <v>6084.0601569999999</v>
          </cell>
          <cell r="AD65">
            <v>6130.7925649999997</v>
          </cell>
          <cell r="AE65">
            <v>6177.1068539999997</v>
          </cell>
          <cell r="AF65">
            <v>6223.0971010000003</v>
          </cell>
          <cell r="AG65">
            <v>6268.8573489999999</v>
          </cell>
          <cell r="AH65">
            <v>6314.4811159999999</v>
          </cell>
          <cell r="AI65">
            <v>6360.0604569999996</v>
          </cell>
          <cell r="AJ65">
            <v>6405.6849430000002</v>
          </cell>
          <cell r="AK65">
            <v>6451.4408080000003</v>
          </cell>
          <cell r="AL65">
            <v>6497.2455330000003</v>
          </cell>
          <cell r="AM65">
            <v>6543.0632429999996</v>
          </cell>
          <cell r="AN65">
            <v>6588.9088599999995</v>
          </cell>
          <cell r="AO65">
            <v>6634.8275640000002</v>
          </cell>
          <cell r="AP65">
            <v>6680.8804490000002</v>
          </cell>
          <cell r="AQ65">
            <v>6727.1369549999999</v>
          </cell>
          <cell r="AR65">
            <v>6773.6714039999997</v>
          </cell>
          <cell r="AS65">
            <v>6820.5619779999997</v>
          </cell>
          <cell r="AT65">
            <v>6867.891627</v>
          </cell>
          <cell r="AU65">
            <v>6915.7520599999998</v>
          </cell>
          <cell r="AV65">
            <v>6964.2715639999997</v>
          </cell>
          <cell r="AW65">
            <v>7013.4740970000003</v>
          </cell>
          <cell r="AX65">
            <v>7063.3318509999999</v>
          </cell>
          <cell r="AY65">
            <v>7113.8152929999997</v>
          </cell>
          <cell r="AZ65">
            <v>7164.9152180000001</v>
          </cell>
          <cell r="BA65">
            <v>7874.7870460000004</v>
          </cell>
          <cell r="BB65">
            <v>7959.7424099999998</v>
          </cell>
          <cell r="BC65">
            <v>8045.8550219999997</v>
          </cell>
          <cell r="BD65">
            <v>8133.1440060000004</v>
          </cell>
          <cell r="BE65">
            <v>8221.6304949999994</v>
          </cell>
        </row>
        <row r="66">
          <cell r="B66">
            <v>65.099789619999996</v>
          </cell>
          <cell r="C66">
            <v>65.729502109999999</v>
          </cell>
          <cell r="D66">
            <v>66.322292039999994</v>
          </cell>
          <cell r="E66">
            <v>66.883804280000007</v>
          </cell>
          <cell r="F66">
            <v>67.421738970000007</v>
          </cell>
          <cell r="G66">
            <v>67.944587139999996</v>
          </cell>
          <cell r="H66">
            <v>68.4580555</v>
          </cell>
          <cell r="I66">
            <v>68.966877179999997</v>
          </cell>
          <cell r="J66">
            <v>69.474513389999998</v>
          </cell>
          <cell r="K66">
            <v>69.982963659999996</v>
          </cell>
          <cell r="L66">
            <v>70.492425330000003</v>
          </cell>
          <cell r="M66">
            <v>71.006678179999994</v>
          </cell>
          <cell r="N66">
            <v>71.527567169999998</v>
          </cell>
          <cell r="O66">
            <v>72.055885860000004</v>
          </cell>
          <cell r="P66">
            <v>72.592004279999998</v>
          </cell>
          <cell r="Q66">
            <v>73.136105959999995</v>
          </cell>
          <cell r="R66">
            <v>73.688123599999997</v>
          </cell>
          <cell r="S66">
            <v>74.247953789999997</v>
          </cell>
          <cell r="T66">
            <v>74.815506310000004</v>
          </cell>
          <cell r="U66">
            <v>75.390749639999996</v>
          </cell>
          <cell r="V66">
            <v>75.971244780000006</v>
          </cell>
          <cell r="W66">
            <v>76.557915460000004</v>
          </cell>
          <cell r="X66">
            <v>77.151752779999995</v>
          </cell>
          <cell r="Y66">
            <v>77.753582780000002</v>
          </cell>
          <cell r="Z66">
            <v>78.364169020000006</v>
          </cell>
          <cell r="AA66">
            <v>78.977191099999999</v>
          </cell>
          <cell r="AB66">
            <v>79.592363059999997</v>
          </cell>
          <cell r="AC66">
            <v>80.210340220000006</v>
          </cell>
          <cell r="AD66">
            <v>80.8320018</v>
          </cell>
          <cell r="AE66">
            <v>81.458371459999995</v>
          </cell>
          <cell r="AF66">
            <v>82.090599839999996</v>
          </cell>
          <cell r="AG66">
            <v>82.7299711</v>
          </cell>
          <cell r="AH66">
            <v>83.377826529999993</v>
          </cell>
          <cell r="AI66">
            <v>84.035521349999996</v>
          </cell>
          <cell r="AJ66">
            <v>84.704383960000001</v>
          </cell>
          <cell r="AK66">
            <v>85.385687020000006</v>
          </cell>
          <cell r="AL66">
            <v>86.079274960000006</v>
          </cell>
          <cell r="AM66">
            <v>86.785388760000004</v>
          </cell>
          <cell r="AN66">
            <v>87.504608919999995</v>
          </cell>
          <cell r="AO66">
            <v>88.237622329999994</v>
          </cell>
          <cell r="AP66">
            <v>88.985111829999994</v>
          </cell>
          <cell r="AQ66">
            <v>89.747767379999999</v>
          </cell>
          <cell r="AR66">
            <v>90.526221239999998</v>
          </cell>
          <cell r="AS66">
            <v>91.32103884</v>
          </cell>
          <cell r="AT66">
            <v>92.132706850000005</v>
          </cell>
          <cell r="AU66">
            <v>92.961630220000004</v>
          </cell>
          <cell r="AV66">
            <v>93.808463329999995</v>
          </cell>
          <cell r="AW66">
            <v>94.673743569999999</v>
          </cell>
          <cell r="AX66">
            <v>95.557877410000003</v>
          </cell>
          <cell r="AY66">
            <v>96.461122509999996</v>
          </cell>
          <cell r="AZ66">
            <v>97.383598689999999</v>
          </cell>
          <cell r="BA66">
            <v>111.85405609999999</v>
          </cell>
          <cell r="BB66">
            <v>113.4873051</v>
          </cell>
          <cell r="BC66">
            <v>115.1586001</v>
          </cell>
          <cell r="BD66">
            <v>116.8681406</v>
          </cell>
          <cell r="BE66">
            <v>118.6161168</v>
          </cell>
        </row>
        <row r="67">
          <cell r="B67">
            <v>65.173576159999996</v>
          </cell>
          <cell r="C67">
            <v>65.91233063</v>
          </cell>
          <cell r="D67">
            <v>66.632457049999999</v>
          </cell>
          <cell r="E67">
            <v>67.331260409999999</v>
          </cell>
          <cell r="F67">
            <v>68.010472759999999</v>
          </cell>
          <cell r="G67">
            <v>68.674498470000003</v>
          </cell>
          <cell r="H67">
            <v>69.326515950000001</v>
          </cell>
          <cell r="I67">
            <v>69.969921569999997</v>
          </cell>
          <cell r="J67">
            <v>70.607718730000002</v>
          </cell>
          <cell r="K67">
            <v>71.242211400000002</v>
          </cell>
          <cell r="L67">
            <v>71.878645039999995</v>
          </cell>
          <cell r="M67">
            <v>72.517024860000006</v>
          </cell>
          <cell r="N67">
            <v>73.157089200000001</v>
          </cell>
          <cell r="O67">
            <v>73.79876453</v>
          </cell>
          <cell r="P67">
            <v>74.442098270000002</v>
          </cell>
          <cell r="Q67">
            <v>75.087210150000004</v>
          </cell>
          <cell r="R67">
            <v>75.734284979999998</v>
          </cell>
          <cell r="S67">
            <v>76.383582309999994</v>
          </cell>
          <cell r="T67">
            <v>77.035448169999995</v>
          </cell>
          <cell r="U67">
            <v>77.690322929999994</v>
          </cell>
          <cell r="V67">
            <v>78.34614114</v>
          </cell>
          <cell r="W67">
            <v>79.004360640000002</v>
          </cell>
          <cell r="X67">
            <v>79.666468350000002</v>
          </cell>
          <cell r="Y67">
            <v>80.333741009999997</v>
          </cell>
          <cell r="Z67">
            <v>81.007347820000007</v>
          </cell>
          <cell r="AA67">
            <v>81.680999670000006</v>
          </cell>
          <cell r="AB67">
            <v>82.354644030000003</v>
          </cell>
          <cell r="AC67">
            <v>83.029115759999996</v>
          </cell>
          <cell r="AD67">
            <v>83.705418289999997</v>
          </cell>
          <cell r="AE67">
            <v>84.384667739999998</v>
          </cell>
          <cell r="AF67">
            <v>85.068083630000004</v>
          </cell>
          <cell r="AG67">
            <v>85.756960919999997</v>
          </cell>
          <cell r="AH67">
            <v>86.452631740000001</v>
          </cell>
          <cell r="AI67">
            <v>87.156427100000002</v>
          </cell>
          <cell r="AJ67">
            <v>87.869644100000002</v>
          </cell>
          <cell r="AK67">
            <v>88.593520799999993</v>
          </cell>
          <cell r="AL67">
            <v>89.327466150000006</v>
          </cell>
          <cell r="AM67">
            <v>90.071340820000003</v>
          </cell>
          <cell r="AN67">
            <v>90.825413960000006</v>
          </cell>
          <cell r="AO67">
            <v>91.590176679999999</v>
          </cell>
          <cell r="AP67">
            <v>92.366234500000004</v>
          </cell>
          <cell r="AQ67">
            <v>93.154252099999994</v>
          </cell>
          <cell r="AR67">
            <v>93.95492093</v>
          </cell>
          <cell r="AS67">
            <v>94.768936640000007</v>
          </cell>
          <cell r="AT67">
            <v>95.596977940000002</v>
          </cell>
          <cell r="AU67">
            <v>96.439677279999998</v>
          </cell>
          <cell r="AV67">
            <v>97.297697490000004</v>
          </cell>
          <cell r="AW67">
            <v>98.171536399999994</v>
          </cell>
          <cell r="AX67">
            <v>99.061516150000003</v>
          </cell>
          <cell r="AY67">
            <v>99.96801533</v>
          </cell>
          <cell r="AZ67">
            <v>100.891531</v>
          </cell>
          <cell r="BA67">
            <v>111.3020337</v>
          </cell>
          <cell r="BB67">
            <v>112.8181628</v>
          </cell>
          <cell r="BC67">
            <v>114.36297039999999</v>
          </cell>
          <cell r="BD67">
            <v>115.93661729999999</v>
          </cell>
          <cell r="BE67">
            <v>117.53928500000001</v>
          </cell>
        </row>
      </sheetData>
      <sheetData sheetId="6">
        <row r="3">
          <cell r="F3">
            <v>32317.940999999999</v>
          </cell>
          <cell r="G3">
            <v>31912.38783</v>
          </cell>
          <cell r="H3">
            <v>31695.544000000002</v>
          </cell>
          <cell r="I3">
            <v>31609.242139999998</v>
          </cell>
          <cell r="J3">
            <v>31614.876240000001</v>
          </cell>
          <cell r="K3">
            <v>31687.392110000001</v>
          </cell>
          <cell r="L3">
            <v>31806.54536</v>
          </cell>
          <cell r="M3">
            <v>31961.486949999999</v>
          </cell>
          <cell r="N3">
            <v>32144.69184</v>
          </cell>
          <cell r="O3">
            <v>32350.68</v>
          </cell>
          <cell r="P3">
            <v>32579.056280000001</v>
          </cell>
          <cell r="Q3">
            <v>32822.897649999999</v>
          </cell>
          <cell r="R3">
            <v>33080.789830000002</v>
          </cell>
          <cell r="S3">
            <v>33350.890789999998</v>
          </cell>
          <cell r="T3">
            <v>33631.362540000002</v>
          </cell>
          <cell r="U3">
            <v>33920.452310000001</v>
          </cell>
          <cell r="V3">
            <v>34216.364240000003</v>
          </cell>
          <cell r="W3">
            <v>34517.487840000002</v>
          </cell>
          <cell r="X3">
            <v>34822.385990000002</v>
          </cell>
          <cell r="Y3">
            <v>35129.773690000002</v>
          </cell>
          <cell r="Z3">
            <v>35433.695590000003</v>
          </cell>
          <cell r="AA3">
            <v>35738.372009999999</v>
          </cell>
          <cell r="AB3">
            <v>36043.055690000001</v>
          </cell>
          <cell r="AC3">
            <v>36347.193240000001</v>
          </cell>
          <cell r="AD3">
            <v>36650.319089999997</v>
          </cell>
          <cell r="AE3">
            <v>36938.436390000003</v>
          </cell>
          <cell r="AF3">
            <v>37219.563869999998</v>
          </cell>
          <cell r="AG3">
            <v>37494.154090000004</v>
          </cell>
          <cell r="AH3">
            <v>37762.929340000002</v>
          </cell>
          <cell r="AI3">
            <v>38026.686690000002</v>
          </cell>
          <cell r="AJ3">
            <v>38286.197590000003</v>
          </cell>
          <cell r="AK3">
            <v>38542.1976</v>
          </cell>
          <cell r="AL3">
            <v>38795.30917</v>
          </cell>
          <cell r="AM3">
            <v>39046.055419999997</v>
          </cell>
          <cell r="AN3">
            <v>39294.887219999997</v>
          </cell>
          <cell r="AO3">
            <v>39542.203650000003</v>
          </cell>
          <cell r="AP3">
            <v>39785.631179999997</v>
          </cell>
          <cell r="AQ3">
            <v>40025.868349999997</v>
          </cell>
          <cell r="AR3">
            <v>40263.481039999999</v>
          </cell>
          <cell r="AS3">
            <v>40499.051939999998</v>
          </cell>
          <cell r="AT3">
            <v>40733.187810000003</v>
          </cell>
          <cell r="AU3">
            <v>40966.540090000002</v>
          </cell>
          <cell r="AV3">
            <v>41199.672259999999</v>
          </cell>
          <cell r="AW3">
            <v>41433.049579999999</v>
          </cell>
          <cell r="AX3">
            <v>41667.05227</v>
          </cell>
          <cell r="AY3">
            <v>41901.986420000001</v>
          </cell>
          <cell r="AZ3">
            <v>42138.554799999998</v>
          </cell>
          <cell r="BA3">
            <v>42376.991580000002</v>
          </cell>
          <cell r="BB3">
            <v>42617.396699999998</v>
          </cell>
          <cell r="BC3">
            <v>42859.81667</v>
          </cell>
          <cell r="BD3">
            <v>43104.280379999997</v>
          </cell>
          <cell r="BE3">
            <v>46008.79161</v>
          </cell>
          <cell r="BF3">
            <v>46338.604979999996</v>
          </cell>
          <cell r="BG3">
            <v>46669.607629999999</v>
          </cell>
          <cell r="BH3">
            <v>47001.910230000001</v>
          </cell>
          <cell r="BI3">
            <v>47335.641969999997</v>
          </cell>
        </row>
        <row r="4">
          <cell r="F4">
            <v>32271.24</v>
          </cell>
          <cell r="G4">
            <v>31848.242419999999</v>
          </cell>
          <cell r="H4">
            <v>31613.314050000001</v>
          </cell>
          <cell r="I4">
            <v>31508.70837</v>
          </cell>
          <cell r="J4">
            <v>31496.073189999999</v>
          </cell>
          <cell r="K4">
            <v>31550.50088</v>
          </cell>
          <cell r="L4">
            <v>31651.867099999999</v>
          </cell>
          <cell r="M4">
            <v>31789.374790000002</v>
          </cell>
          <cell r="N4">
            <v>31955.53368</v>
          </cell>
          <cell r="O4">
            <v>32144.89</v>
          </cell>
          <cell r="P4">
            <v>32357.036769999999</v>
          </cell>
          <cell r="Q4">
            <v>32585.101910000001</v>
          </cell>
          <cell r="R4">
            <v>32827.679709999997</v>
          </cell>
          <cell r="S4">
            <v>33082.945310000003</v>
          </cell>
          <cell r="T4">
            <v>33349.082249999999</v>
          </cell>
          <cell r="U4">
            <v>33624.362430000001</v>
          </cell>
          <cell r="V4">
            <v>33907.019010000004</v>
          </cell>
          <cell r="W4">
            <v>34195.472990000002</v>
          </cell>
          <cell r="X4">
            <v>34488.320480000002</v>
          </cell>
          <cell r="Y4">
            <v>34784.311399999999</v>
          </cell>
          <cell r="Z4">
            <v>35077.565920000001</v>
          </cell>
          <cell r="AA4">
            <v>35372.300450000002</v>
          </cell>
          <cell r="AB4">
            <v>35667.805930000002</v>
          </cell>
          <cell r="AC4">
            <v>35963.568679999997</v>
          </cell>
          <cell r="AD4">
            <v>36259.165459999997</v>
          </cell>
          <cell r="AE4">
            <v>36540.741800000003</v>
          </cell>
          <cell r="AF4">
            <v>36816.303399999997</v>
          </cell>
          <cell r="AG4">
            <v>37086.346129999998</v>
          </cell>
          <cell r="AH4">
            <v>37351.637640000001</v>
          </cell>
          <cell r="AI4">
            <v>37613.02461</v>
          </cell>
          <cell r="AJ4">
            <v>37871.333720000002</v>
          </cell>
          <cell r="AK4">
            <v>38127.362079999999</v>
          </cell>
          <cell r="AL4">
            <v>38381.800940000001</v>
          </cell>
          <cell r="AM4">
            <v>38635.250200000002</v>
          </cell>
          <cell r="AN4">
            <v>38888.246160000002</v>
          </cell>
          <cell r="AO4">
            <v>39141.282619999998</v>
          </cell>
          <cell r="AP4">
            <v>39392.097020000001</v>
          </cell>
          <cell r="AQ4">
            <v>39641.496420000003</v>
          </cell>
          <cell r="AR4">
            <v>39890.166449999997</v>
          </cell>
          <cell r="AS4">
            <v>40138.822090000001</v>
          </cell>
          <cell r="AT4">
            <v>40388.216560000001</v>
          </cell>
          <cell r="AU4">
            <v>40639.163189999999</v>
          </cell>
          <cell r="AV4">
            <v>40892.404139999999</v>
          </cell>
          <cell r="AW4">
            <v>41148.601499999997</v>
          </cell>
          <cell r="AX4">
            <v>41408.352059999997</v>
          </cell>
          <cell r="AY4">
            <v>41672.199860000001</v>
          </cell>
          <cell r="AZ4">
            <v>41941.11116</v>
          </cell>
          <cell r="BA4">
            <v>42215.606480000002</v>
          </cell>
          <cell r="BB4">
            <v>42496.098899999997</v>
          </cell>
          <cell r="BC4">
            <v>42782.977959999997</v>
          </cell>
          <cell r="BD4">
            <v>43076.648840000002</v>
          </cell>
          <cell r="BE4">
            <v>45733.742980000003</v>
          </cell>
          <cell r="BF4">
            <v>46096.605170000003</v>
          </cell>
          <cell r="BG4">
            <v>46464.389629999998</v>
          </cell>
          <cell r="BH4">
            <v>46837.523480000003</v>
          </cell>
          <cell r="BI4">
            <v>47216.482490000002</v>
          </cell>
        </row>
        <row r="12">
          <cell r="F12">
            <v>44.765000000000001</v>
          </cell>
          <cell r="G12">
            <v>62.154960699999997</v>
          </cell>
          <cell r="H12">
            <v>80.175430759999998</v>
          </cell>
          <cell r="I12">
            <v>98.409757729999995</v>
          </cell>
          <cell r="J12">
            <v>116.60685220000001</v>
          </cell>
          <cell r="K12">
            <v>134.62180549999999</v>
          </cell>
          <cell r="L12">
            <v>152.33588929999999</v>
          </cell>
          <cell r="M12">
            <v>169.69770220000001</v>
          </cell>
          <cell r="N12">
            <v>186.6728166</v>
          </cell>
          <cell r="O12">
            <v>203.23515939999999</v>
          </cell>
          <cell r="P12">
            <v>219.3963665</v>
          </cell>
          <cell r="Q12">
            <v>235.10584600000001</v>
          </cell>
          <cell r="R12">
            <v>250.35492769999999</v>
          </cell>
          <cell r="S12">
            <v>265.1264147</v>
          </cell>
          <cell r="T12">
            <v>279.39877519999999</v>
          </cell>
          <cell r="U12">
            <v>293.14730179999998</v>
          </cell>
          <cell r="V12">
            <v>306.34297190000001</v>
          </cell>
          <cell r="W12">
            <v>318.95433279999997</v>
          </cell>
          <cell r="X12">
            <v>330.948105</v>
          </cell>
          <cell r="Y12">
            <v>342.28938440000002</v>
          </cell>
          <cell r="Z12">
            <v>352.90301829999999</v>
          </cell>
          <cell r="AA12">
            <v>362.7924764</v>
          </cell>
          <cell r="AB12">
            <v>371.91952989999999</v>
          </cell>
          <cell r="AC12">
            <v>380.24443710000003</v>
          </cell>
          <cell r="AD12">
            <v>387.72480100000001</v>
          </cell>
          <cell r="AE12">
            <v>394.21935559999997</v>
          </cell>
          <cell r="AF12">
            <v>399.74039370000003</v>
          </cell>
          <cell r="AG12">
            <v>404.24449650000003</v>
          </cell>
          <cell r="AH12">
            <v>407.68619619999998</v>
          </cell>
          <cell r="AI12">
            <v>410.01576399999999</v>
          </cell>
          <cell r="AJ12">
            <v>411.17783259999999</v>
          </cell>
          <cell r="AK12">
            <v>411.11075579999999</v>
          </cell>
          <cell r="AL12">
            <v>409.74562220000001</v>
          </cell>
          <cell r="AM12">
            <v>407.00554460000001</v>
          </cell>
          <cell r="AN12">
            <v>402.80502209999997</v>
          </cell>
          <cell r="AO12">
            <v>397.04924410000001</v>
          </cell>
          <cell r="AP12">
            <v>389.62739160000001</v>
          </cell>
          <cell r="AQ12">
            <v>380.43083180000002</v>
          </cell>
          <cell r="AR12">
            <v>369.33974719999998</v>
          </cell>
          <cell r="AS12">
            <v>356.2217445</v>
          </cell>
          <cell r="AT12">
            <v>340.93029000000001</v>
          </cell>
          <cell r="AU12">
            <v>323.30336089999997</v>
          </cell>
          <cell r="AV12">
            <v>303.16221510000003</v>
          </cell>
          <cell r="AW12">
            <v>280.3099191</v>
          </cell>
          <cell r="AX12">
            <v>254.5298276</v>
          </cell>
          <cell r="AY12">
            <v>225.58394369999999</v>
          </cell>
          <cell r="AZ12">
            <v>193.20864990000001</v>
          </cell>
          <cell r="BA12">
            <v>157.1175217</v>
          </cell>
          <cell r="BB12">
            <v>116.9973919</v>
          </cell>
          <cell r="BC12">
            <v>72.505136609999994</v>
          </cell>
          <cell r="BD12">
            <v>23.264441529999999</v>
          </cell>
          <cell r="BE12">
            <v>270.4199448</v>
          </cell>
          <cell r="BF12">
            <v>237.33092400000001</v>
          </cell>
          <cell r="BG12">
            <v>200.5086518</v>
          </cell>
          <cell r="BH12">
            <v>159.6366142</v>
          </cell>
          <cell r="BI12">
            <v>114.3681741</v>
          </cell>
        </row>
        <row r="20">
          <cell r="F20">
            <v>1.9359999999999999</v>
          </cell>
          <cell r="G20">
            <v>1.990447131</v>
          </cell>
          <cell r="H20">
            <v>2.0545257160000001</v>
          </cell>
          <cell r="I20">
            <v>2.1240120089999999</v>
          </cell>
          <cell r="J20">
            <v>2.1961980489999999</v>
          </cell>
          <cell r="K20">
            <v>2.269423872</v>
          </cell>
          <cell r="L20">
            <v>2.3423722730000001</v>
          </cell>
          <cell r="M20">
            <v>2.4144603939999998</v>
          </cell>
          <cell r="N20">
            <v>2.485349024</v>
          </cell>
          <cell r="O20">
            <v>2.5548422710000001</v>
          </cell>
          <cell r="P20">
            <v>2.6231448149999999</v>
          </cell>
          <cell r="Q20">
            <v>2.6899027470000001</v>
          </cell>
          <cell r="R20">
            <v>2.7551985800000001</v>
          </cell>
          <cell r="S20">
            <v>2.819065267</v>
          </cell>
          <cell r="T20">
            <v>2.8815224800000001</v>
          </cell>
          <cell r="U20">
            <v>2.9425842050000002</v>
          </cell>
          <cell r="V20">
            <v>3.0022490049999999</v>
          </cell>
          <cell r="W20">
            <v>3.0605197560000001</v>
          </cell>
          <cell r="X20">
            <v>3.1174035500000001</v>
          </cell>
          <cell r="Y20">
            <v>3.1729107729999999</v>
          </cell>
          <cell r="Z20">
            <v>3.2266540429999999</v>
          </cell>
          <cell r="AA20">
            <v>3.279079941</v>
          </cell>
          <cell r="AB20">
            <v>3.3302209110000001</v>
          </cell>
          <cell r="AC20">
            <v>3.3801191450000001</v>
          </cell>
          <cell r="AD20">
            <v>3.4288184400000001</v>
          </cell>
          <cell r="AE20">
            <v>3.4752287160000002</v>
          </cell>
          <cell r="AF20">
            <v>3.5200739410000002</v>
          </cell>
          <cell r="AG20">
            <v>3.563454267</v>
          </cell>
          <cell r="AH20">
            <v>3.6054896589999998</v>
          </cell>
          <cell r="AI20">
            <v>3.6463042419999998</v>
          </cell>
          <cell r="AJ20">
            <v>3.6860182410000002</v>
          </cell>
          <cell r="AK20">
            <v>3.7247472859999999</v>
          </cell>
          <cell r="AL20">
            <v>3.7625960969999999</v>
          </cell>
          <cell r="AM20">
            <v>3.799659696</v>
          </cell>
          <cell r="AN20">
            <v>3.8360257440000001</v>
          </cell>
          <cell r="AO20">
            <v>3.871776358</v>
          </cell>
          <cell r="AP20">
            <v>3.9067601889999999</v>
          </cell>
          <cell r="AQ20">
            <v>3.941078434</v>
          </cell>
          <cell r="AR20">
            <v>3.9748210419999999</v>
          </cell>
          <cell r="AS20">
            <v>4.0080792890000003</v>
          </cell>
          <cell r="AT20">
            <v>4.0409466299999997</v>
          </cell>
          <cell r="AU20">
            <v>4.0735206579999996</v>
          </cell>
          <cell r="AV20">
            <v>4.1058922009999996</v>
          </cell>
          <cell r="AW20">
            <v>4.1381445379999997</v>
          </cell>
          <cell r="AX20">
            <v>4.170354584</v>
          </cell>
          <cell r="AY20">
            <v>4.2025939169999997</v>
          </cell>
          <cell r="AZ20">
            <v>4.2349686719999999</v>
          </cell>
          <cell r="BA20">
            <v>4.2675472179999998</v>
          </cell>
          <cell r="BB20">
            <v>4.3003880270000003</v>
          </cell>
          <cell r="BC20">
            <v>4.3335466440000001</v>
          </cell>
          <cell r="BD20">
            <v>4.3670789970000001</v>
          </cell>
          <cell r="BE20">
            <v>4.6286853649999999</v>
          </cell>
          <cell r="BF20">
            <v>4.6688759529999997</v>
          </cell>
          <cell r="BG20">
            <v>4.7093404809999999</v>
          </cell>
          <cell r="BH20">
            <v>4.7501298930000004</v>
          </cell>
          <cell r="BI20">
            <v>4.7912988260000002</v>
          </cell>
        </row>
        <row r="28">
          <cell r="F28">
            <v>32317.940999999999</v>
          </cell>
          <cell r="G28">
            <v>31939.281360000001</v>
          </cell>
          <cell r="H28">
            <v>31767.455890000001</v>
          </cell>
          <cell r="I28">
            <v>31736.000940000002</v>
          </cell>
          <cell r="J28">
            <v>31800.974969999999</v>
          </cell>
          <cell r="K28">
            <v>31933.82127</v>
          </cell>
          <cell r="L28">
            <v>32112.09174</v>
          </cell>
          <cell r="M28">
            <v>32323.60598</v>
          </cell>
          <cell r="N28">
            <v>32560.151460000001</v>
          </cell>
          <cell r="O28">
            <v>32815.996449999999</v>
          </cell>
          <cell r="P28">
            <v>33093.725680000003</v>
          </cell>
          <cell r="Q28">
            <v>33382.97322</v>
          </cell>
          <cell r="R28">
            <v>33680.99985</v>
          </cell>
          <cell r="S28">
            <v>33985.469579999997</v>
          </cell>
          <cell r="T28">
            <v>34294.477460000002</v>
          </cell>
          <cell r="U28">
            <v>34606.498899999999</v>
          </cell>
          <cell r="V28">
            <v>34920.321949999998</v>
          </cell>
          <cell r="W28">
            <v>35234.983760000003</v>
          </cell>
          <cell r="X28">
            <v>35549.718589999997</v>
          </cell>
          <cell r="Y28">
            <v>35863.918839999998</v>
          </cell>
          <cell r="Z28">
            <v>36172.233480000003</v>
          </cell>
          <cell r="AA28">
            <v>36479.502659999998</v>
          </cell>
          <cell r="AB28">
            <v>36785.560669999999</v>
          </cell>
          <cell r="AC28">
            <v>37090.35903</v>
          </cell>
          <cell r="AD28">
            <v>37393.860959999998</v>
          </cell>
          <cell r="AE28">
            <v>37682.300210000001</v>
          </cell>
          <cell r="AF28">
            <v>37963.857750000003</v>
          </cell>
          <cell r="AG28">
            <v>38239.223660000003</v>
          </cell>
          <cell r="AH28">
            <v>38509.344510000003</v>
          </cell>
          <cell r="AI28">
            <v>38775.198490000002</v>
          </cell>
          <cell r="AJ28">
            <v>39037.689050000001</v>
          </cell>
          <cell r="AK28">
            <v>39297.6014</v>
          </cell>
          <cell r="AL28">
            <v>39555.595650000003</v>
          </cell>
          <cell r="AM28">
            <v>39812.219259999998</v>
          </cell>
          <cell r="AN28">
            <v>40067.927459999999</v>
          </cell>
          <cell r="AO28">
            <v>40323.104229999997</v>
          </cell>
          <cell r="AP28">
            <v>40574.969570000001</v>
          </cell>
          <cell r="AQ28">
            <v>40824.026830000003</v>
          </cell>
          <cell r="AR28">
            <v>41070.813609999997</v>
          </cell>
          <cell r="AS28">
            <v>41315.925130000003</v>
          </cell>
          <cell r="AT28">
            <v>41559.975109999999</v>
          </cell>
          <cell r="AU28">
            <v>41803.55171</v>
          </cell>
          <cell r="AV28">
            <v>42047.185890000001</v>
          </cell>
          <cell r="AW28">
            <v>42291.33511</v>
          </cell>
          <cell r="AX28">
            <v>42536.37975</v>
          </cell>
          <cell r="AY28">
            <v>42782.628270000001</v>
          </cell>
          <cell r="AZ28">
            <v>43030.591110000001</v>
          </cell>
          <cell r="BA28">
            <v>43280.44601</v>
          </cell>
          <cell r="BB28">
            <v>43532.325470000003</v>
          </cell>
          <cell r="BC28">
            <v>43786.320970000001</v>
          </cell>
          <cell r="BD28">
            <v>44042.493340000001</v>
          </cell>
          <cell r="BE28">
            <v>45939.1077</v>
          </cell>
          <cell r="BF28">
            <v>46264.987730000001</v>
          </cell>
          <cell r="BG28">
            <v>46592.00649</v>
          </cell>
          <cell r="BH28">
            <v>46920.289089999998</v>
          </cell>
          <cell r="BI28">
            <v>47249.974520000003</v>
          </cell>
        </row>
        <row r="29">
          <cell r="F29">
            <v>32271.24</v>
          </cell>
          <cell r="G29">
            <v>31874.761310000002</v>
          </cell>
          <cell r="H29">
            <v>31684.176350000002</v>
          </cell>
          <cell r="I29">
            <v>31633.507610000001</v>
          </cell>
          <cell r="J29">
            <v>31679.119449999998</v>
          </cell>
          <cell r="K29">
            <v>31792.640329999998</v>
          </cell>
          <cell r="L29">
            <v>31951.767909999999</v>
          </cell>
          <cell r="M29">
            <v>32144.38623</v>
          </cell>
          <cell r="N29">
            <v>32362.319530000001</v>
          </cell>
          <cell r="O29">
            <v>32599.85628</v>
          </cell>
          <cell r="P29">
            <v>32859.527329999997</v>
          </cell>
          <cell r="Q29">
            <v>33131.036690000001</v>
          </cell>
          <cell r="R29">
            <v>33411.648309999997</v>
          </cell>
          <cell r="S29">
            <v>33699.027439999998</v>
          </cell>
          <cell r="T29">
            <v>33991.26771</v>
          </cell>
          <cell r="U29">
            <v>34286.840479999999</v>
          </cell>
          <cell r="V29">
            <v>34584.527479999997</v>
          </cell>
          <cell r="W29">
            <v>34883.357620000002</v>
          </cell>
          <cell r="X29">
            <v>35182.555229999998</v>
          </cell>
          <cell r="Y29">
            <v>35481.501300000004</v>
          </cell>
          <cell r="Z29">
            <v>35774.879950000002</v>
          </cell>
          <cell r="AA29">
            <v>36067.467879999997</v>
          </cell>
          <cell r="AB29">
            <v>36359.082410000003</v>
          </cell>
          <cell r="AC29">
            <v>36649.656430000003</v>
          </cell>
          <cell r="AD29">
            <v>36939.133860000002</v>
          </cell>
          <cell r="AE29">
            <v>37213.866629999997</v>
          </cell>
          <cell r="AF29">
            <v>37481.938410000002</v>
          </cell>
          <cell r="AG29">
            <v>37744.012219999997</v>
          </cell>
          <cell r="AH29">
            <v>38001.00331</v>
          </cell>
          <cell r="AI29">
            <v>38253.856540000001</v>
          </cell>
          <cell r="AJ29">
            <v>38503.441019999998</v>
          </cell>
          <cell r="AK29">
            <v>38750.507160000001</v>
          </cell>
          <cell r="AL29">
            <v>38995.679900000003</v>
          </cell>
          <cell r="AM29">
            <v>39239.471080000003</v>
          </cell>
          <cell r="AN29">
            <v>39482.299659999997</v>
          </cell>
          <cell r="AO29">
            <v>39724.512459999998</v>
          </cell>
          <cell r="AP29">
            <v>39963.325429999997</v>
          </cell>
          <cell r="AQ29">
            <v>40199.201910000003</v>
          </cell>
          <cell r="AR29">
            <v>40432.6368</v>
          </cell>
          <cell r="AS29">
            <v>40664.179369999998</v>
          </cell>
          <cell r="AT29">
            <v>40894.394390000001</v>
          </cell>
          <cell r="AU29">
            <v>41123.818249999997</v>
          </cell>
          <cell r="AV29">
            <v>41352.927470000002</v>
          </cell>
          <cell r="AW29">
            <v>41582.122389999997</v>
          </cell>
          <cell r="AX29">
            <v>41811.723429999998</v>
          </cell>
          <cell r="AY29">
            <v>42041.975960000003</v>
          </cell>
          <cell r="AZ29">
            <v>42273.320339999998</v>
          </cell>
          <cell r="BA29">
            <v>42505.863680000002</v>
          </cell>
          <cell r="BB29">
            <v>42739.663500000002</v>
          </cell>
          <cell r="BC29">
            <v>42974.731509999998</v>
          </cell>
          <cell r="BD29">
            <v>43211.04348</v>
          </cell>
          <cell r="BE29">
            <v>45601.084470000002</v>
          </cell>
          <cell r="BF29">
            <v>45952.474289999998</v>
          </cell>
          <cell r="BG29">
            <v>46307.97365</v>
          </cell>
          <cell r="BH29">
            <v>46667.953820000002</v>
          </cell>
          <cell r="BI29">
            <v>47032.82314</v>
          </cell>
        </row>
        <row r="37">
          <cell r="F37">
            <v>44.765000000000001</v>
          </cell>
          <cell r="G37">
            <v>62.527370949999998</v>
          </cell>
          <cell r="H37">
            <v>81.219025819999999</v>
          </cell>
          <cell r="I37">
            <v>100.35870559999999</v>
          </cell>
          <cell r="J37">
            <v>119.6436752</v>
          </cell>
          <cell r="K37">
            <v>138.89068030000001</v>
          </cell>
          <cell r="L37">
            <v>157.95549170000001</v>
          </cell>
          <cell r="M37">
            <v>176.7743519</v>
          </cell>
          <cell r="N37">
            <v>195.3109048</v>
          </cell>
          <cell r="O37">
            <v>213.5451769</v>
          </cell>
          <cell r="P37">
            <v>231.53059150000001</v>
          </cell>
          <cell r="Q37">
            <v>249.19786360000001</v>
          </cell>
          <cell r="R37">
            <v>266.54386419999997</v>
          </cell>
          <cell r="S37">
            <v>283.56735800000001</v>
          </cell>
          <cell r="T37">
            <v>300.26977679999999</v>
          </cell>
          <cell r="U37">
            <v>316.65513629999998</v>
          </cell>
          <cell r="V37">
            <v>332.72971519999999</v>
          </cell>
          <cell r="W37">
            <v>348.50172070000002</v>
          </cell>
          <cell r="X37">
            <v>363.98102019999999</v>
          </cell>
          <cell r="Y37">
            <v>379.17895809999999</v>
          </cell>
          <cell r="Z37">
            <v>394.06074039999999</v>
          </cell>
          <cell r="AA37">
            <v>408.68932210000003</v>
          </cell>
          <cell r="AB37">
            <v>423.08158900000001</v>
          </cell>
          <cell r="AC37">
            <v>437.25609850000001</v>
          </cell>
          <cell r="AD37">
            <v>451.23207910000002</v>
          </cell>
          <cell r="AE37">
            <v>464.89240869999998</v>
          </cell>
          <cell r="AF37">
            <v>478.33367190000001</v>
          </cell>
          <cell r="AG37">
            <v>491.58281169999998</v>
          </cell>
          <cell r="AH37">
            <v>504.67100049999999</v>
          </cell>
          <cell r="AI37">
            <v>517.63145689999999</v>
          </cell>
          <cell r="AJ37">
            <v>530.49837579999996</v>
          </cell>
          <cell r="AK37">
            <v>543.3064511</v>
          </cell>
          <cell r="AL37">
            <v>556.09075370000005</v>
          </cell>
          <cell r="AM37">
            <v>568.88681640000004</v>
          </cell>
          <cell r="AN37">
            <v>581.73082969999996</v>
          </cell>
          <cell r="AO37">
            <v>594.65988449999998</v>
          </cell>
          <cell r="AP37">
            <v>607.67821400000003</v>
          </cell>
          <cell r="AQ37">
            <v>620.82577089999995</v>
          </cell>
          <cell r="AR37">
            <v>634.14518869999995</v>
          </cell>
          <cell r="AS37">
            <v>647.68231230000004</v>
          </cell>
          <cell r="AT37">
            <v>661.48603739999999</v>
          </cell>
          <cell r="AU37">
            <v>675.60806279999997</v>
          </cell>
          <cell r="AV37">
            <v>690.10275460000003</v>
          </cell>
          <cell r="AW37">
            <v>705.02716750000002</v>
          </cell>
          <cell r="AX37">
            <v>720.44121329999996</v>
          </cell>
          <cell r="AY37">
            <v>736.40794830000004</v>
          </cell>
          <cell r="AZ37">
            <v>752.99737889999994</v>
          </cell>
          <cell r="BA37">
            <v>770.28010370000004</v>
          </cell>
          <cell r="BB37">
            <v>788.33109179999997</v>
          </cell>
          <cell r="BC37">
            <v>807.2300917</v>
          </cell>
          <cell r="BD37">
            <v>827.06212549999998</v>
          </cell>
          <cell r="BE37">
            <v>333.40671650000002</v>
          </cell>
          <cell r="BF37">
            <v>307.85780840000001</v>
          </cell>
          <cell r="BG37">
            <v>279.3378955</v>
          </cell>
          <cell r="BH37">
            <v>247.6007549</v>
          </cell>
          <cell r="BI37">
            <v>212.3770069</v>
          </cell>
        </row>
        <row r="45">
          <cell r="F45">
            <v>1.9359999999999999</v>
          </cell>
          <cell r="G45">
            <v>1.9926750099999999</v>
          </cell>
          <cell r="H45">
            <v>2.0605130620000001</v>
          </cell>
          <cell r="I45">
            <v>2.134619727</v>
          </cell>
          <cell r="J45">
            <v>2.2118520880000001</v>
          </cell>
          <cell r="K45">
            <v>2.290260736</v>
          </cell>
          <cell r="L45">
            <v>2.3683424870000001</v>
          </cell>
          <cell r="M45">
            <v>2.4453980660000001</v>
          </cell>
          <cell r="N45">
            <v>2.5210237119999999</v>
          </cell>
          <cell r="O45">
            <v>2.5949944700000001</v>
          </cell>
          <cell r="P45">
            <v>2.6677545519999999</v>
          </cell>
          <cell r="Q45">
            <v>2.7386593609999998</v>
          </cell>
          <cell r="R45">
            <v>2.8076723870000002</v>
          </cell>
          <cell r="S45">
            <v>2.8747752339999999</v>
          </cell>
          <cell r="T45">
            <v>2.9399713749999998</v>
          </cell>
          <cell r="U45">
            <v>3.0032833380000001</v>
          </cell>
          <cell r="V45">
            <v>3.0647483250000001</v>
          </cell>
          <cell r="W45">
            <v>3.1244140090000001</v>
          </cell>
          <cell r="X45">
            <v>3.182335159</v>
          </cell>
          <cell r="Y45">
            <v>3.2385712039999999</v>
          </cell>
          <cell r="Z45">
            <v>3.292779227</v>
          </cell>
          <cell r="AA45">
            <v>3.3454508770000002</v>
          </cell>
          <cell r="AB45">
            <v>3.396661661</v>
          </cell>
          <cell r="AC45">
            <v>3.4464908799999998</v>
          </cell>
          <cell r="AD45">
            <v>3.4950133659999998</v>
          </cell>
          <cell r="AE45">
            <v>3.541157036</v>
          </cell>
          <cell r="AF45">
            <v>3.5856532849999998</v>
          </cell>
          <cell r="AG45">
            <v>3.6286172259999998</v>
          </cell>
          <cell r="AH45">
            <v>3.6701823089999999</v>
          </cell>
          <cell r="AI45">
            <v>3.7104821100000001</v>
          </cell>
          <cell r="AJ45">
            <v>3.7496416720000001</v>
          </cell>
          <cell r="AK45">
            <v>3.7877739319999999</v>
          </cell>
          <cell r="AL45">
            <v>3.8249791320000002</v>
          </cell>
          <cell r="AM45">
            <v>3.861345837</v>
          </cell>
          <cell r="AN45">
            <v>3.8969526170000002</v>
          </cell>
          <cell r="AO45">
            <v>3.9318698109999999</v>
          </cell>
          <cell r="AP45">
            <v>3.9659026009999998</v>
          </cell>
          <cell r="AQ45">
            <v>3.9991229599999998</v>
          </cell>
          <cell r="AR45">
            <v>4.0316040439999998</v>
          </cell>
          <cell r="AS45">
            <v>4.0634222409999996</v>
          </cell>
          <cell r="AT45">
            <v>4.0946540550000003</v>
          </cell>
          <cell r="AU45">
            <v>4.1253725189999999</v>
          </cell>
          <cell r="AV45">
            <v>4.1556445780000004</v>
          </cell>
          <cell r="AW45">
            <v>4.1855297079999998</v>
          </cell>
          <cell r="AX45">
            <v>4.2150795719999996</v>
          </cell>
          <cell r="AY45">
            <v>4.2443383910000003</v>
          </cell>
          <cell r="AZ45">
            <v>4.2733656120000001</v>
          </cell>
          <cell r="BA45">
            <v>4.3021918450000003</v>
          </cell>
          <cell r="BB45">
            <v>4.3308423229999997</v>
          </cell>
          <cell r="BC45">
            <v>4.3593372300000004</v>
          </cell>
          <cell r="BD45">
            <v>4.3876925440000001</v>
          </cell>
          <cell r="BE45">
            <v>4.6165073259999998</v>
          </cell>
          <cell r="BF45">
            <v>4.6556279380000003</v>
          </cell>
          <cell r="BG45">
            <v>4.6949460810000003</v>
          </cell>
          <cell r="BH45">
            <v>4.7345074699999996</v>
          </cell>
          <cell r="BI45">
            <v>4.7743605000000002</v>
          </cell>
        </row>
        <row r="104">
          <cell r="F104">
            <v>3.476542051</v>
          </cell>
          <cell r="G104">
            <v>7.804662714</v>
          </cell>
          <cell r="H104">
            <v>12.659654700000001</v>
          </cell>
          <cell r="I104">
            <v>17.3900647</v>
          </cell>
          <cell r="J104">
            <v>21.76490313</v>
          </cell>
          <cell r="K104">
            <v>25.68179503</v>
          </cell>
          <cell r="L104">
            <v>29.04914321</v>
          </cell>
          <cell r="M104">
            <v>31.835349069999999</v>
          </cell>
          <cell r="N104">
            <v>33.989357200000001</v>
          </cell>
          <cell r="O104">
            <v>35.47570382</v>
          </cell>
          <cell r="P104">
            <v>39.283683920000001</v>
          </cell>
          <cell r="Q104">
            <v>43.578707080000001</v>
          </cell>
          <cell r="R104">
            <v>47.899524999999997</v>
          </cell>
          <cell r="S104">
            <v>52.1471357</v>
          </cell>
          <cell r="T104">
            <v>56.322809300000003</v>
          </cell>
          <cell r="U104">
            <v>60.442489049999999</v>
          </cell>
          <cell r="V104">
            <v>64.518300229999994</v>
          </cell>
          <cell r="W104">
            <v>68.557277859999999</v>
          </cell>
          <cell r="X104">
            <v>72.561224699999997</v>
          </cell>
          <cell r="Y104">
            <v>76.530137640000007</v>
          </cell>
          <cell r="Z104">
            <v>80.436748390000005</v>
          </cell>
          <cell r="AA104">
            <v>84.332489690000003</v>
          </cell>
          <cell r="AB104">
            <v>88.190640990000006</v>
          </cell>
          <cell r="AC104">
            <v>92.012152520000001</v>
          </cell>
          <cell r="AD104">
            <v>95.799044069999994</v>
          </cell>
          <cell r="AE104">
            <v>99.480168219999996</v>
          </cell>
          <cell r="AF104">
            <v>103.163526</v>
          </cell>
          <cell r="AG104">
            <v>106.8084923</v>
          </cell>
          <cell r="AH104">
            <v>110.4158345</v>
          </cell>
          <cell r="AI104">
            <v>113.9877796</v>
          </cell>
          <cell r="AJ104">
            <v>117.5273038</v>
          </cell>
          <cell r="AK104">
            <v>121.0375128</v>
          </cell>
          <cell r="AL104">
            <v>124.52127539999999</v>
          </cell>
          <cell r="AM104">
            <v>127.98230650000001</v>
          </cell>
          <cell r="AN104">
            <v>131.42370399999999</v>
          </cell>
          <cell r="AO104">
            <v>134.84754409999999</v>
          </cell>
          <cell r="AP104">
            <v>138.2371575</v>
          </cell>
          <cell r="AQ104">
            <v>141.60319290000001</v>
          </cell>
          <cell r="AR104">
            <v>144.9484415</v>
          </cell>
          <cell r="AS104">
            <v>148.274089</v>
          </cell>
          <cell r="AT104">
            <v>151.578486</v>
          </cell>
          <cell r="AU104">
            <v>154.85782789999999</v>
          </cell>
          <cell r="AV104">
            <v>158.1070469</v>
          </cell>
          <cell r="AW104">
            <v>161.3219489</v>
          </cell>
          <cell r="AX104">
            <v>164.49778209999999</v>
          </cell>
          <cell r="AY104">
            <v>167.62860910000001</v>
          </cell>
          <cell r="AZ104">
            <v>170.70649760000001</v>
          </cell>
          <cell r="BA104">
            <v>173.71608209999999</v>
          </cell>
          <cell r="BB104">
            <v>176.64939050000001</v>
          </cell>
          <cell r="BC104">
            <v>179.49414920000001</v>
          </cell>
          <cell r="BD104">
            <v>182.22657140000001</v>
          </cell>
          <cell r="BE104">
            <v>22.97561808</v>
          </cell>
          <cell r="BF104">
            <v>23.049233709999999</v>
          </cell>
          <cell r="BG104">
            <v>23.122476450000001</v>
          </cell>
          <cell r="BH104">
            <v>23.195350779999998</v>
          </cell>
          <cell r="BI104">
            <v>23.267860880000001</v>
          </cell>
        </row>
        <row r="105">
          <cell r="F105">
            <v>68.80476281</v>
          </cell>
          <cell r="G105">
            <v>75.269502130000006</v>
          </cell>
          <cell r="H105">
            <v>81.192118780000001</v>
          </cell>
          <cell r="I105">
            <v>86.595228149999997</v>
          </cell>
          <cell r="J105">
            <v>91.841971099999995</v>
          </cell>
          <cell r="K105">
            <v>97.158665319999997</v>
          </cell>
          <cell r="L105">
            <v>102.0997064</v>
          </cell>
          <cell r="M105">
            <v>107.4797593</v>
          </cell>
          <cell r="N105">
            <v>113.6395936</v>
          </cell>
          <cell r="O105">
            <v>121.3437119</v>
          </cell>
          <cell r="P105">
            <v>130.99978060000001</v>
          </cell>
          <cell r="Q105">
            <v>140.83625230000001</v>
          </cell>
          <cell r="R105">
            <v>151.65967380000001</v>
          </cell>
          <cell r="S105">
            <v>163.1030456</v>
          </cell>
          <cell r="T105">
            <v>174.84807710000001</v>
          </cell>
          <cell r="U105">
            <v>186.67251099999999</v>
          </cell>
          <cell r="V105">
            <v>198.4377757</v>
          </cell>
          <cell r="W105">
            <v>210.0624569</v>
          </cell>
          <cell r="X105">
            <v>221.50832990000001</v>
          </cell>
          <cell r="Y105">
            <v>232.75943040000001</v>
          </cell>
          <cell r="Z105">
            <v>243.1247075</v>
          </cell>
          <cell r="AA105">
            <v>253.97853280000001</v>
          </cell>
          <cell r="AB105">
            <v>264.6395167</v>
          </cell>
          <cell r="AC105">
            <v>275.1109874</v>
          </cell>
          <cell r="AD105">
            <v>285.39613939999998</v>
          </cell>
          <cell r="AE105">
            <v>293.62478329999999</v>
          </cell>
          <cell r="AF105">
            <v>302.6707806</v>
          </cell>
          <cell r="AG105">
            <v>311.5503458</v>
          </cell>
          <cell r="AH105">
            <v>320.2690083</v>
          </cell>
          <cell r="AI105">
            <v>328.83055530000001</v>
          </cell>
          <cell r="AJ105">
            <v>337.2380124</v>
          </cell>
          <cell r="AK105">
            <v>345.49439000000001</v>
          </cell>
          <cell r="AL105">
            <v>353.60309710000001</v>
          </cell>
          <cell r="AM105">
            <v>361.56649160000001</v>
          </cell>
          <cell r="AN105">
            <v>369.38683170000002</v>
          </cell>
          <cell r="AO105">
            <v>377.06661810000003</v>
          </cell>
          <cell r="AP105">
            <v>384.2114148</v>
          </cell>
          <cell r="AQ105">
            <v>391.23101639999999</v>
          </cell>
          <cell r="AR105">
            <v>398.12853389999998</v>
          </cell>
          <cell r="AS105">
            <v>404.90637459999999</v>
          </cell>
          <cell r="AT105">
            <v>411.56778489999999</v>
          </cell>
          <cell r="AU105">
            <v>418.11705649999999</v>
          </cell>
          <cell r="AV105">
            <v>424.55927860000003</v>
          </cell>
          <cell r="AW105">
            <v>430.89826290000002</v>
          </cell>
          <cell r="AX105">
            <v>437.13750700000003</v>
          </cell>
          <cell r="AY105">
            <v>443.28047170000002</v>
          </cell>
          <cell r="AZ105">
            <v>449.36408669999997</v>
          </cell>
          <cell r="BA105">
            <v>455.36277860000001</v>
          </cell>
          <cell r="BB105">
            <v>461.27924159999998</v>
          </cell>
          <cell r="BC105">
            <v>467.11610810000002</v>
          </cell>
          <cell r="BD105">
            <v>472.87734669999998</v>
          </cell>
          <cell r="BE105">
            <v>476.70896579999999</v>
          </cell>
          <cell r="BF105">
            <v>481.95657119999998</v>
          </cell>
          <cell r="BG105">
            <v>487.1573343</v>
          </cell>
          <cell r="BH105">
            <v>492.3115464</v>
          </cell>
          <cell r="BI105">
            <v>497.41941509999998</v>
          </cell>
        </row>
        <row r="106">
          <cell r="F106">
            <v>408.28039699999999</v>
          </cell>
          <cell r="G106">
            <v>422.28654710000001</v>
          </cell>
          <cell r="H106">
            <v>435.97834519999998</v>
          </cell>
          <cell r="I106">
            <v>448.70085119999999</v>
          </cell>
          <cell r="J106">
            <v>461.11173330000003</v>
          </cell>
          <cell r="K106">
            <v>473.62644219999999</v>
          </cell>
          <cell r="L106">
            <v>484.81746190000001</v>
          </cell>
          <cell r="M106">
            <v>496.75685149999998</v>
          </cell>
          <cell r="N106">
            <v>509.9258428</v>
          </cell>
          <cell r="O106">
            <v>525.23477960000002</v>
          </cell>
          <cell r="P106">
            <v>542.76865310000005</v>
          </cell>
          <cell r="Q106">
            <v>557.94503210000005</v>
          </cell>
          <cell r="R106">
            <v>573.84318350000001</v>
          </cell>
          <cell r="S106">
            <v>590.26429210000003</v>
          </cell>
          <cell r="T106">
            <v>606.96234389999995</v>
          </cell>
          <cell r="U106">
            <v>623.7461826</v>
          </cell>
          <cell r="V106">
            <v>640.48985419999997</v>
          </cell>
          <cell r="W106">
            <v>657.11633519999998</v>
          </cell>
          <cell r="X106">
            <v>673.58708750000005</v>
          </cell>
          <cell r="Y106">
            <v>689.88425619999998</v>
          </cell>
          <cell r="Z106">
            <v>704.0724702</v>
          </cell>
          <cell r="AA106">
            <v>720.00376140000003</v>
          </cell>
          <cell r="AB106">
            <v>735.75696419999997</v>
          </cell>
          <cell r="AC106">
            <v>751.3339446</v>
          </cell>
          <cell r="AD106">
            <v>766.73669510000002</v>
          </cell>
          <cell r="AE106">
            <v>776.70339690000003</v>
          </cell>
          <cell r="AF106">
            <v>789.28375340000002</v>
          </cell>
          <cell r="AG106">
            <v>801.69693519999998</v>
          </cell>
          <cell r="AH106">
            <v>813.94729180000002</v>
          </cell>
          <cell r="AI106">
            <v>826.03762410000002</v>
          </cell>
          <cell r="AJ106">
            <v>837.97015490000001</v>
          </cell>
          <cell r="AK106">
            <v>849.74727559999997</v>
          </cell>
          <cell r="AL106">
            <v>861.37195910000003</v>
          </cell>
          <cell r="AM106">
            <v>872.84629580000001</v>
          </cell>
          <cell r="AN106">
            <v>884.17249860000004</v>
          </cell>
          <cell r="AO106">
            <v>895.35322310000004</v>
          </cell>
          <cell r="AP106">
            <v>905.27066820000005</v>
          </cell>
          <cell r="AQ106">
            <v>915.05577400000004</v>
          </cell>
          <cell r="AR106">
            <v>924.71182639999995</v>
          </cell>
          <cell r="AS106">
            <v>934.24156189999997</v>
          </cell>
          <cell r="AT106">
            <v>943.64866910000001</v>
          </cell>
          <cell r="AU106">
            <v>952.93793570000003</v>
          </cell>
          <cell r="AV106">
            <v>962.11501580000004</v>
          </cell>
          <cell r="AW106">
            <v>971.1843781</v>
          </cell>
          <cell r="AX106">
            <v>980.15035269999998</v>
          </cell>
          <cell r="AY106">
            <v>989.01749299999994</v>
          </cell>
          <cell r="AZ106">
            <v>997.88266950000002</v>
          </cell>
          <cell r="BA106">
            <v>1006.66473</v>
          </cell>
          <cell r="BB106">
            <v>1015.368559</v>
          </cell>
          <cell r="BC106">
            <v>1023.999783</v>
          </cell>
          <cell r="BD106">
            <v>1032.5674200000001</v>
          </cell>
          <cell r="BE106">
            <v>1081.1689630000001</v>
          </cell>
          <cell r="BF106">
            <v>1090.184426</v>
          </cell>
          <cell r="BG106">
            <v>1099.142771</v>
          </cell>
          <cell r="BH106">
            <v>1108.044478</v>
          </cell>
          <cell r="BI106">
            <v>1116.890073</v>
          </cell>
        </row>
        <row r="107">
          <cell r="F107">
            <v>954.38155940000001</v>
          </cell>
          <cell r="G107">
            <v>950.89689390000001</v>
          </cell>
          <cell r="H107">
            <v>949.09445900000003</v>
          </cell>
          <cell r="I107">
            <v>947.79104689999997</v>
          </cell>
          <cell r="J107">
            <v>946.44086440000001</v>
          </cell>
          <cell r="K107">
            <v>944.81661440000005</v>
          </cell>
          <cell r="L107">
            <v>942.80116659999999</v>
          </cell>
          <cell r="M107">
            <v>940.24188749999996</v>
          </cell>
          <cell r="N107">
            <v>936.69181619999995</v>
          </cell>
          <cell r="O107">
            <v>930.83922059999998</v>
          </cell>
          <cell r="P107">
            <v>920.85448469999994</v>
          </cell>
          <cell r="Q107">
            <v>907.57954700000005</v>
          </cell>
          <cell r="R107">
            <v>892.0126788</v>
          </cell>
          <cell r="S107">
            <v>875.07021569999995</v>
          </cell>
          <cell r="T107">
            <v>857.45146380000006</v>
          </cell>
          <cell r="U107">
            <v>839.62687289999997</v>
          </cell>
          <cell r="V107">
            <v>821.88783839999996</v>
          </cell>
          <cell r="W107">
            <v>804.40656620000004</v>
          </cell>
          <cell r="X107">
            <v>787.26974619999999</v>
          </cell>
          <cell r="Y107">
            <v>770.51780340000005</v>
          </cell>
          <cell r="Z107">
            <v>754.1655988</v>
          </cell>
          <cell r="AA107">
            <v>738.21399659999997</v>
          </cell>
          <cell r="AB107">
            <v>722.65954829999998</v>
          </cell>
          <cell r="AC107">
            <v>707.49658120000004</v>
          </cell>
          <cell r="AD107">
            <v>692.7179701</v>
          </cell>
          <cell r="AE107">
            <v>678.3133636</v>
          </cell>
          <cell r="AF107">
            <v>664.26731540000003</v>
          </cell>
          <cell r="AG107">
            <v>650.56519170000001</v>
          </cell>
          <cell r="AH107">
            <v>637.19645619999994</v>
          </cell>
          <cell r="AI107">
            <v>624.15221889999998</v>
          </cell>
          <cell r="AJ107">
            <v>611.42410870000003</v>
          </cell>
          <cell r="AK107">
            <v>599.00349229999995</v>
          </cell>
          <cell r="AL107">
            <v>586.88106979999998</v>
          </cell>
          <cell r="AM107">
            <v>575.0485549</v>
          </cell>
          <cell r="AN107">
            <v>563.49832839999999</v>
          </cell>
          <cell r="AO107">
            <v>552.22324089999995</v>
          </cell>
          <cell r="AP107">
            <v>541.21316769999999</v>
          </cell>
          <cell r="AQ107">
            <v>530.45192080000004</v>
          </cell>
          <cell r="AR107">
            <v>519.9305683</v>
          </cell>
          <cell r="AS107">
            <v>509.64305789999997</v>
          </cell>
          <cell r="AT107">
            <v>499.58466279999999</v>
          </cell>
          <cell r="AU107">
            <v>489.75095249999998</v>
          </cell>
          <cell r="AV107">
            <v>480.13728379999998</v>
          </cell>
          <cell r="AW107">
            <v>470.7404803</v>
          </cell>
          <cell r="AX107">
            <v>461.55836590000001</v>
          </cell>
          <cell r="AY107">
            <v>452.58980439999999</v>
          </cell>
          <cell r="AZ107">
            <v>443.83419739999999</v>
          </cell>
          <cell r="BA107">
            <v>435.29149469999999</v>
          </cell>
          <cell r="BB107">
            <v>426.96315750000002</v>
          </cell>
          <cell r="BC107">
            <v>418.85446580000001</v>
          </cell>
          <cell r="BD107">
            <v>410.9782821</v>
          </cell>
          <cell r="BE107">
            <v>524.96822689999999</v>
          </cell>
          <cell r="BF107">
            <v>519.65419159999999</v>
          </cell>
          <cell r="BG107">
            <v>514.41976720000002</v>
          </cell>
          <cell r="BH107">
            <v>509.26440919999999</v>
          </cell>
          <cell r="BI107">
            <v>504.18760109999999</v>
          </cell>
        </row>
        <row r="108">
          <cell r="F108">
            <v>878.79999729999997</v>
          </cell>
          <cell r="G108">
            <v>867.86627410000006</v>
          </cell>
          <cell r="H108">
            <v>858.10000679999996</v>
          </cell>
          <cell r="I108">
            <v>849.45869049999999</v>
          </cell>
          <cell r="J108">
            <v>841.67789760000005</v>
          </cell>
          <cell r="K108">
            <v>834.43813250000005</v>
          </cell>
          <cell r="L108">
            <v>827.42169650000005</v>
          </cell>
          <cell r="M108">
            <v>820.31634159999999</v>
          </cell>
          <cell r="N108">
            <v>812.80636500000003</v>
          </cell>
          <cell r="O108">
            <v>804.57160390000001</v>
          </cell>
          <cell r="P108">
            <v>797.95807139999999</v>
          </cell>
          <cell r="Q108">
            <v>792.34580649999998</v>
          </cell>
          <cell r="R108">
            <v>787.29336579999995</v>
          </cell>
          <cell r="S108">
            <v>782.55141509999999</v>
          </cell>
          <cell r="T108">
            <v>777.9854583</v>
          </cell>
          <cell r="U108">
            <v>773.52398770000002</v>
          </cell>
          <cell r="V108">
            <v>769.12913390000006</v>
          </cell>
          <cell r="W108">
            <v>764.78084609999996</v>
          </cell>
          <cell r="X108">
            <v>760.4681349</v>
          </cell>
          <cell r="Y108">
            <v>756.18492939999999</v>
          </cell>
          <cell r="Z108">
            <v>751.92778810000004</v>
          </cell>
          <cell r="AA108">
            <v>747.69440159999999</v>
          </cell>
          <cell r="AB108">
            <v>743.48390429999995</v>
          </cell>
          <cell r="AC108">
            <v>739.29576440000005</v>
          </cell>
          <cell r="AD108">
            <v>735.12981909999996</v>
          </cell>
          <cell r="AE108">
            <v>730.98593029999995</v>
          </cell>
          <cell r="AF108">
            <v>726.86294329999998</v>
          </cell>
          <cell r="AG108">
            <v>722.76076999999998</v>
          </cell>
          <cell r="AH108">
            <v>718.67924979999998</v>
          </cell>
          <cell r="AI108">
            <v>714.61842200000001</v>
          </cell>
          <cell r="AJ108">
            <v>710.57845410000004</v>
          </cell>
          <cell r="AK108">
            <v>706.55957109999997</v>
          </cell>
          <cell r="AL108">
            <v>702.56200449999994</v>
          </cell>
          <cell r="AM108">
            <v>698.58607029999996</v>
          </cell>
          <cell r="AN108">
            <v>694.63206739999998</v>
          </cell>
          <cell r="AO108">
            <v>690.70022110000002</v>
          </cell>
          <cell r="AP108">
            <v>686.79044380000005</v>
          </cell>
          <cell r="AQ108">
            <v>682.90209230000005</v>
          </cell>
          <cell r="AR108">
            <v>679.03522359999999</v>
          </cell>
          <cell r="AS108">
            <v>675.18985810000004</v>
          </cell>
          <cell r="AT108">
            <v>671.36579840000002</v>
          </cell>
          <cell r="AU108">
            <v>667.56262649999996</v>
          </cell>
          <cell r="AV108">
            <v>663.77977399999997</v>
          </cell>
          <cell r="AW108">
            <v>660.01672350000001</v>
          </cell>
          <cell r="AX108">
            <v>656.27294110000003</v>
          </cell>
          <cell r="AY108">
            <v>652.54783480000003</v>
          </cell>
          <cell r="AZ108">
            <v>648.84061359999998</v>
          </cell>
          <cell r="BA108">
            <v>645.15017179999995</v>
          </cell>
          <cell r="BB108">
            <v>641.47568209999997</v>
          </cell>
          <cell r="BC108">
            <v>637.81609739999999</v>
          </cell>
          <cell r="BD108">
            <v>634.16959359999998</v>
          </cell>
          <cell r="BE108">
            <v>630.2942673</v>
          </cell>
          <cell r="BF108">
            <v>626.75182099999995</v>
          </cell>
          <cell r="BG108">
            <v>623.22951149999994</v>
          </cell>
          <cell r="BH108">
            <v>619.72726850000004</v>
          </cell>
          <cell r="BI108">
            <v>616.24502619999998</v>
          </cell>
        </row>
        <row r="109">
          <cell r="F109">
            <v>139.85209269999999</v>
          </cell>
          <cell r="G109">
            <v>137.88315130000001</v>
          </cell>
          <cell r="H109">
            <v>135.91446930000001</v>
          </cell>
          <cell r="I109">
            <v>133.97567699999999</v>
          </cell>
          <cell r="J109">
            <v>132.08642950000001</v>
          </cell>
          <cell r="K109">
            <v>130.2542014</v>
          </cell>
          <cell r="L109">
            <v>128.47742270000001</v>
          </cell>
          <cell r="M109">
            <v>126.7498222</v>
          </cell>
          <cell r="N109">
            <v>125.06395790000001</v>
          </cell>
          <cell r="O109">
            <v>123.4130985</v>
          </cell>
          <cell r="P109">
            <v>121.79177350000001</v>
          </cell>
          <cell r="Q109">
            <v>120.1962577</v>
          </cell>
          <cell r="R109">
            <v>118.62421329999999</v>
          </cell>
          <cell r="S109">
            <v>117.07381599999999</v>
          </cell>
          <cell r="T109">
            <v>115.5436163</v>
          </cell>
          <cell r="U109">
            <v>114.0324413</v>
          </cell>
          <cell r="V109">
            <v>112.53943630000001</v>
          </cell>
          <cell r="W109">
            <v>111.06409119999999</v>
          </cell>
          <cell r="X109">
            <v>109.6059041</v>
          </cell>
          <cell r="Y109">
            <v>108.1645671</v>
          </cell>
          <cell r="Z109">
            <v>106.7399484</v>
          </cell>
          <cell r="AA109">
            <v>105.33206</v>
          </cell>
          <cell r="AB109">
            <v>103.9410633</v>
          </cell>
          <cell r="AC109">
            <v>102.5672026</v>
          </cell>
          <cell r="AD109">
            <v>101.2107395</v>
          </cell>
          <cell r="AE109">
            <v>99.871847009999996</v>
          </cell>
          <cell r="AF109">
            <v>98.550572869999996</v>
          </cell>
          <cell r="AG109">
            <v>97.24695011</v>
          </cell>
          <cell r="AH109">
            <v>95.961125929999994</v>
          </cell>
          <cell r="AI109">
            <v>94.693230779999993</v>
          </cell>
          <cell r="AJ109">
            <v>93.443337580000005</v>
          </cell>
          <cell r="AK109">
            <v>92.211441309999998</v>
          </cell>
          <cell r="AL109">
            <v>90.997454649999995</v>
          </cell>
          <cell r="AM109">
            <v>89.801276770000001</v>
          </cell>
          <cell r="AN109">
            <v>88.622750839999995</v>
          </cell>
          <cell r="AO109">
            <v>87.46165895</v>
          </cell>
          <cell r="AP109">
            <v>86.317610770000002</v>
          </cell>
          <cell r="AQ109">
            <v>85.190000999999995</v>
          </cell>
          <cell r="AR109">
            <v>84.078584939999999</v>
          </cell>
          <cell r="AS109">
            <v>82.983128769999993</v>
          </cell>
          <cell r="AT109">
            <v>81.903334009999995</v>
          </cell>
          <cell r="AU109">
            <v>80.838837560000002</v>
          </cell>
          <cell r="AV109">
            <v>79.789237569999997</v>
          </cell>
          <cell r="AW109">
            <v>78.754199249999999</v>
          </cell>
          <cell r="AX109">
            <v>77.733412020000003</v>
          </cell>
          <cell r="AY109">
            <v>76.726579700000002</v>
          </cell>
          <cell r="AZ109">
            <v>75.733369179999997</v>
          </cell>
          <cell r="BA109">
            <v>74.753388979999997</v>
          </cell>
          <cell r="BB109">
            <v>73.786443989999995</v>
          </cell>
          <cell r="BC109">
            <v>72.832360219999998</v>
          </cell>
          <cell r="BD109">
            <v>71.890943539999995</v>
          </cell>
          <cell r="BE109">
            <v>73.136080030000002</v>
          </cell>
          <cell r="BF109">
            <v>72.266466910000005</v>
          </cell>
          <cell r="BG109">
            <v>71.408305409999997</v>
          </cell>
          <cell r="BH109">
            <v>70.561469470000006</v>
          </cell>
          <cell r="BI109">
            <v>69.725838089999996</v>
          </cell>
        </row>
        <row r="110">
          <cell r="F110">
            <v>3.874567114</v>
          </cell>
          <cell r="G110">
            <v>3.7193422909999998</v>
          </cell>
          <cell r="H110">
            <v>3.569053094</v>
          </cell>
          <cell r="I110">
            <v>3.4254263159999998</v>
          </cell>
          <cell r="J110">
            <v>3.289414523</v>
          </cell>
          <cell r="K110">
            <v>3.161149311</v>
          </cell>
          <cell r="L110">
            <v>3.040192351</v>
          </cell>
          <cell r="M110">
            <v>2.9258375750000001</v>
          </cell>
          <cell r="N110">
            <v>2.8173446210000002</v>
          </cell>
          <cell r="O110">
            <v>2.7140576429999999</v>
          </cell>
          <cell r="P110">
            <v>2.6154344269999998</v>
          </cell>
          <cell r="Q110">
            <v>2.521054634</v>
          </cell>
          <cell r="R110">
            <v>2.4306121809999999</v>
          </cell>
          <cell r="S110">
            <v>2.3438483319999999</v>
          </cell>
          <cell r="T110">
            <v>2.2605394599999999</v>
          </cell>
          <cell r="U110">
            <v>2.1804892059999998</v>
          </cell>
          <cell r="V110">
            <v>2.103529639</v>
          </cell>
          <cell r="W110">
            <v>2.0295214100000001</v>
          </cell>
          <cell r="X110">
            <v>1.9583298250000001</v>
          </cell>
          <cell r="Y110">
            <v>1.889834856</v>
          </cell>
          <cell r="Z110">
            <v>1.8239295259999999</v>
          </cell>
          <cell r="AA110">
            <v>1.760517589</v>
          </cell>
          <cell r="AB110">
            <v>1.6995133899999999</v>
          </cell>
          <cell r="AC110">
            <v>1.640838279</v>
          </cell>
          <cell r="AD110">
            <v>1.584417127</v>
          </cell>
          <cell r="AE110">
            <v>1.530173048</v>
          </cell>
          <cell r="AF110">
            <v>1.4780254770000001</v>
          </cell>
          <cell r="AG110">
            <v>1.427895339</v>
          </cell>
          <cell r="AH110">
            <v>1.3797122690000001</v>
          </cell>
          <cell r="AI110">
            <v>1.3334085250000001</v>
          </cell>
          <cell r="AJ110">
            <v>1.288917052</v>
          </cell>
          <cell r="AK110">
            <v>1.2461704360000001</v>
          </cell>
          <cell r="AL110">
            <v>1.2051006440000001</v>
          </cell>
          <cell r="AM110">
            <v>1.1656423389999999</v>
          </cell>
          <cell r="AN110">
            <v>1.127731152</v>
          </cell>
          <cell r="AO110">
            <v>1.0913034580000001</v>
          </cell>
          <cell r="AP110">
            <v>1.056291136</v>
          </cell>
          <cell r="AQ110">
            <v>1.0226190930000001</v>
          </cell>
          <cell r="AR110">
            <v>0.99023016939999997</v>
          </cell>
          <cell r="AS110">
            <v>0.9590714468</v>
          </cell>
          <cell r="AT110">
            <v>0.92909084330000002</v>
          </cell>
          <cell r="AU110">
            <v>0.90023650369999997</v>
          </cell>
          <cell r="AV110">
            <v>0.87245723529999997</v>
          </cell>
          <cell r="AW110">
            <v>0.84570635429999996</v>
          </cell>
          <cell r="AX110">
            <v>0.81993997080000003</v>
          </cell>
          <cell r="AY110">
            <v>0.79511645480000004</v>
          </cell>
          <cell r="AZ110">
            <v>0.77119427870000001</v>
          </cell>
          <cell r="BA110">
            <v>0.74813088709999997</v>
          </cell>
          <cell r="BB110">
            <v>0.72589196779999998</v>
          </cell>
          <cell r="BC110">
            <v>0.70444571789999999</v>
          </cell>
          <cell r="BD110">
            <v>0.68376129149999998</v>
          </cell>
          <cell r="BE110">
            <v>0.72578483000000005</v>
          </cell>
          <cell r="BF110">
            <v>0.70667312709999996</v>
          </cell>
          <cell r="BG110">
            <v>0.68819737540000003</v>
          </cell>
          <cell r="BH110">
            <v>0.67033503049999998</v>
          </cell>
          <cell r="BI110">
            <v>0.65306457139999996</v>
          </cell>
        </row>
        <row r="112">
          <cell r="F112">
            <v>3.476542051</v>
          </cell>
          <cell r="G112">
            <v>5.7227175170000004</v>
          </cell>
          <cell r="H112">
            <v>7.9150342939999998</v>
          </cell>
          <cell r="I112">
            <v>9.8028883580000006</v>
          </cell>
          <cell r="J112">
            <v>11.155958439999999</v>
          </cell>
          <cell r="K112">
            <v>16.284898559999998</v>
          </cell>
          <cell r="L112">
            <v>22.964130709999999</v>
          </cell>
          <cell r="M112">
            <v>30.052271130000001</v>
          </cell>
          <cell r="N112">
            <v>37.200901440000003</v>
          </cell>
          <cell r="O112">
            <v>44.335411620000002</v>
          </cell>
          <cell r="P112">
            <v>51.49308018</v>
          </cell>
          <cell r="Q112">
            <v>58.603540189999997</v>
          </cell>
          <cell r="R112">
            <v>65.708729579999996</v>
          </cell>
          <cell r="S112">
            <v>72.805012860000005</v>
          </cell>
          <cell r="T112">
            <v>79.885960749999995</v>
          </cell>
          <cell r="U112">
            <v>86.944300999999996</v>
          </cell>
          <cell r="V112">
            <v>93.973016520000002</v>
          </cell>
          <cell r="W112">
            <v>100.9659616</v>
          </cell>
          <cell r="X112">
            <v>107.918206</v>
          </cell>
          <cell r="Y112">
            <v>114.8261943</v>
          </cell>
          <cell r="Z112">
            <v>121.6598158</v>
          </cell>
          <cell r="AA112">
            <v>128.4676058</v>
          </cell>
          <cell r="AB112">
            <v>135.2218982</v>
          </cell>
          <cell r="AC112">
            <v>141.9239321</v>
          </cell>
          <cell r="AD112">
            <v>148.5765054</v>
          </cell>
          <cell r="AE112">
            <v>155.10657610000001</v>
          </cell>
          <cell r="AF112">
            <v>161.61605589999999</v>
          </cell>
          <cell r="AG112">
            <v>168.0582703</v>
          </cell>
          <cell r="AH112">
            <v>174.42635440000001</v>
          </cell>
          <cell r="AI112">
            <v>180.715541</v>
          </cell>
          <cell r="AJ112">
            <v>186.92352360000001</v>
          </cell>
          <cell r="AK112">
            <v>193.0496919</v>
          </cell>
          <cell r="AL112">
            <v>199.0941425</v>
          </cell>
          <cell r="AM112">
            <v>205.0568231</v>
          </cell>
          <cell r="AN112">
            <v>210.9367986</v>
          </cell>
          <cell r="AO112">
            <v>216.7316568</v>
          </cell>
          <cell r="AP112">
            <v>222.42017010000001</v>
          </cell>
          <cell r="AQ112">
            <v>228.00593380000001</v>
          </cell>
          <cell r="AR112">
            <v>233.47198330000001</v>
          </cell>
          <cell r="AS112">
            <v>238.7966868</v>
          </cell>
          <cell r="AT112">
            <v>243.9534712</v>
          </cell>
          <cell r="AU112">
            <v>248.9095696</v>
          </cell>
          <cell r="AV112">
            <v>253.6235447</v>
          </cell>
          <cell r="AW112">
            <v>258.04061990000002</v>
          </cell>
          <cell r="AX112">
            <v>262.08351859999999</v>
          </cell>
          <cell r="AY112">
            <v>265.63356859999999</v>
          </cell>
          <cell r="AZ112">
            <v>268.48972259999999</v>
          </cell>
          <cell r="BA112">
            <v>272.33613630000002</v>
          </cell>
          <cell r="BB112">
            <v>276.30593060000001</v>
          </cell>
          <cell r="BC112">
            <v>280.8631848</v>
          </cell>
          <cell r="BD112">
            <v>285.9393872</v>
          </cell>
          <cell r="BE112">
            <v>23.02165338</v>
          </cell>
          <cell r="BF112">
            <v>23.098603359999998</v>
          </cell>
          <cell r="BG112">
            <v>23.175166600000001</v>
          </cell>
          <cell r="BH112">
            <v>23.251348539999999</v>
          </cell>
          <cell r="BI112">
            <v>23.327155260000001</v>
          </cell>
        </row>
        <row r="113">
          <cell r="F113">
            <v>68.80476281</v>
          </cell>
          <cell r="G113">
            <v>77.184615870000002</v>
          </cell>
          <cell r="H113">
            <v>86.226500180000002</v>
          </cell>
          <cell r="I113">
            <v>95.7928912</v>
          </cell>
          <cell r="J113">
            <v>106.7444996</v>
          </cell>
          <cell r="K113">
            <v>114.81332</v>
          </cell>
          <cell r="L113">
            <v>120.31708620000001</v>
          </cell>
          <cell r="M113">
            <v>124.82551599999999</v>
          </cell>
          <cell r="N113">
            <v>128.83006409999999</v>
          </cell>
          <cell r="O113">
            <v>132.56906040000001</v>
          </cell>
          <cell r="P113">
            <v>137.19726900000001</v>
          </cell>
          <cell r="Q113">
            <v>140.70088010000001</v>
          </cell>
          <cell r="R113">
            <v>144.14771680000001</v>
          </cell>
          <cell r="S113">
            <v>147.5577696</v>
          </cell>
          <cell r="T113">
            <v>150.9439351</v>
          </cell>
          <cell r="U113">
            <v>154.31504810000001</v>
          </cell>
          <cell r="V113">
            <v>157.67745650000001</v>
          </cell>
          <cell r="W113">
            <v>161.03583710000001</v>
          </cell>
          <cell r="X113">
            <v>164.39361930000001</v>
          </cell>
          <cell r="Y113">
            <v>167.7532214</v>
          </cell>
          <cell r="Z113">
            <v>170.4298134</v>
          </cell>
          <cell r="AA113">
            <v>173.7977822</v>
          </cell>
          <cell r="AB113">
            <v>177.17320910000001</v>
          </cell>
          <cell r="AC113">
            <v>180.55592920000001</v>
          </cell>
          <cell r="AD113">
            <v>183.94502199999999</v>
          </cell>
          <cell r="AE113">
            <v>185.46559120000001</v>
          </cell>
          <cell r="AF113">
            <v>187.98594589999999</v>
          </cell>
          <cell r="AG113">
            <v>190.51667939999999</v>
          </cell>
          <cell r="AH113">
            <v>193.0612836</v>
          </cell>
          <cell r="AI113">
            <v>195.62235889999999</v>
          </cell>
          <cell r="AJ113">
            <v>198.2014044</v>
          </cell>
          <cell r="AK113">
            <v>200.79913400000001</v>
          </cell>
          <cell r="AL113">
            <v>203.41590289999999</v>
          </cell>
          <cell r="AM113">
            <v>206.05209049999999</v>
          </cell>
          <cell r="AN113">
            <v>208.70843959999999</v>
          </cell>
          <cell r="AO113">
            <v>211.3863431</v>
          </cell>
          <cell r="AP113">
            <v>213.6884244</v>
          </cell>
          <cell r="AQ113">
            <v>216.01920659999999</v>
          </cell>
          <cell r="AR113">
            <v>218.3868081</v>
          </cell>
          <cell r="AS113">
            <v>220.8017495</v>
          </cell>
          <cell r="AT113">
            <v>223.27723230000001</v>
          </cell>
          <cell r="AU113">
            <v>225.82998309999999</v>
          </cell>
          <cell r="AV113">
            <v>228.481964</v>
          </cell>
          <cell r="AW113">
            <v>231.2638402</v>
          </cell>
          <cell r="AX113">
            <v>234.22263810000001</v>
          </cell>
          <cell r="AY113">
            <v>237.4413366</v>
          </cell>
          <cell r="AZ113">
            <v>241.13747670000001</v>
          </cell>
          <cell r="BA113">
            <v>244.86279529999999</v>
          </cell>
          <cell r="BB113">
            <v>249.31711910000001</v>
          </cell>
          <cell r="BC113">
            <v>253.31744620000001</v>
          </cell>
          <cell r="BD113">
            <v>256.61932789999997</v>
          </cell>
          <cell r="BE113">
            <v>505.70694400000002</v>
          </cell>
          <cell r="BF113">
            <v>512.00260160000005</v>
          </cell>
          <cell r="BG113">
            <v>518.24737849999997</v>
          </cell>
          <cell r="BH113">
            <v>524.44232790000001</v>
          </cell>
          <cell r="BI113">
            <v>530.58864100000005</v>
          </cell>
        </row>
        <row r="114">
          <cell r="F114">
            <v>408.28039699999999</v>
          </cell>
          <cell r="G114">
            <v>425.47099270000001</v>
          </cell>
          <cell r="H114">
            <v>444.58497030000001</v>
          </cell>
          <cell r="I114">
            <v>464.58604120000001</v>
          </cell>
          <cell r="J114">
            <v>486.66937130000002</v>
          </cell>
          <cell r="K114">
            <v>503.4087131</v>
          </cell>
          <cell r="L114">
            <v>515.14708389999998</v>
          </cell>
          <cell r="M114">
            <v>525.29697060000001</v>
          </cell>
          <cell r="N114">
            <v>534.66990420000002</v>
          </cell>
          <cell r="O114">
            <v>543.64612439999996</v>
          </cell>
          <cell r="P114">
            <v>555.32216010000002</v>
          </cell>
          <cell r="Q114">
            <v>563.96909449999998</v>
          </cell>
          <cell r="R114">
            <v>572.54159790000006</v>
          </cell>
          <cell r="S114">
            <v>581.06931380000003</v>
          </cell>
          <cell r="T114">
            <v>589.57113349999997</v>
          </cell>
          <cell r="U114">
            <v>598.0598847</v>
          </cell>
          <cell r="V114">
            <v>606.54473350000001</v>
          </cell>
          <cell r="W114">
            <v>615.0324071</v>
          </cell>
          <cell r="X114">
            <v>623.52781179999999</v>
          </cell>
          <cell r="Y114">
            <v>632.03436280000005</v>
          </cell>
          <cell r="Z114">
            <v>638.62613699999997</v>
          </cell>
          <cell r="AA114">
            <v>647.1584838</v>
          </cell>
          <cell r="AB114">
            <v>655.7098479</v>
          </cell>
          <cell r="AC114">
            <v>664.27964469999995</v>
          </cell>
          <cell r="AD114">
            <v>672.86609450000003</v>
          </cell>
          <cell r="AE114">
            <v>676.20393379999996</v>
          </cell>
          <cell r="AF114">
            <v>682.34073530000001</v>
          </cell>
          <cell r="AG114">
            <v>688.49357039999995</v>
          </cell>
          <cell r="AH114">
            <v>694.66758890000006</v>
          </cell>
          <cell r="AI114">
            <v>700.86652800000002</v>
          </cell>
          <cell r="AJ114">
            <v>707.09243030000005</v>
          </cell>
          <cell r="AK114">
            <v>713.34611759999996</v>
          </cell>
          <cell r="AL114">
            <v>719.62787070000002</v>
          </cell>
          <cell r="AM114">
            <v>725.93805210000005</v>
          </cell>
          <cell r="AN114">
            <v>732.27766569999994</v>
          </cell>
          <cell r="AO114">
            <v>738.64883180000004</v>
          </cell>
          <cell r="AP114">
            <v>743.93233239999995</v>
          </cell>
          <cell r="AQ114">
            <v>749.25728579999998</v>
          </cell>
          <cell r="AR114">
            <v>754.63724820000004</v>
          </cell>
          <cell r="AS114">
            <v>760.09008289999997</v>
          </cell>
          <cell r="AT114">
            <v>765.63871389999997</v>
          </cell>
          <cell r="AU114">
            <v>771.31304899999998</v>
          </cell>
          <cell r="AV114">
            <v>777.15379499999995</v>
          </cell>
          <cell r="AW114">
            <v>783.22025210000004</v>
          </cell>
          <cell r="AX114">
            <v>789.60799410000004</v>
          </cell>
          <cell r="AY114">
            <v>796.49655580000001</v>
          </cell>
          <cell r="AZ114">
            <v>804.41513710000004</v>
          </cell>
          <cell r="BA114">
            <v>811.47357199999999</v>
          </cell>
          <cell r="BB114">
            <v>818.84458229999996</v>
          </cell>
          <cell r="BC114">
            <v>825.58277220000002</v>
          </cell>
          <cell r="BD114">
            <v>831.54622710000001</v>
          </cell>
          <cell r="BE114">
            <v>1097.5222470000001</v>
          </cell>
          <cell r="BF114">
            <v>1106.9728580000001</v>
          </cell>
          <cell r="BG114">
            <v>1116.3591220000001</v>
          </cell>
          <cell r="BH114">
            <v>1125.682438</v>
          </cell>
          <cell r="BI114">
            <v>1134.9443100000001</v>
          </cell>
        </row>
        <row r="115">
          <cell r="F115">
            <v>954.38155940000001</v>
          </cell>
          <cell r="G115">
            <v>947.69777139999997</v>
          </cell>
          <cell r="H115">
            <v>940.93763560000002</v>
          </cell>
          <cell r="I115">
            <v>933.32371680000006</v>
          </cell>
          <cell r="J115">
            <v>923.43122430000005</v>
          </cell>
          <cell r="K115">
            <v>915.16062929999998</v>
          </cell>
          <cell r="L115">
            <v>908.60448159999999</v>
          </cell>
          <cell r="M115">
            <v>903.13097530000005</v>
          </cell>
          <cell r="N115">
            <v>898.27586510000003</v>
          </cell>
          <cell r="O115">
            <v>893.76580839999997</v>
          </cell>
          <cell r="P115">
            <v>889.45010090000005</v>
          </cell>
          <cell r="Q115">
            <v>885.24814360000005</v>
          </cell>
          <cell r="R115">
            <v>881.11617200000001</v>
          </cell>
          <cell r="S115">
            <v>877.03083709999999</v>
          </cell>
          <cell r="T115">
            <v>872.97939259999998</v>
          </cell>
          <cell r="U115">
            <v>868.95471940000004</v>
          </cell>
          <cell r="V115">
            <v>864.95270889999995</v>
          </cell>
          <cell r="W115">
            <v>860.97088959999996</v>
          </cell>
          <cell r="X115">
            <v>857.00770750000004</v>
          </cell>
          <cell r="Y115">
            <v>853.06214820000002</v>
          </cell>
          <cell r="Z115">
            <v>849.13347150000004</v>
          </cell>
          <cell r="AA115">
            <v>845.22079229999997</v>
          </cell>
          <cell r="AB115">
            <v>841.32393930000001</v>
          </cell>
          <cell r="AC115">
            <v>837.44267409999998</v>
          </cell>
          <cell r="AD115">
            <v>833.57692329999998</v>
          </cell>
          <cell r="AE115">
            <v>829.7265443</v>
          </cell>
          <cell r="AF115">
            <v>825.89032910000003</v>
          </cell>
          <cell r="AG115">
            <v>822.06799509999996</v>
          </cell>
          <cell r="AH115">
            <v>818.25883190000002</v>
          </cell>
          <cell r="AI115">
            <v>814.46217520000005</v>
          </cell>
          <cell r="AJ115">
            <v>810.6774805</v>
          </cell>
          <cell r="AK115">
            <v>806.90432390000001</v>
          </cell>
          <cell r="AL115">
            <v>803.14236440000002</v>
          </cell>
          <cell r="AM115">
            <v>799.39128849999997</v>
          </cell>
          <cell r="AN115">
            <v>795.6507421</v>
          </cell>
          <cell r="AO115">
            <v>791.92025420000004</v>
          </cell>
          <cell r="AP115">
            <v>788.19906519999995</v>
          </cell>
          <cell r="AQ115">
            <v>784.48568139999998</v>
          </cell>
          <cell r="AR115">
            <v>780.77797039999996</v>
          </cell>
          <cell r="AS115">
            <v>777.07276330000002</v>
          </cell>
          <cell r="AT115">
            <v>773.36545139999998</v>
          </cell>
          <cell r="AU115">
            <v>769.6492442</v>
          </cell>
          <cell r="AV115">
            <v>765.91377490000002</v>
          </cell>
          <cell r="AW115">
            <v>762.14232960000004</v>
          </cell>
          <cell r="AX115">
            <v>758.30587890000004</v>
          </cell>
          <cell r="AY115">
            <v>754.34888690000002</v>
          </cell>
          <cell r="AZ115">
            <v>750.15091970000003</v>
          </cell>
          <cell r="BA115">
            <v>745.40464280000003</v>
          </cell>
          <cell r="BB115">
            <v>739.19345339999995</v>
          </cell>
          <cell r="BC115">
            <v>733.29092279999998</v>
          </cell>
          <cell r="BD115">
            <v>728.22389129999999</v>
          </cell>
          <cell r="BE115">
            <v>484.04968780000002</v>
          </cell>
          <cell r="BF115">
            <v>477.39374570000001</v>
          </cell>
          <cell r="BG115">
            <v>470.83057000000002</v>
          </cell>
          <cell r="BH115">
            <v>464.35802790000002</v>
          </cell>
          <cell r="BI115">
            <v>457.97382290000002</v>
          </cell>
        </row>
        <row r="116">
          <cell r="F116">
            <v>878.79999729999997</v>
          </cell>
          <cell r="G116">
            <v>867.97061580000002</v>
          </cell>
          <cell r="H116">
            <v>857.17684689999999</v>
          </cell>
          <cell r="I116">
            <v>846.13862789999996</v>
          </cell>
          <cell r="J116">
            <v>834.45323340000004</v>
          </cell>
          <cell r="K116">
            <v>825.60426419999999</v>
          </cell>
          <cell r="L116">
            <v>818.66441180000004</v>
          </cell>
          <cell r="M116">
            <v>812.81115399999999</v>
          </cell>
          <cell r="N116">
            <v>807.55775389999997</v>
          </cell>
          <cell r="O116">
            <v>802.63672829999996</v>
          </cell>
          <cell r="P116">
            <v>797.90480590000004</v>
          </cell>
          <cell r="Q116">
            <v>793.28651950000005</v>
          </cell>
          <cell r="R116">
            <v>788.74112009999999</v>
          </cell>
          <cell r="S116">
            <v>784.24690190000001</v>
          </cell>
          <cell r="T116">
            <v>779.79195059999995</v>
          </cell>
          <cell r="U116">
            <v>775.36951869999996</v>
          </cell>
          <cell r="V116">
            <v>770.9756175</v>
          </cell>
          <cell r="W116">
            <v>766.60777029999997</v>
          </cell>
          <cell r="X116">
            <v>762.26436969999997</v>
          </cell>
          <cell r="Y116">
            <v>757.94434739999997</v>
          </cell>
          <cell r="Z116">
            <v>753.64688850000005</v>
          </cell>
          <cell r="AA116">
            <v>749.37100359999999</v>
          </cell>
          <cell r="AB116">
            <v>745.1165254</v>
          </cell>
          <cell r="AC116">
            <v>740.88333130000001</v>
          </cell>
          <cell r="AD116">
            <v>736.67154230000006</v>
          </cell>
          <cell r="AE116">
            <v>732.48110259999999</v>
          </cell>
          <cell r="AF116">
            <v>728.3106196</v>
          </cell>
          <cell r="AG116">
            <v>724.15961010000001</v>
          </cell>
          <cell r="AH116">
            <v>720.02724539999997</v>
          </cell>
          <cell r="AI116">
            <v>715.91285379999999</v>
          </cell>
          <cell r="AJ116">
            <v>711.81599210000002</v>
          </cell>
          <cell r="AK116">
            <v>707.73642470000004</v>
          </cell>
          <cell r="AL116">
            <v>703.67404859999999</v>
          </cell>
          <cell r="AM116">
            <v>699.62880250000001</v>
          </cell>
          <cell r="AN116">
            <v>695.60057059999997</v>
          </cell>
          <cell r="AO116">
            <v>691.58908880000001</v>
          </cell>
          <cell r="AP116">
            <v>687.59373419999997</v>
          </cell>
          <cell r="AQ116">
            <v>683.61303969999994</v>
          </cell>
          <cell r="AR116">
            <v>679.64484679999998</v>
          </cell>
          <cell r="AS116">
            <v>675.68597880000004</v>
          </cell>
          <cell r="AT116">
            <v>671.73187789999997</v>
          </cell>
          <cell r="AU116">
            <v>667.77582840000002</v>
          </cell>
          <cell r="AV116">
            <v>663.80730010000002</v>
          </cell>
          <cell r="AW116">
            <v>659.80812820000006</v>
          </cell>
          <cell r="AX116">
            <v>655.74230899999998</v>
          </cell>
          <cell r="AY116">
            <v>651.52181340000004</v>
          </cell>
          <cell r="AZ116">
            <v>646.8457429</v>
          </cell>
          <cell r="BA116">
            <v>642.55229350000002</v>
          </cell>
          <cell r="BB116">
            <v>638.55257819999997</v>
          </cell>
          <cell r="BC116">
            <v>634.73752000000002</v>
          </cell>
          <cell r="BD116">
            <v>631.03533660000005</v>
          </cell>
          <cell r="BE116">
            <v>627.43126419999999</v>
          </cell>
          <cell r="BF116">
            <v>623.80247299999996</v>
          </cell>
          <cell r="BG116">
            <v>620.1914491</v>
          </cell>
          <cell r="BH116">
            <v>616.59806479999997</v>
          </cell>
          <cell r="BI116">
            <v>613.02212169999996</v>
          </cell>
        </row>
        <row r="117">
          <cell r="F117">
            <v>139.85209269999999</v>
          </cell>
          <cell r="G117">
            <v>137.95542620000001</v>
          </cell>
          <cell r="H117">
            <v>136.0868151</v>
          </cell>
          <cell r="I117">
            <v>134.2500221</v>
          </cell>
          <cell r="J117">
            <v>132.44730100000001</v>
          </cell>
          <cell r="K117">
            <v>130.6786276</v>
          </cell>
          <cell r="L117">
            <v>128.94239920000001</v>
          </cell>
          <cell r="M117">
            <v>127.23581470000001</v>
          </cell>
          <cell r="N117">
            <v>125.5558056</v>
          </cell>
          <cell r="O117">
            <v>123.8997037</v>
          </cell>
          <cell r="P117">
            <v>122.26555</v>
          </cell>
          <cell r="Q117">
            <v>120.6520087</v>
          </cell>
          <cell r="R117">
            <v>119.0581193</v>
          </cell>
          <cell r="S117">
            <v>117.4832194</v>
          </cell>
          <cell r="T117">
            <v>115.9268713</v>
          </cell>
          <cell r="U117">
            <v>114.38879660000001</v>
          </cell>
          <cell r="V117">
            <v>112.8688291</v>
          </cell>
          <cell r="W117">
            <v>111.36688289999999</v>
          </cell>
          <cell r="X117">
            <v>109.88293109999999</v>
          </cell>
          <cell r="Y117">
            <v>108.4169892</v>
          </cell>
          <cell r="Z117">
            <v>106.96906989999999</v>
          </cell>
          <cell r="AA117">
            <v>105.5391838</v>
          </cell>
          <cell r="AB117">
            <v>104.1273893</v>
          </cell>
          <cell r="AC117">
            <v>102.73375369999999</v>
          </cell>
          <cell r="AD117">
            <v>101.35832480000001</v>
          </cell>
          <cell r="AE117">
            <v>100.0010434</v>
          </cell>
          <cell r="AF117">
            <v>98.661739859999997</v>
          </cell>
          <cell r="AG117">
            <v>97.340268559999998</v>
          </cell>
          <cell r="AH117">
            <v>96.036500689999997</v>
          </cell>
          <cell r="AI117">
            <v>94.750307169999999</v>
          </cell>
          <cell r="AJ117">
            <v>93.481543209999998</v>
          </cell>
          <cell r="AK117">
            <v>92.230042920000002</v>
          </cell>
          <cell r="AL117">
            <v>90.995615459999996</v>
          </cell>
          <cell r="AM117">
            <v>89.778041979999998</v>
          </cell>
          <cell r="AN117">
            <v>88.577074839999995</v>
          </cell>
          <cell r="AO117">
            <v>87.392439769999996</v>
          </cell>
          <cell r="AP117">
            <v>86.2238282</v>
          </cell>
          <cell r="AQ117">
            <v>85.070898020000001</v>
          </cell>
          <cell r="AR117">
            <v>83.933300680000002</v>
          </cell>
          <cell r="AS117">
            <v>82.810697270000006</v>
          </cell>
          <cell r="AT117">
            <v>81.702766589999996</v>
          </cell>
          <cell r="AU117">
            <v>80.609209019999994</v>
          </cell>
          <cell r="AV117">
            <v>79.529748530000006</v>
          </cell>
          <cell r="AW117">
            <v>78.464131480000006</v>
          </cell>
          <cell r="AX117">
            <v>77.412121080000006</v>
          </cell>
          <cell r="AY117">
            <v>76.373492260000006</v>
          </cell>
          <cell r="AZ117">
            <v>75.348025930000006</v>
          </cell>
          <cell r="BA117">
            <v>74.33548906</v>
          </cell>
          <cell r="BB117">
            <v>73.335748679999995</v>
          </cell>
          <cell r="BC117">
            <v>72.348674270000004</v>
          </cell>
          <cell r="BD117">
            <v>71.374126570000001</v>
          </cell>
          <cell r="BE117">
            <v>71.569973329999996</v>
          </cell>
          <cell r="BF117">
            <v>70.642954649999993</v>
          </cell>
          <cell r="BG117">
            <v>69.727825420000002</v>
          </cell>
          <cell r="BH117">
            <v>68.824426950000003</v>
          </cell>
          <cell r="BI117">
            <v>67.932590059999995</v>
          </cell>
        </row>
        <row r="118">
          <cell r="F118">
            <v>3.874567114</v>
          </cell>
          <cell r="G118">
            <v>3.7242339819999999</v>
          </cell>
          <cell r="H118">
            <v>3.5803045760000001</v>
          </cell>
          <cell r="I118">
            <v>3.4427972160000002</v>
          </cell>
          <cell r="J118">
            <v>3.3116253869999999</v>
          </cell>
          <cell r="K118">
            <v>3.1865472050000001</v>
          </cell>
          <cell r="L118">
            <v>3.0671962060000002</v>
          </cell>
          <cell r="M118">
            <v>2.9531470999999998</v>
          </cell>
          <cell r="N118">
            <v>2.843983218</v>
          </cell>
          <cell r="O118">
            <v>2.7393390050000002</v>
          </cell>
          <cell r="P118">
            <v>2.6389157519999999</v>
          </cell>
          <cell r="Q118">
            <v>2.5424707350000002</v>
          </cell>
          <cell r="R118">
            <v>2.4497966789999999</v>
          </cell>
          <cell r="S118">
            <v>2.3607140210000002</v>
          </cell>
          <cell r="T118">
            <v>2.2750643959999999</v>
          </cell>
          <cell r="U118">
            <v>2.1927053089999999</v>
          </cell>
          <cell r="V118">
            <v>2.113506288</v>
          </cell>
          <cell r="W118">
            <v>2.0373462839999998</v>
          </cell>
          <cell r="X118">
            <v>1.9641118689999999</v>
          </cell>
          <cell r="Y118">
            <v>1.893695881</v>
          </cell>
          <cell r="Z118">
            <v>1.8259947059999999</v>
          </cell>
          <cell r="AA118">
            <v>1.7609081680000001</v>
          </cell>
          <cell r="AB118">
            <v>1.6983420170000001</v>
          </cell>
          <cell r="AC118">
            <v>1.638205935</v>
          </cell>
          <cell r="AD118">
            <v>1.5804121019999999</v>
          </cell>
          <cell r="AE118">
            <v>1.5248709760000001</v>
          </cell>
          <cell r="AF118">
            <v>1.471491307</v>
          </cell>
          <cell r="AG118">
            <v>1.4201864019999999</v>
          </cell>
          <cell r="AH118">
            <v>1.370873939</v>
          </cell>
          <cell r="AI118">
            <v>1.323475202</v>
          </cell>
          <cell r="AJ118">
            <v>1.2779144229999999</v>
          </cell>
          <cell r="AK118">
            <v>1.2341184620000001</v>
          </cell>
          <cell r="AL118">
            <v>1.1920164470000001</v>
          </cell>
          <cell r="AM118">
            <v>1.1515395289999999</v>
          </cell>
          <cell r="AN118">
            <v>1.1126207749999999</v>
          </cell>
          <cell r="AO118">
            <v>1.075195181</v>
          </cell>
          <cell r="AP118">
            <v>1.039199301</v>
          </cell>
          <cell r="AQ118">
            <v>1.0045712040000001</v>
          </cell>
          <cell r="AR118">
            <v>0.9712513613</v>
          </cell>
          <cell r="AS118">
            <v>0.93918311990000003</v>
          </cell>
          <cell r="AT118">
            <v>0.90831284869999995</v>
          </cell>
          <cell r="AU118">
            <v>0.8785899116</v>
          </cell>
          <cell r="AV118">
            <v>0.84996657170000001</v>
          </cell>
          <cell r="AW118">
            <v>0.82239779710000005</v>
          </cell>
          <cell r="AX118">
            <v>0.79584096410000005</v>
          </cell>
          <cell r="AY118">
            <v>0.77025562280000004</v>
          </cell>
          <cell r="AZ118">
            <v>0.74560335950000001</v>
          </cell>
          <cell r="BA118">
            <v>0.72184771579999996</v>
          </cell>
          <cell r="BB118">
            <v>0.69895407170000001</v>
          </cell>
          <cell r="BC118">
            <v>0.67688946000000005</v>
          </cell>
          <cell r="BD118">
            <v>0.65562223539999998</v>
          </cell>
          <cell r="BE118">
            <v>0.67613615360000001</v>
          </cell>
          <cell r="BF118">
            <v>0.65614706970000003</v>
          </cell>
          <cell r="BG118">
            <v>0.6368516139</v>
          </cell>
          <cell r="BH118">
            <v>0.61822360580000002</v>
          </cell>
          <cell r="BI118">
            <v>0.6002375418</v>
          </cell>
        </row>
        <row r="205">
          <cell r="E205" t="str">
            <v>YG_toe_2</v>
          </cell>
          <cell r="F205">
            <v>146.05450830000001</v>
          </cell>
          <cell r="G205">
            <v>146.57091600000001</v>
          </cell>
          <cell r="H205">
            <v>147.1089102</v>
          </cell>
          <cell r="I205">
            <v>147.76364649999999</v>
          </cell>
          <cell r="J205">
            <v>148.591454</v>
          </cell>
          <cell r="K205">
            <v>149.5915469</v>
          </cell>
          <cell r="L205">
            <v>150.6506301</v>
          </cell>
          <cell r="M205">
            <v>151.79322909999999</v>
          </cell>
          <cell r="N205">
            <v>152.99634209999999</v>
          </cell>
          <cell r="O205">
            <v>154.2335339</v>
          </cell>
          <cell r="P205">
            <v>155.4105409</v>
          </cell>
          <cell r="Q205">
            <v>156.80272009999999</v>
          </cell>
          <cell r="R205">
            <v>158.21707430000001</v>
          </cell>
          <cell r="S205">
            <v>159.64419620000001</v>
          </cell>
          <cell r="T205">
            <v>161.082706</v>
          </cell>
          <cell r="U205">
            <v>162.5319978</v>
          </cell>
          <cell r="V205">
            <v>163.98103610000001</v>
          </cell>
          <cell r="W205">
            <v>165.43601200000001</v>
          </cell>
          <cell r="X205">
            <v>166.89786100000001</v>
          </cell>
          <cell r="Y205">
            <v>168.36750900000001</v>
          </cell>
          <cell r="Z205">
            <v>169.7452868</v>
          </cell>
          <cell r="AA205">
            <v>171.20332440000001</v>
          </cell>
          <cell r="AB205">
            <v>172.68635259999999</v>
          </cell>
          <cell r="AC205">
            <v>174.18932899999999</v>
          </cell>
          <cell r="AD205">
            <v>175.71184640000001</v>
          </cell>
          <cell r="AE205">
            <v>176.96926640000001</v>
          </cell>
          <cell r="AF205">
            <v>178.3160307</v>
          </cell>
          <cell r="AG205">
            <v>179.6810112</v>
          </cell>
          <cell r="AH205">
            <v>181.06282350000001</v>
          </cell>
          <cell r="AI205">
            <v>182.46406809999999</v>
          </cell>
          <cell r="AJ205">
            <v>183.88776110000001</v>
          </cell>
          <cell r="AK205">
            <v>185.33929760000001</v>
          </cell>
          <cell r="AL205">
            <v>186.81868840000001</v>
          </cell>
          <cell r="AM205">
            <v>188.3268372</v>
          </cell>
          <cell r="AN205">
            <v>189.8641691</v>
          </cell>
          <cell r="AO205">
            <v>191.43078360000001</v>
          </cell>
          <cell r="AP205">
            <v>192.9865977</v>
          </cell>
          <cell r="AQ205">
            <v>194.55904810000001</v>
          </cell>
          <cell r="AR205">
            <v>196.15338259999999</v>
          </cell>
          <cell r="AS205">
            <v>197.77123449999999</v>
          </cell>
          <cell r="AT205">
            <v>199.4132778</v>
          </cell>
          <cell r="AU205">
            <v>201.08431160000001</v>
          </cell>
          <cell r="AV205">
            <v>202.78167680000001</v>
          </cell>
          <cell r="AW205">
            <v>204.5051244</v>
          </cell>
          <cell r="AX205">
            <v>206.25439030000001</v>
          </cell>
          <cell r="AY205">
            <v>208.02916540000001</v>
          </cell>
          <cell r="AZ205">
            <v>209.85050469999999</v>
          </cell>
          <cell r="BA205">
            <v>211.70380979999999</v>
          </cell>
          <cell r="BB205">
            <v>213.58672480000001</v>
          </cell>
          <cell r="BC205">
            <v>215.49763010000001</v>
          </cell>
          <cell r="BD205">
            <v>217.4353581</v>
          </cell>
          <cell r="BE205">
            <v>260.51870730000002</v>
          </cell>
          <cell r="BF205">
            <v>264.01853419999998</v>
          </cell>
          <cell r="BG205">
            <v>267.57925560000001</v>
          </cell>
          <cell r="BH205">
            <v>271.20175319999998</v>
          </cell>
          <cell r="BI205">
            <v>274.88702260000002</v>
          </cell>
        </row>
        <row r="206">
          <cell r="E206" t="str">
            <v>YG_toe_ccoa_2</v>
          </cell>
          <cell r="F206">
            <v>2.3252469630000001</v>
          </cell>
          <cell r="G206">
            <v>2.3321141490000001</v>
          </cell>
          <cell r="H206">
            <v>2.3487777849999998</v>
          </cell>
          <cell r="I206">
            <v>2.3690186770000001</v>
          </cell>
          <cell r="J206">
            <v>2.3917453979999999</v>
          </cell>
          <cell r="K206">
            <v>2.4165405450000002</v>
          </cell>
          <cell r="L206">
            <v>2.4415541740000002</v>
          </cell>
          <cell r="M206">
            <v>2.4675823879999998</v>
          </cell>
          <cell r="N206">
            <v>2.4946252539999998</v>
          </cell>
          <cell r="O206">
            <v>2.5225445710000001</v>
          </cell>
          <cell r="P206">
            <v>2.5485468619999998</v>
          </cell>
          <cell r="Q206">
            <v>2.5808057170000001</v>
          </cell>
          <cell r="R206">
            <v>2.6148186010000001</v>
          </cell>
          <cell r="S206">
            <v>2.6496282510000002</v>
          </cell>
          <cell r="T206">
            <v>2.6849914519999998</v>
          </cell>
          <cell r="U206">
            <v>2.7208275089999998</v>
          </cell>
          <cell r="V206">
            <v>2.7567963039999999</v>
          </cell>
          <cell r="W206">
            <v>2.7931465260000001</v>
          </cell>
          <cell r="X206">
            <v>2.8299125260000002</v>
          </cell>
          <cell r="Y206">
            <v>2.867098532</v>
          </cell>
          <cell r="Z206">
            <v>2.9029278459999999</v>
          </cell>
          <cell r="AA206">
            <v>2.9404200189999998</v>
          </cell>
          <cell r="AB206">
            <v>2.9786292620000001</v>
          </cell>
          <cell r="AC206">
            <v>3.0173848099999998</v>
          </cell>
          <cell r="AD206">
            <v>3.0566692889999998</v>
          </cell>
          <cell r="AE206">
            <v>3.0913950219999999</v>
          </cell>
          <cell r="AF206">
            <v>3.1279093269999998</v>
          </cell>
          <cell r="AG206">
            <v>3.1649794409999998</v>
          </cell>
          <cell r="AH206">
            <v>3.2024166959999998</v>
          </cell>
          <cell r="AI206">
            <v>3.240232083</v>
          </cell>
          <cell r="AJ206">
            <v>3.278466495</v>
          </cell>
          <cell r="AK206">
            <v>3.3172475650000002</v>
          </cell>
          <cell r="AL206">
            <v>3.3565249499999998</v>
          </cell>
          <cell r="AM206">
            <v>3.3963033650000001</v>
          </cell>
          <cell r="AN206">
            <v>3.436589101</v>
          </cell>
          <cell r="AO206">
            <v>3.477383777</v>
          </cell>
          <cell r="AP206">
            <v>3.51832893</v>
          </cell>
          <cell r="AQ206">
            <v>3.559501858</v>
          </cell>
          <cell r="AR206">
            <v>3.600968559</v>
          </cell>
          <cell r="AS206">
            <v>3.6427715630000002</v>
          </cell>
          <cell r="AT206">
            <v>3.6849417149999999</v>
          </cell>
          <cell r="AU206">
            <v>3.7276484050000001</v>
          </cell>
          <cell r="AV206">
            <v>3.7707868100000002</v>
          </cell>
          <cell r="AW206">
            <v>3.8143525220000001</v>
          </cell>
          <cell r="AX206">
            <v>3.8583543119999999</v>
          </cell>
          <cell r="AY206">
            <v>3.9028000999999999</v>
          </cell>
          <cell r="AZ206">
            <v>3.94832523</v>
          </cell>
          <cell r="BA206">
            <v>3.9944219749999998</v>
          </cell>
          <cell r="BB206">
            <v>4.0410139049999998</v>
          </cell>
          <cell r="BC206">
            <v>4.0880974730000004</v>
          </cell>
          <cell r="BD206">
            <v>4.1356800690000002</v>
          </cell>
          <cell r="BE206">
            <v>5.3030612970000002</v>
          </cell>
          <cell r="BF206">
            <v>5.3926175350000003</v>
          </cell>
          <cell r="BG206">
            <v>5.4835762130000001</v>
          </cell>
          <cell r="BH206">
            <v>5.5759606100000001</v>
          </cell>
          <cell r="BI206">
            <v>5.6697948240000002</v>
          </cell>
        </row>
        <row r="209">
          <cell r="E209" t="str">
            <v>YG_toe_ccoi_2</v>
          </cell>
          <cell r="F209">
            <v>1.0772851459999999</v>
          </cell>
          <cell r="G209">
            <v>1.079412305</v>
          </cell>
          <cell r="H209">
            <v>1.0828672050000001</v>
          </cell>
          <cell r="I209">
            <v>1.0874738530000001</v>
          </cell>
          <cell r="J209">
            <v>1.093560251</v>
          </cell>
          <cell r="K209">
            <v>1.1011083100000001</v>
          </cell>
          <cell r="L209">
            <v>1.1093358900000001</v>
          </cell>
          <cell r="M209">
            <v>1.1183424289999999</v>
          </cell>
          <cell r="N209">
            <v>1.127986384</v>
          </cell>
          <cell r="O209">
            <v>1.1380922419999999</v>
          </cell>
          <cell r="P209">
            <v>1.1477376180000001</v>
          </cell>
          <cell r="Q209">
            <v>1.1594333080000001</v>
          </cell>
          <cell r="R209">
            <v>1.1717289870000001</v>
          </cell>
          <cell r="S209">
            <v>1.1843106219999999</v>
          </cell>
          <cell r="T209">
            <v>1.1971009699999999</v>
          </cell>
          <cell r="U209">
            <v>1.210069488</v>
          </cell>
          <cell r="V209">
            <v>1.223117459</v>
          </cell>
          <cell r="W209">
            <v>1.2362864419999999</v>
          </cell>
          <cell r="X209">
            <v>1.2495755550000001</v>
          </cell>
          <cell r="Y209">
            <v>1.2629784020000001</v>
          </cell>
          <cell r="Z209">
            <v>1.275821275</v>
          </cell>
          <cell r="AA209">
            <v>1.289189326</v>
          </cell>
          <cell r="AB209">
            <v>1.302782055</v>
          </cell>
          <cell r="AC209">
            <v>1.316529616</v>
          </cell>
          <cell r="AD209">
            <v>1.3304204770000001</v>
          </cell>
          <cell r="AE209">
            <v>1.3425474470000001</v>
          </cell>
          <cell r="AF209">
            <v>1.3551473789999999</v>
          </cell>
          <cell r="AG209">
            <v>1.367888102</v>
          </cell>
          <cell r="AH209">
            <v>1.380713522</v>
          </cell>
          <cell r="AI209">
            <v>1.393635993</v>
          </cell>
          <cell r="AJ209">
            <v>1.4066789740000001</v>
          </cell>
          <cell r="AK209">
            <v>1.4198868469999999</v>
          </cell>
          <cell r="AL209">
            <v>1.433259837</v>
          </cell>
          <cell r="AM209">
            <v>1.44680703</v>
          </cell>
          <cell r="AN209">
            <v>1.4605360359999999</v>
          </cell>
          <cell r="AO209">
            <v>1.4744524779999999</v>
          </cell>
          <cell r="AP209">
            <v>1.488325753</v>
          </cell>
          <cell r="AQ209">
            <v>1.5022745399999999</v>
          </cell>
          <cell r="AR209">
            <v>1.516346484</v>
          </cell>
          <cell r="AS209">
            <v>1.5305643630000001</v>
          </cell>
          <cell r="AT209">
            <v>1.5449435629999999</v>
          </cell>
          <cell r="AU209">
            <v>1.559532827</v>
          </cell>
          <cell r="AV209">
            <v>1.5743154939999999</v>
          </cell>
          <cell r="AW209">
            <v>1.589294706</v>
          </cell>
          <cell r="AX209">
            <v>1.604475826</v>
          </cell>
          <cell r="AY209">
            <v>1.619863391</v>
          </cell>
          <cell r="AZ209">
            <v>1.635630744</v>
          </cell>
          <cell r="BA209">
            <v>1.651660745</v>
          </cell>
          <cell r="BB209">
            <v>1.667931364</v>
          </cell>
          <cell r="BC209">
            <v>1.6844390970000001</v>
          </cell>
          <cell r="BD209">
            <v>1.701184115</v>
          </cell>
          <cell r="BE209">
            <v>2.0573651060000002</v>
          </cell>
          <cell r="BF209">
            <v>2.086709532</v>
          </cell>
          <cell r="BG209">
            <v>2.1165431620000001</v>
          </cell>
          <cell r="BH209">
            <v>2.146877581</v>
          </cell>
          <cell r="BI209">
            <v>2.1777251980000001</v>
          </cell>
        </row>
        <row r="212">
          <cell r="E212" t="str">
            <v>YG_toe_cfut_2</v>
          </cell>
          <cell r="F212">
            <v>41.682123939999997</v>
          </cell>
          <cell r="G212">
            <v>41.782059459999999</v>
          </cell>
          <cell r="H212">
            <v>41.887751080000001</v>
          </cell>
          <cell r="I212">
            <v>42.047291299999998</v>
          </cell>
          <cell r="J212">
            <v>42.276446270000001</v>
          </cell>
          <cell r="K212">
            <v>42.570782800000003</v>
          </cell>
          <cell r="L212">
            <v>42.897898130000002</v>
          </cell>
          <cell r="M212">
            <v>43.261618079999998</v>
          </cell>
          <cell r="N212">
            <v>43.654213519999999</v>
          </cell>
          <cell r="O212">
            <v>44.069007139999997</v>
          </cell>
          <cell r="P212">
            <v>44.473175640000001</v>
          </cell>
          <cell r="Q212">
            <v>44.959107670000002</v>
          </cell>
          <cell r="R212">
            <v>45.463319319999997</v>
          </cell>
          <cell r="S212">
            <v>45.980348970000001</v>
          </cell>
          <cell r="T212">
            <v>46.507796220000003</v>
          </cell>
          <cell r="U212">
            <v>47.043988669999997</v>
          </cell>
          <cell r="V212">
            <v>47.585054499999998</v>
          </cell>
          <cell r="W212">
            <v>48.13199178</v>
          </cell>
          <cell r="X212">
            <v>48.684032270000003</v>
          </cell>
          <cell r="Y212">
            <v>49.240560139999999</v>
          </cell>
          <cell r="Z212">
            <v>49.775467900000002</v>
          </cell>
          <cell r="AA212">
            <v>50.331970269999999</v>
          </cell>
          <cell r="AB212">
            <v>50.894430120000003</v>
          </cell>
          <cell r="AC212">
            <v>51.461844300000003</v>
          </cell>
          <cell r="AD212">
            <v>52.034094799999998</v>
          </cell>
          <cell r="AE212">
            <v>52.537806519999997</v>
          </cell>
          <cell r="AF212">
            <v>53.063855179999997</v>
          </cell>
          <cell r="AG212">
            <v>53.590640010000001</v>
          </cell>
          <cell r="AH212">
            <v>54.118392880000002</v>
          </cell>
          <cell r="AI212">
            <v>54.648305020000002</v>
          </cell>
          <cell r="AJ212">
            <v>55.181587610000001</v>
          </cell>
          <cell r="AK212">
            <v>55.72001255</v>
          </cell>
          <cell r="AL212">
            <v>56.263767360000003</v>
          </cell>
          <cell r="AM212">
            <v>56.813439379999998</v>
          </cell>
          <cell r="AN212">
            <v>57.369473550000002</v>
          </cell>
          <cell r="AO212">
            <v>57.93219783</v>
          </cell>
          <cell r="AP212">
            <v>58.49154111</v>
          </cell>
          <cell r="AQ212">
            <v>59.053646389999997</v>
          </cell>
          <cell r="AR212">
            <v>59.619924580000003</v>
          </cell>
          <cell r="AS212">
            <v>60.191228299999999</v>
          </cell>
          <cell r="AT212">
            <v>60.768253999999999</v>
          </cell>
          <cell r="AU212">
            <v>61.352811119999998</v>
          </cell>
          <cell r="AV212">
            <v>61.944421079999998</v>
          </cell>
          <cell r="AW212">
            <v>62.543472940000001</v>
          </cell>
          <cell r="AX212">
            <v>63.150294449999997</v>
          </cell>
          <cell r="AY212">
            <v>63.76514281</v>
          </cell>
          <cell r="AZ212">
            <v>64.394067960000001</v>
          </cell>
          <cell r="BA212">
            <v>65.032601470000003</v>
          </cell>
          <cell r="BB212">
            <v>65.680609950000004</v>
          </cell>
          <cell r="BC212">
            <v>66.338106490000001</v>
          </cell>
          <cell r="BD212">
            <v>67.005136350000001</v>
          </cell>
          <cell r="BE212">
            <v>79.759657880000006</v>
          </cell>
          <cell r="BF212">
            <v>80.877687420000001</v>
          </cell>
          <cell r="BG212">
            <v>82.013431510000004</v>
          </cell>
          <cell r="BH212">
            <v>83.167382599999996</v>
          </cell>
          <cell r="BI212">
            <v>84.340058659999997</v>
          </cell>
        </row>
        <row r="215">
          <cell r="E215" t="str">
            <v>YG_toe_cfuh_2</v>
          </cell>
          <cell r="F215">
            <v>7.8576581870000002</v>
          </cell>
          <cell r="G215">
            <v>7.900170439</v>
          </cell>
          <cell r="H215">
            <v>7.9314640350000003</v>
          </cell>
          <cell r="I215">
            <v>7.9611857309999996</v>
          </cell>
          <cell r="J215">
            <v>7.9954586030000003</v>
          </cell>
          <cell r="K215">
            <v>8.0365737450000001</v>
          </cell>
          <cell r="L215">
            <v>8.0805613510000001</v>
          </cell>
          <cell r="M215">
            <v>8.1288627370000004</v>
          </cell>
          <cell r="N215">
            <v>8.1806537870000007</v>
          </cell>
          <cell r="O215">
            <v>8.2343039850000004</v>
          </cell>
          <cell r="P215">
            <v>8.2884570239999995</v>
          </cell>
          <cell r="Q215">
            <v>8.3499575309999994</v>
          </cell>
          <cell r="R215">
            <v>8.4135571700000007</v>
          </cell>
          <cell r="S215">
            <v>8.4787434949999998</v>
          </cell>
          <cell r="T215">
            <v>8.5453225679999996</v>
          </cell>
          <cell r="U215">
            <v>8.6131933709999995</v>
          </cell>
          <cell r="V215">
            <v>8.6818275630000006</v>
          </cell>
          <cell r="W215">
            <v>8.7514528919999997</v>
          </cell>
          <cell r="X215">
            <v>8.8220630100000008</v>
          </cell>
          <cell r="Y215">
            <v>8.8936200420000002</v>
          </cell>
          <cell r="Z215">
            <v>8.9613300169999999</v>
          </cell>
          <cell r="AA215">
            <v>9.032797038</v>
          </cell>
          <cell r="AB215">
            <v>9.1059780870000004</v>
          </cell>
          <cell r="AC215">
            <v>9.1804861100000004</v>
          </cell>
          <cell r="AD215">
            <v>9.2562278100000004</v>
          </cell>
          <cell r="AE215">
            <v>9.3196635499999996</v>
          </cell>
          <cell r="AF215">
            <v>9.3862027080000008</v>
          </cell>
          <cell r="AG215">
            <v>9.4536483279999999</v>
          </cell>
          <cell r="AH215">
            <v>9.5218710719999997</v>
          </cell>
          <cell r="AI215">
            <v>9.5910092910000007</v>
          </cell>
          <cell r="AJ215">
            <v>9.6612323080000007</v>
          </cell>
          <cell r="AK215">
            <v>9.7327990329999992</v>
          </cell>
          <cell r="AL215">
            <v>9.8057365759999993</v>
          </cell>
          <cell r="AM215">
            <v>9.8800955960000003</v>
          </cell>
          <cell r="AN215">
            <v>9.9558992810000007</v>
          </cell>
          <cell r="AO215">
            <v>10.033169880000001</v>
          </cell>
          <cell r="AP215">
            <v>10.109808900000001</v>
          </cell>
          <cell r="AQ215">
            <v>10.18692109</v>
          </cell>
          <cell r="AR215">
            <v>10.264872459999999</v>
          </cell>
          <cell r="AS215">
            <v>10.343861739999999</v>
          </cell>
          <cell r="AT215">
            <v>10.42402124</v>
          </cell>
          <cell r="AU215">
            <v>10.50561501</v>
          </cell>
          <cell r="AV215">
            <v>10.5885835</v>
          </cell>
          <cell r="AW215">
            <v>10.672944210000001</v>
          </cell>
          <cell r="AX215">
            <v>10.758713220000001</v>
          </cell>
          <cell r="AY215">
            <v>10.84589774</v>
          </cell>
          <cell r="AZ215">
            <v>10.935373139999999</v>
          </cell>
          <cell r="BA215">
            <v>11.0265503</v>
          </cell>
          <cell r="BB215">
            <v>11.119305880000001</v>
          </cell>
          <cell r="BC215">
            <v>11.21359472</v>
          </cell>
          <cell r="BD215">
            <v>11.30939611</v>
          </cell>
          <cell r="BE215">
            <v>13.19740314</v>
          </cell>
          <cell r="BF215">
            <v>13.36274448</v>
          </cell>
          <cell r="BG215">
            <v>13.530779470000001</v>
          </cell>
          <cell r="BH215">
            <v>13.7015577</v>
          </cell>
          <cell r="BI215">
            <v>13.87513983</v>
          </cell>
        </row>
        <row r="217">
          <cell r="E217" t="str">
            <v>YG_toe_cgas_2</v>
          </cell>
          <cell r="F217">
            <v>6.4188251369999998</v>
          </cell>
          <cell r="G217">
            <v>6.4998769479999998</v>
          </cell>
          <cell r="H217">
            <v>6.5288774070000004</v>
          </cell>
          <cell r="I217">
            <v>6.5325874649999998</v>
          </cell>
          <cell r="J217">
            <v>6.5234835320000002</v>
          </cell>
          <cell r="K217">
            <v>6.507224431</v>
          </cell>
          <cell r="L217">
            <v>6.4816215760000002</v>
          </cell>
          <cell r="M217">
            <v>6.452841383</v>
          </cell>
          <cell r="N217">
            <v>6.4207761010000004</v>
          </cell>
          <cell r="O217">
            <v>6.3836469530000004</v>
          </cell>
          <cell r="P217">
            <v>6.3329061070000003</v>
          </cell>
          <cell r="Q217">
            <v>6.2930965890000001</v>
          </cell>
          <cell r="R217">
            <v>6.2457536710000001</v>
          </cell>
          <cell r="S217">
            <v>6.1945475730000004</v>
          </cell>
          <cell r="T217">
            <v>6.1414831489999999</v>
          </cell>
          <cell r="U217">
            <v>6.0880181310000001</v>
          </cell>
          <cell r="V217">
            <v>6.0337849989999999</v>
          </cell>
          <cell r="W217">
            <v>5.980693649</v>
          </cell>
          <cell r="X217">
            <v>5.9291559139999999</v>
          </cell>
          <cell r="Y217">
            <v>5.8793378020000002</v>
          </cell>
          <cell r="Z217">
            <v>5.8264680679999996</v>
          </cell>
          <cell r="AA217">
            <v>5.7808292420000003</v>
          </cell>
          <cell r="AB217">
            <v>5.7366557480000004</v>
          </cell>
          <cell r="AC217">
            <v>5.6938724059999997</v>
          </cell>
          <cell r="AD217">
            <v>5.6522457529999999</v>
          </cell>
          <cell r="AE217">
            <v>5.5983916220000003</v>
          </cell>
          <cell r="AF217">
            <v>5.5553704359999996</v>
          </cell>
          <cell r="AG217">
            <v>5.5137460259999997</v>
          </cell>
          <cell r="AH217">
            <v>5.473450197</v>
          </cell>
          <cell r="AI217">
            <v>5.4340913009999996</v>
          </cell>
          <cell r="AJ217">
            <v>5.3953195090000001</v>
          </cell>
          <cell r="AK217">
            <v>5.3572411869999996</v>
          </cell>
          <cell r="AL217">
            <v>5.3192966909999999</v>
          </cell>
          <cell r="AM217">
            <v>5.2812905199999998</v>
          </cell>
          <cell r="AN217">
            <v>5.2430832299999999</v>
          </cell>
          <cell r="AO217">
            <v>5.2046128100000004</v>
          </cell>
          <cell r="AP217">
            <v>5.1664047780000004</v>
          </cell>
          <cell r="AQ217">
            <v>5.128588476</v>
          </cell>
          <cell r="AR217">
            <v>5.0909300000000002</v>
          </cell>
          <cell r="AS217">
            <v>5.0533631689999998</v>
          </cell>
          <cell r="AT217">
            <v>5.0158325499999998</v>
          </cell>
          <cell r="AU217">
            <v>4.9788569210000002</v>
          </cell>
          <cell r="AV217">
            <v>4.9418242169999997</v>
          </cell>
          <cell r="AW217">
            <v>4.9046858699999998</v>
          </cell>
          <cell r="AX217">
            <v>4.8674205070000003</v>
          </cell>
          <cell r="AY217">
            <v>4.8300292279999999</v>
          </cell>
          <cell r="AZ217">
            <v>4.7947807290000002</v>
          </cell>
          <cell r="BA217">
            <v>4.7594106439999999</v>
          </cell>
          <cell r="BB217">
            <v>4.7239173550000002</v>
          </cell>
          <cell r="BC217">
            <v>4.6883239970000004</v>
          </cell>
          <cell r="BD217">
            <v>4.6526880820000001</v>
          </cell>
          <cell r="BE217">
            <v>6.2656216210000002</v>
          </cell>
          <cell r="BF217">
            <v>6.2765990770000002</v>
          </cell>
          <cell r="BG217">
            <v>6.2882836400000004</v>
          </cell>
          <cell r="BH217">
            <v>6.3006207659999998</v>
          </cell>
          <cell r="BI217">
            <v>6.3135823980000003</v>
          </cell>
        </row>
        <row r="223">
          <cell r="E223" t="str">
            <v>YG_toe_cele_2</v>
          </cell>
          <cell r="F223">
            <v>56.380606190000002</v>
          </cell>
          <cell r="G223">
            <v>56.543759610000002</v>
          </cell>
          <cell r="H223">
            <v>56.745910189999996</v>
          </cell>
          <cell r="I223">
            <v>57.005118269999997</v>
          </cell>
          <cell r="J223">
            <v>57.342540229999997</v>
          </cell>
          <cell r="K223">
            <v>57.756742029999998</v>
          </cell>
          <cell r="L223">
            <v>58.201876599999999</v>
          </cell>
          <cell r="M223">
            <v>58.680688320000002</v>
          </cell>
          <cell r="N223">
            <v>59.180719459999999</v>
          </cell>
          <cell r="O223">
            <v>59.688996950000003</v>
          </cell>
          <cell r="P223">
            <v>60.176092410000003</v>
          </cell>
          <cell r="Q223">
            <v>60.73271115</v>
          </cell>
          <cell r="R223">
            <v>61.295769470000003</v>
          </cell>
          <cell r="S223">
            <v>61.859717349999997</v>
          </cell>
          <cell r="T223">
            <v>62.423009999999998</v>
          </cell>
          <cell r="U223">
            <v>62.984833709999997</v>
          </cell>
          <cell r="V223">
            <v>63.541632040000003</v>
          </cell>
          <cell r="W223">
            <v>64.094495199999997</v>
          </cell>
          <cell r="X223">
            <v>64.644209380000007</v>
          </cell>
          <cell r="Y223">
            <v>65.191866759999996</v>
          </cell>
          <cell r="Z223">
            <v>65.700349700000004</v>
          </cell>
          <cell r="AA223">
            <v>66.234505940000005</v>
          </cell>
          <cell r="AB223">
            <v>66.776542019999994</v>
          </cell>
          <cell r="AC223">
            <v>67.325113579999993</v>
          </cell>
          <cell r="AD223">
            <v>67.880768309999993</v>
          </cell>
          <cell r="AE223">
            <v>68.335654090000006</v>
          </cell>
          <cell r="AF223">
            <v>68.820219789999996</v>
          </cell>
          <cell r="AG223">
            <v>69.313313949999994</v>
          </cell>
          <cell r="AH223">
            <v>69.815020899999993</v>
          </cell>
          <cell r="AI223">
            <v>70.326970029999998</v>
          </cell>
          <cell r="AJ223">
            <v>70.850796340000002</v>
          </cell>
          <cell r="AK223">
            <v>71.388593850000007</v>
          </cell>
          <cell r="AL223">
            <v>71.940975350000002</v>
          </cell>
          <cell r="AM223">
            <v>72.508346549999999</v>
          </cell>
          <cell r="AN223">
            <v>73.090784780000007</v>
          </cell>
          <cell r="AO223">
            <v>73.688129799999999</v>
          </cell>
          <cell r="AP223">
            <v>74.282089920000004</v>
          </cell>
          <cell r="AQ223">
            <v>74.885839590000003</v>
          </cell>
          <cell r="AR223">
            <v>75.501577710000007</v>
          </cell>
          <cell r="AS223">
            <v>76.129518230000002</v>
          </cell>
          <cell r="AT223">
            <v>76.769412389999999</v>
          </cell>
          <cell r="AU223">
            <v>77.422142910000005</v>
          </cell>
          <cell r="AV223">
            <v>78.086981719999997</v>
          </cell>
          <cell r="AW223">
            <v>78.763460190000004</v>
          </cell>
          <cell r="AX223">
            <v>79.451066299999994</v>
          </cell>
          <cell r="AY223">
            <v>80.149282400000004</v>
          </cell>
          <cell r="AZ223">
            <v>80.864092119999995</v>
          </cell>
          <cell r="BA223">
            <v>81.592232379999999</v>
          </cell>
          <cell r="BB223">
            <v>82.332450589999993</v>
          </cell>
          <cell r="BC223">
            <v>83.083549649999995</v>
          </cell>
          <cell r="BD223">
            <v>83.844492250000002</v>
          </cell>
          <cell r="BE223">
            <v>100.3150411</v>
          </cell>
          <cell r="BF223">
            <v>101.6970796</v>
          </cell>
          <cell r="BG223">
            <v>103.1047011</v>
          </cell>
          <cell r="BH223">
            <v>104.53813890000001</v>
          </cell>
          <cell r="BI223">
            <v>105.99762610000001</v>
          </cell>
        </row>
        <row r="233">
          <cell r="E233" t="str">
            <v>YG_toe_chea_2</v>
          </cell>
          <cell r="F233">
            <v>5.6668339359999997</v>
          </cell>
          <cell r="G233">
            <v>5.7107075119999999</v>
          </cell>
          <cell r="H233">
            <v>5.7608026179999996</v>
          </cell>
          <cell r="I233">
            <v>5.8143046859999998</v>
          </cell>
          <cell r="J233">
            <v>5.8712262480000001</v>
          </cell>
          <cell r="K233">
            <v>5.9315968120000004</v>
          </cell>
          <cell r="L233">
            <v>5.9898818540000001</v>
          </cell>
          <cell r="M233">
            <v>6.0491719399999999</v>
          </cell>
          <cell r="N233">
            <v>6.110633022</v>
          </cell>
          <cell r="O233">
            <v>6.1746506070000002</v>
          </cell>
          <cell r="P233">
            <v>6.2393728130000001</v>
          </cell>
          <cell r="Q233">
            <v>6.2994487120000002</v>
          </cell>
          <cell r="R233">
            <v>6.3558696929999998</v>
          </cell>
          <cell r="S233">
            <v>6.4104305000000004</v>
          </cell>
          <cell r="T233">
            <v>6.4642881489999997</v>
          </cell>
          <cell r="U233">
            <v>6.5180376210000004</v>
          </cell>
          <cell r="V233">
            <v>6.5714760339999998</v>
          </cell>
          <cell r="W233">
            <v>6.6249328930000004</v>
          </cell>
          <cell r="X233">
            <v>6.67853501</v>
          </cell>
          <cell r="Y233">
            <v>6.7323315700000004</v>
          </cell>
          <cell r="Z233">
            <v>6.7803915640000003</v>
          </cell>
          <cell r="AA233">
            <v>6.8323036840000002</v>
          </cell>
          <cell r="AB233">
            <v>6.8858369479999997</v>
          </cell>
          <cell r="AC233">
            <v>6.940243969</v>
          </cell>
          <cell r="AD233">
            <v>6.9952566599999999</v>
          </cell>
          <cell r="AE233">
            <v>7.0343781590000001</v>
          </cell>
          <cell r="AF233">
            <v>7.0764413509999997</v>
          </cell>
          <cell r="AG233">
            <v>7.1197393839999998</v>
          </cell>
          <cell r="AH233">
            <v>7.1638317999999996</v>
          </cell>
          <cell r="AI233">
            <v>7.2086058189999997</v>
          </cell>
          <cell r="AJ233">
            <v>7.2540513090000003</v>
          </cell>
          <cell r="AK233">
            <v>7.3003122659999997</v>
          </cell>
          <cell r="AL233">
            <v>7.3473553779999996</v>
          </cell>
          <cell r="AM233">
            <v>7.3951754239999996</v>
          </cell>
          <cell r="AN233">
            <v>7.443771709</v>
          </cell>
          <cell r="AO233">
            <v>7.4931408179999996</v>
          </cell>
          <cell r="AP233">
            <v>7.5407923700000001</v>
          </cell>
          <cell r="AQ233">
            <v>7.5883118859999996</v>
          </cell>
          <cell r="AR233">
            <v>7.6362274680000004</v>
          </cell>
          <cell r="AS233">
            <v>7.68472986</v>
          </cell>
          <cell r="AT233">
            <v>7.7338854030000004</v>
          </cell>
          <cell r="AU233">
            <v>7.7838946959999999</v>
          </cell>
          <cell r="AV233">
            <v>7.8346727319999996</v>
          </cell>
          <cell r="AW233">
            <v>7.8861802680000004</v>
          </cell>
          <cell r="AX233">
            <v>7.9383956470000001</v>
          </cell>
          <cell r="AY233">
            <v>7.9913050930000002</v>
          </cell>
          <cell r="AZ233">
            <v>8.0458177400000004</v>
          </cell>
          <cell r="BA233">
            <v>8.1014453950000007</v>
          </cell>
          <cell r="BB233">
            <v>8.1579915780000007</v>
          </cell>
          <cell r="BC233">
            <v>8.2153674970000008</v>
          </cell>
          <cell r="BD233">
            <v>8.2735398070000006</v>
          </cell>
          <cell r="BE233">
            <v>9.5287003880000007</v>
          </cell>
          <cell r="BF233">
            <v>9.6281772360000009</v>
          </cell>
          <cell r="BG233">
            <v>9.7291266630000006</v>
          </cell>
          <cell r="BH233">
            <v>9.831553778</v>
          </cell>
          <cell r="BI233">
            <v>9.9354808410000004</v>
          </cell>
        </row>
        <row r="235">
          <cell r="E235" t="str">
            <v>YG_toe_cbio_2</v>
          </cell>
          <cell r="F235">
            <v>11.163130020000001</v>
          </cell>
          <cell r="G235">
            <v>11.15459278</v>
          </cell>
          <cell r="H235">
            <v>11.13575492</v>
          </cell>
          <cell r="I235">
            <v>11.126844220000001</v>
          </cell>
          <cell r="J235">
            <v>11.131348579999999</v>
          </cell>
          <cell r="K235">
            <v>11.14824973</v>
          </cell>
          <cell r="L235">
            <v>11.169500510000001</v>
          </cell>
          <cell r="M235">
            <v>11.194877399999999</v>
          </cell>
          <cell r="N235">
            <v>11.222126169999999</v>
          </cell>
          <cell r="O235">
            <v>11.248872199999999</v>
          </cell>
          <cell r="P235">
            <v>11.27712333</v>
          </cell>
          <cell r="Q235">
            <v>11.30710899</v>
          </cell>
          <cell r="R235">
            <v>11.336220020000001</v>
          </cell>
          <cell r="S235">
            <v>11.36509832</v>
          </cell>
          <cell r="T235">
            <v>11.39422224</v>
          </cell>
          <cell r="U235">
            <v>11.423810619999999</v>
          </cell>
          <cell r="V235">
            <v>11.45336522</v>
          </cell>
          <cell r="W235">
            <v>11.48298904</v>
          </cell>
          <cell r="X235">
            <v>11.51289918</v>
          </cell>
          <cell r="Y235">
            <v>11.54325528</v>
          </cell>
          <cell r="Z235">
            <v>11.568119879999999</v>
          </cell>
          <cell r="AA235">
            <v>11.59710346</v>
          </cell>
          <cell r="AB235">
            <v>11.62821737</v>
          </cell>
          <cell r="AC235">
            <v>11.660798339999999</v>
          </cell>
          <cell r="AD235">
            <v>11.69462386</v>
          </cell>
          <cell r="AE235">
            <v>11.712837670000001</v>
          </cell>
          <cell r="AF235">
            <v>11.73419554</v>
          </cell>
          <cell r="AG235">
            <v>11.757398</v>
          </cell>
          <cell r="AH235">
            <v>11.78209953</v>
          </cell>
          <cell r="AI235">
            <v>11.80822757</v>
          </cell>
          <cell r="AJ235">
            <v>11.83581457</v>
          </cell>
          <cell r="AK235">
            <v>11.86504783</v>
          </cell>
          <cell r="AL235">
            <v>11.89597395</v>
          </cell>
          <cell r="AM235">
            <v>11.928576</v>
          </cell>
          <cell r="AN235">
            <v>11.962828310000001</v>
          </cell>
          <cell r="AO235">
            <v>11.998701499999999</v>
          </cell>
          <cell r="AP235">
            <v>12.03353381</v>
          </cell>
          <cell r="AQ235">
            <v>12.069392970000001</v>
          </cell>
          <cell r="AR235">
            <v>12.10662467</v>
          </cell>
          <cell r="AS235">
            <v>12.14522829</v>
          </cell>
          <cell r="AT235">
            <v>12.18515243</v>
          </cell>
          <cell r="AU235">
            <v>12.226533209999999</v>
          </cell>
          <cell r="AV235">
            <v>12.26935853</v>
          </cell>
          <cell r="AW235">
            <v>12.31355149</v>
          </cell>
          <cell r="AX235">
            <v>12.359051210000001</v>
          </cell>
          <cell r="AY235">
            <v>12.40581506</v>
          </cell>
          <cell r="AZ235">
            <v>12.45470326</v>
          </cell>
          <cell r="BA235">
            <v>12.505569619999999</v>
          </cell>
          <cell r="BB235">
            <v>12.55810741</v>
          </cell>
          <cell r="BC235">
            <v>12.612092090000001</v>
          </cell>
          <cell r="BD235">
            <v>12.667395109999999</v>
          </cell>
          <cell r="BE235">
            <v>14.15840839</v>
          </cell>
          <cell r="BF235">
            <v>14.268085299999999</v>
          </cell>
          <cell r="BG235">
            <v>14.38012975</v>
          </cell>
          <cell r="BH235">
            <v>14.49452866</v>
          </cell>
          <cell r="BI235">
            <v>14.61129745</v>
          </cell>
        </row>
        <row r="238">
          <cell r="E238" t="str">
            <v>YG_toe_cote_2</v>
          </cell>
          <cell r="F238">
            <v>13.48279877</v>
          </cell>
          <cell r="G238">
            <v>13.568222840000001</v>
          </cell>
          <cell r="H238">
            <v>13.686704990000001</v>
          </cell>
          <cell r="I238">
            <v>13.81982225</v>
          </cell>
          <cell r="J238">
            <v>13.965644879999999</v>
          </cell>
          <cell r="K238">
            <v>14.12272853</v>
          </cell>
          <cell r="L238">
            <v>14.27840001</v>
          </cell>
          <cell r="M238">
            <v>14.43924438</v>
          </cell>
          <cell r="N238">
            <v>14.604608430000001</v>
          </cell>
          <cell r="O238">
            <v>14.77341927</v>
          </cell>
          <cell r="P238">
            <v>14.927129089999999</v>
          </cell>
          <cell r="Q238">
            <v>15.121050479999999</v>
          </cell>
          <cell r="R238">
            <v>15.32003738</v>
          </cell>
          <cell r="S238">
            <v>15.52137108</v>
          </cell>
          <cell r="T238">
            <v>15.72449123</v>
          </cell>
          <cell r="U238">
            <v>15.92921872</v>
          </cell>
          <cell r="V238">
            <v>16.133981980000001</v>
          </cell>
          <cell r="W238">
            <v>16.340023550000002</v>
          </cell>
          <cell r="X238">
            <v>16.547478160000001</v>
          </cell>
          <cell r="Y238">
            <v>16.75646047</v>
          </cell>
          <cell r="Z238">
            <v>16.954410540000001</v>
          </cell>
          <cell r="AA238">
            <v>17.1642054</v>
          </cell>
          <cell r="AB238">
            <v>17.377281020000002</v>
          </cell>
          <cell r="AC238">
            <v>17.593055830000001</v>
          </cell>
          <cell r="AD238">
            <v>17.811539459999999</v>
          </cell>
          <cell r="AE238">
            <v>17.996592280000002</v>
          </cell>
          <cell r="AF238">
            <v>18.196688940000001</v>
          </cell>
          <cell r="AG238">
            <v>18.399657999999999</v>
          </cell>
          <cell r="AH238">
            <v>18.60502688</v>
          </cell>
          <cell r="AI238">
            <v>18.812991010000001</v>
          </cell>
          <cell r="AJ238">
            <v>19.023814009999999</v>
          </cell>
          <cell r="AK238">
            <v>19.238156490000001</v>
          </cell>
          <cell r="AL238">
            <v>19.455798269999999</v>
          </cell>
          <cell r="AM238">
            <v>19.67680335</v>
          </cell>
          <cell r="AN238">
            <v>19.901203049999999</v>
          </cell>
          <cell r="AO238">
            <v>20.128994720000001</v>
          </cell>
          <cell r="AP238">
            <v>20.355772170000002</v>
          </cell>
          <cell r="AQ238">
            <v>20.584571270000001</v>
          </cell>
          <cell r="AR238">
            <v>20.815910630000001</v>
          </cell>
          <cell r="AS238">
            <v>21.049968960000001</v>
          </cell>
          <cell r="AT238">
            <v>21.286834540000001</v>
          </cell>
          <cell r="AU238">
            <v>21.52727651</v>
          </cell>
          <cell r="AV238">
            <v>21.77073266</v>
          </cell>
          <cell r="AW238">
            <v>22.017182219999999</v>
          </cell>
          <cell r="AX238">
            <v>22.266618820000001</v>
          </cell>
          <cell r="AY238">
            <v>22.519029539999998</v>
          </cell>
          <cell r="AZ238">
            <v>22.777713819999999</v>
          </cell>
          <cell r="BA238">
            <v>23.039917280000001</v>
          </cell>
          <cell r="BB238">
            <v>23.305396770000002</v>
          </cell>
          <cell r="BC238">
            <v>23.574059070000001</v>
          </cell>
          <cell r="BD238">
            <v>23.845846250000001</v>
          </cell>
          <cell r="BE238">
            <v>29.933448439999999</v>
          </cell>
          <cell r="BF238">
            <v>30.42883411</v>
          </cell>
          <cell r="BG238">
            <v>30.932684080000001</v>
          </cell>
          <cell r="BH238">
            <v>31.445132619999999</v>
          </cell>
          <cell r="BI238">
            <v>31.966317310000001</v>
          </cell>
        </row>
        <row r="241">
          <cell r="E241" t="str">
            <v>YG_toe_0</v>
          </cell>
          <cell r="F241">
            <v>148.7539031</v>
          </cell>
          <cell r="G241">
            <v>149.9412342</v>
          </cell>
          <cell r="H241">
            <v>151.04358999999999</v>
          </cell>
          <cell r="I241">
            <v>152.21546219999999</v>
          </cell>
          <cell r="J241">
            <v>153.5049545</v>
          </cell>
          <cell r="K241">
            <v>154.9279942</v>
          </cell>
          <cell r="L241">
            <v>156.3904393</v>
          </cell>
          <cell r="M241">
            <v>157.9308772</v>
          </cell>
          <cell r="N241">
            <v>159.53738469999999</v>
          </cell>
          <cell r="O241">
            <v>161.19526300000001</v>
          </cell>
          <cell r="P241">
            <v>163.04248129999999</v>
          </cell>
          <cell r="Q241">
            <v>164.8173654</v>
          </cell>
          <cell r="R241">
            <v>166.59956059999999</v>
          </cell>
          <cell r="S241">
            <v>168.39561670000001</v>
          </cell>
          <cell r="T241">
            <v>170.2067753</v>
          </cell>
          <cell r="U241">
            <v>172.0335111</v>
          </cell>
          <cell r="V241">
            <v>173.87654760000001</v>
          </cell>
          <cell r="W241">
            <v>175.73701070000001</v>
          </cell>
          <cell r="X241">
            <v>177.616364</v>
          </cell>
          <cell r="Y241">
            <v>179.51629750000001</v>
          </cell>
          <cell r="Z241">
            <v>181.32944309999999</v>
          </cell>
          <cell r="AA241">
            <v>183.2430426</v>
          </cell>
          <cell r="AB241">
            <v>185.1962556</v>
          </cell>
          <cell r="AC241">
            <v>187.18375599999999</v>
          </cell>
          <cell r="AD241">
            <v>189.2048983</v>
          </cell>
          <cell r="AE241">
            <v>190.9473624</v>
          </cell>
          <cell r="AF241">
            <v>192.7950309</v>
          </cell>
          <cell r="AG241">
            <v>194.67020880000001</v>
          </cell>
          <cell r="AH241">
            <v>196.57115339999999</v>
          </cell>
          <cell r="AI241">
            <v>198.5002245</v>
          </cell>
          <cell r="AJ241">
            <v>200.46024929999999</v>
          </cell>
          <cell r="AK241">
            <v>202.4535936</v>
          </cell>
          <cell r="AL241">
            <v>204.4819521</v>
          </cell>
          <cell r="AM241">
            <v>206.54637679999999</v>
          </cell>
          <cell r="AN241">
            <v>208.64738929999999</v>
          </cell>
          <cell r="AO241">
            <v>210.78511589999999</v>
          </cell>
          <cell r="AP241">
            <v>212.8848826</v>
          </cell>
          <cell r="AQ241">
            <v>214.99802589999999</v>
          </cell>
          <cell r="AR241">
            <v>217.13294830000001</v>
          </cell>
          <cell r="AS241">
            <v>219.293474</v>
          </cell>
          <cell r="AT241">
            <v>221.48204620000001</v>
          </cell>
          <cell r="AU241">
            <v>223.7005101</v>
          </cell>
          <cell r="AV241">
            <v>225.95031270000001</v>
          </cell>
          <cell r="AW241">
            <v>228.2325673</v>
          </cell>
          <cell r="AX241">
            <v>230.54804849999999</v>
          </cell>
          <cell r="AY241">
            <v>232.89707189999999</v>
          </cell>
          <cell r="AZ241">
            <v>235.28533569999999</v>
          </cell>
          <cell r="BA241">
            <v>237.70370260000001</v>
          </cell>
          <cell r="BB241">
            <v>240.14894390000001</v>
          </cell>
          <cell r="BC241">
            <v>242.62557380000001</v>
          </cell>
          <cell r="BD241">
            <v>245.13779220000001</v>
          </cell>
          <cell r="BE241">
            <v>263.32302049999998</v>
          </cell>
          <cell r="BF241">
            <v>266.90438410000002</v>
          </cell>
          <cell r="BG241">
            <v>270.54608409999997</v>
          </cell>
          <cell r="BH241">
            <v>274.249459</v>
          </cell>
          <cell r="BI241">
            <v>278.01577370000001</v>
          </cell>
        </row>
        <row r="242">
          <cell r="E242" t="str">
            <v>YG_toe_ccoa_0</v>
          </cell>
          <cell r="F242">
            <v>2.395310383</v>
          </cell>
          <cell r="G242">
            <v>2.4206345919999999</v>
          </cell>
          <cell r="H242">
            <v>2.447536323</v>
          </cell>
          <cell r="I242">
            <v>2.4770827469999999</v>
          </cell>
          <cell r="J242">
            <v>2.5093666809999999</v>
          </cell>
          <cell r="K242">
            <v>2.5441740340000001</v>
          </cell>
          <cell r="L242">
            <v>2.579616256</v>
          </cell>
          <cell r="M242">
            <v>2.6163531619999998</v>
          </cell>
          <cell r="N242">
            <v>2.654317824</v>
          </cell>
          <cell r="O242">
            <v>2.6933564520000002</v>
          </cell>
          <cell r="P242">
            <v>2.735985152</v>
          </cell>
          <cell r="Q242">
            <v>2.7776421359999999</v>
          </cell>
          <cell r="R242">
            <v>2.8196814479999999</v>
          </cell>
          <cell r="S242">
            <v>2.8623338180000002</v>
          </cell>
          <cell r="T242">
            <v>2.9056221469999999</v>
          </cell>
          <cell r="U242">
            <v>2.9495423490000001</v>
          </cell>
          <cell r="V242">
            <v>2.9940955410000001</v>
          </cell>
          <cell r="W242">
            <v>3.0392911709999999</v>
          </cell>
          <cell r="X242">
            <v>3.0851448010000002</v>
          </cell>
          <cell r="Y242">
            <v>3.1316753730000002</v>
          </cell>
          <cell r="Z242">
            <v>3.176928379</v>
          </cell>
          <cell r="AA242">
            <v>3.2242513719999999</v>
          </cell>
          <cell r="AB242">
            <v>3.2726041119999998</v>
          </cell>
          <cell r="AC242">
            <v>3.3217969979999999</v>
          </cell>
          <cell r="AD242">
            <v>3.3718056820000002</v>
          </cell>
          <cell r="AE242">
            <v>3.4169121260000002</v>
          </cell>
          <cell r="AF242">
            <v>3.4640408790000001</v>
          </cell>
          <cell r="AG242">
            <v>3.511953874</v>
          </cell>
          <cell r="AH242">
            <v>3.5604472089999999</v>
          </cell>
          <cell r="AI242">
            <v>3.6095196450000002</v>
          </cell>
          <cell r="AJ242">
            <v>3.6592028270000001</v>
          </cell>
          <cell r="AK242">
            <v>3.7095267660000002</v>
          </cell>
          <cell r="AL242">
            <v>3.7605126790000001</v>
          </cell>
          <cell r="AM242">
            <v>3.812172473</v>
          </cell>
          <cell r="AN242">
            <v>3.864510267</v>
          </cell>
          <cell r="AO242">
            <v>3.9175245410000001</v>
          </cell>
          <cell r="AP242">
            <v>3.9698140799999999</v>
          </cell>
          <cell r="AQ242">
            <v>4.0223102009999998</v>
          </cell>
          <cell r="AR242">
            <v>4.0752093900000004</v>
          </cell>
          <cell r="AS242">
            <v>4.1285652629999996</v>
          </cell>
          <cell r="AT242">
            <v>4.1824051940000002</v>
          </cell>
          <cell r="AU242">
            <v>4.2367514550000003</v>
          </cell>
          <cell r="AV242">
            <v>4.2916239190000001</v>
          </cell>
          <cell r="AW242">
            <v>4.3470395030000004</v>
          </cell>
          <cell r="AX242">
            <v>4.4030115600000004</v>
          </cell>
          <cell r="AY242">
            <v>4.4595492160000001</v>
          </cell>
          <cell r="AZ242">
            <v>4.5167821320000003</v>
          </cell>
          <cell r="BA242">
            <v>4.5746674629999999</v>
          </cell>
          <cell r="BB242">
            <v>4.6332013940000003</v>
          </cell>
          <cell r="BC242">
            <v>4.6923859270000001</v>
          </cell>
          <cell r="BD242">
            <v>4.752222293</v>
          </cell>
          <cell r="BE242">
            <v>5.2808698180000002</v>
          </cell>
          <cell r="BF242">
            <v>5.3692964270000001</v>
          </cell>
          <cell r="BG242">
            <v>5.4590872729999997</v>
          </cell>
          <cell r="BH242">
            <v>5.5502613419999998</v>
          </cell>
          <cell r="BI242">
            <v>5.6428395079999998</v>
          </cell>
        </row>
        <row r="245">
          <cell r="E245" t="str">
            <v>YG_toe_ccoi_0</v>
          </cell>
          <cell r="F245">
            <v>1.097368924</v>
          </cell>
          <cell r="G245">
            <v>1.1057038960000001</v>
          </cell>
          <cell r="H245">
            <v>1.1130509319999999</v>
          </cell>
          <cell r="I245">
            <v>1.121294832</v>
          </cell>
          <cell r="J245">
            <v>1.1309730769999999</v>
          </cell>
          <cell r="K245">
            <v>1.1421154529999999</v>
          </cell>
          <cell r="L245">
            <v>1.153956024</v>
          </cell>
          <cell r="M245">
            <v>1.166592182</v>
          </cell>
          <cell r="N245">
            <v>1.1798913120000001</v>
          </cell>
          <cell r="O245">
            <v>1.1937072639999999</v>
          </cell>
          <cell r="P245">
            <v>1.2089186700000001</v>
          </cell>
          <cell r="Q245">
            <v>1.223835301</v>
          </cell>
          <cell r="R245">
            <v>1.2388558949999999</v>
          </cell>
          <cell r="S245">
            <v>1.2540528419999999</v>
          </cell>
          <cell r="T245">
            <v>1.2694263589999999</v>
          </cell>
          <cell r="U245">
            <v>1.2849680990000001</v>
          </cell>
          <cell r="V245">
            <v>1.3006731840000001</v>
          </cell>
          <cell r="W245">
            <v>1.3165411570000001</v>
          </cell>
          <cell r="X245">
            <v>1.332574945</v>
          </cell>
          <cell r="Y245">
            <v>1.3487797370000001</v>
          </cell>
          <cell r="Z245">
            <v>1.3644293780000001</v>
          </cell>
          <cell r="AA245">
            <v>1.380725043</v>
          </cell>
          <cell r="AB245">
            <v>1.397337922</v>
          </cell>
          <cell r="AC245">
            <v>1.414195976</v>
          </cell>
          <cell r="AD245">
            <v>1.431289265</v>
          </cell>
          <cell r="AE245">
            <v>1.4465075009999999</v>
          </cell>
          <cell r="AF245">
            <v>1.462297043</v>
          </cell>
          <cell r="AG245">
            <v>1.4783070869999999</v>
          </cell>
          <cell r="AH245">
            <v>1.4944760829999999</v>
          </cell>
          <cell r="AI245">
            <v>1.5108136409999999</v>
          </cell>
          <cell r="AJ245">
            <v>1.527341163</v>
          </cell>
          <cell r="AK245">
            <v>1.544078456</v>
          </cell>
          <cell r="AL245">
            <v>1.561040923</v>
          </cell>
          <cell r="AM245">
            <v>1.5782395220000001</v>
          </cell>
          <cell r="AN245">
            <v>1.5956815120000001</v>
          </cell>
          <cell r="AO245">
            <v>1.613371374</v>
          </cell>
          <cell r="AP245">
            <v>1.630802227</v>
          </cell>
          <cell r="AQ245">
            <v>1.648293217</v>
          </cell>
          <cell r="AR245">
            <v>1.665929502</v>
          </cell>
          <cell r="AS245">
            <v>1.6837411170000001</v>
          </cell>
          <cell r="AT245">
            <v>1.701746065</v>
          </cell>
          <cell r="AU245">
            <v>1.719958804</v>
          </cell>
          <cell r="AV245">
            <v>1.7383914620000001</v>
          </cell>
          <cell r="AW245">
            <v>1.757053814</v>
          </cell>
          <cell r="AX245">
            <v>1.775953084</v>
          </cell>
          <cell r="AY245">
            <v>1.7950933229999999</v>
          </cell>
          <cell r="AZ245">
            <v>1.8145177770000001</v>
          </cell>
          <cell r="BA245">
            <v>1.834197359</v>
          </cell>
          <cell r="BB245">
            <v>1.8541203449999999</v>
          </cell>
          <cell r="BC245">
            <v>1.874299157</v>
          </cell>
          <cell r="BD245">
            <v>1.894746694</v>
          </cell>
          <cell r="BE245">
            <v>2.0594486289999998</v>
          </cell>
          <cell r="BF245">
            <v>2.0887388640000002</v>
          </cell>
          <cell r="BG245">
            <v>2.118508641</v>
          </cell>
          <cell r="BH245">
            <v>2.1487698270000002</v>
          </cell>
          <cell r="BI245">
            <v>2.1795345500000001</v>
          </cell>
        </row>
        <row r="248">
          <cell r="E248" t="str">
            <v>YG_toe_cfut_0</v>
          </cell>
          <cell r="F248">
            <v>42.403763159999997</v>
          </cell>
          <cell r="G248">
            <v>42.671330259999998</v>
          </cell>
          <cell r="H248">
            <v>42.920814280000002</v>
          </cell>
          <cell r="I248">
            <v>43.221645619999997</v>
          </cell>
          <cell r="J248">
            <v>43.590534470000001</v>
          </cell>
          <cell r="K248">
            <v>44.022083270000003</v>
          </cell>
          <cell r="L248">
            <v>44.483522020000002</v>
          </cell>
          <cell r="M248">
            <v>44.978733210000001</v>
          </cell>
          <cell r="N248">
            <v>45.500559780000003</v>
          </cell>
          <cell r="O248">
            <v>46.043145789999997</v>
          </cell>
          <cell r="P248">
            <v>46.639897920000003</v>
          </cell>
          <cell r="Q248">
            <v>47.223769070000003</v>
          </cell>
          <cell r="R248">
            <v>47.815723720000001</v>
          </cell>
          <cell r="S248">
            <v>48.415613710000002</v>
          </cell>
          <cell r="T248">
            <v>49.022576489999999</v>
          </cell>
          <cell r="U248">
            <v>49.635924350000003</v>
          </cell>
          <cell r="V248">
            <v>50.255243350000001</v>
          </cell>
          <cell r="W248">
            <v>50.880344450000003</v>
          </cell>
          <cell r="X248">
            <v>51.511200580000001</v>
          </cell>
          <cell r="Y248">
            <v>52.147895470000002</v>
          </cell>
          <cell r="Z248">
            <v>52.762622989999997</v>
          </cell>
          <cell r="AA248">
            <v>53.403172910000002</v>
          </cell>
          <cell r="AB248">
            <v>54.052528619999997</v>
          </cell>
          <cell r="AC248">
            <v>54.709884330000001</v>
          </cell>
          <cell r="AD248">
            <v>55.375289049999999</v>
          </cell>
          <cell r="AE248">
            <v>55.968175430000002</v>
          </cell>
          <cell r="AF248">
            <v>56.587890229999999</v>
          </cell>
          <cell r="AG248">
            <v>57.211059249999998</v>
          </cell>
          <cell r="AH248">
            <v>57.837820010000002</v>
          </cell>
          <cell r="AI248">
            <v>58.469319249999998</v>
          </cell>
          <cell r="AJ248">
            <v>59.106717490000001</v>
          </cell>
          <cell r="AK248">
            <v>59.750971739999997</v>
          </cell>
          <cell r="AL248">
            <v>60.402807959999997</v>
          </cell>
          <cell r="AM248">
            <v>61.062747109999997</v>
          </cell>
          <cell r="AN248">
            <v>61.731146330000001</v>
          </cell>
          <cell r="AO248">
            <v>62.408241490000002</v>
          </cell>
          <cell r="AP248">
            <v>63.074682719999998</v>
          </cell>
          <cell r="AQ248">
            <v>63.744179330000001</v>
          </cell>
          <cell r="AR248">
            <v>64.418396810000004</v>
          </cell>
          <cell r="AS248">
            <v>65.098243969999999</v>
          </cell>
          <cell r="AT248">
            <v>65.784468070000003</v>
          </cell>
          <cell r="AU248">
            <v>66.477733430000001</v>
          </cell>
          <cell r="AV248">
            <v>67.178612020000003</v>
          </cell>
          <cell r="AW248">
            <v>67.88757296</v>
          </cell>
          <cell r="AX248">
            <v>68.604983410000003</v>
          </cell>
          <cell r="AY248">
            <v>69.331117399999997</v>
          </cell>
          <cell r="AZ248">
            <v>70.067921810000001</v>
          </cell>
          <cell r="BA248">
            <v>70.814276649999996</v>
          </cell>
          <cell r="BB248">
            <v>71.570129660000006</v>
          </cell>
          <cell r="BC248">
            <v>72.335539330000003</v>
          </cell>
          <cell r="BD248">
            <v>73.110565399999999</v>
          </cell>
          <cell r="BE248">
            <v>79.660940400000001</v>
          </cell>
          <cell r="BF248">
            <v>80.770912499999994</v>
          </cell>
          <cell r="BG248">
            <v>81.898136870000002</v>
          </cell>
          <cell r="BH248">
            <v>83.043075369999997</v>
          </cell>
          <cell r="BI248">
            <v>84.206216670000003</v>
          </cell>
        </row>
        <row r="251">
          <cell r="E251" t="str">
            <v>YG_toe_cfuh_0</v>
          </cell>
          <cell r="F251">
            <v>7.942823883</v>
          </cell>
          <cell r="G251">
            <v>8.0004213370000006</v>
          </cell>
          <cell r="H251">
            <v>8.0493748959999998</v>
          </cell>
          <cell r="I251">
            <v>8.0983180370000003</v>
          </cell>
          <cell r="J251">
            <v>8.1500469330000005</v>
          </cell>
          <cell r="K251">
            <v>8.2086689170000007</v>
          </cell>
          <cell r="L251">
            <v>8.2710929190000009</v>
          </cell>
          <cell r="M251">
            <v>8.3388245019999996</v>
          </cell>
          <cell r="N251">
            <v>8.4111189690000003</v>
          </cell>
          <cell r="O251">
            <v>8.4869429259999993</v>
          </cell>
          <cell r="P251">
            <v>8.5723894620000003</v>
          </cell>
          <cell r="Q251">
            <v>8.6557614760000003</v>
          </cell>
          <cell r="R251">
            <v>8.7396671169999998</v>
          </cell>
          <cell r="S251">
            <v>8.8244490209999995</v>
          </cell>
          <cell r="T251">
            <v>8.9101403319999992</v>
          </cell>
          <cell r="U251">
            <v>8.9967330909999994</v>
          </cell>
          <cell r="V251">
            <v>9.0842334979999997</v>
          </cell>
          <cell r="W251">
            <v>9.1726677680000002</v>
          </cell>
          <cell r="X251">
            <v>9.2620776619999994</v>
          </cell>
          <cell r="Y251">
            <v>9.3525150779999997</v>
          </cell>
          <cell r="Z251">
            <v>9.4389963760000004</v>
          </cell>
          <cell r="AA251">
            <v>9.5296474670000002</v>
          </cell>
          <cell r="AB251">
            <v>9.6223272780000002</v>
          </cell>
          <cell r="AC251">
            <v>9.7166659400000004</v>
          </cell>
          <cell r="AD251">
            <v>9.8125826329999999</v>
          </cell>
          <cell r="AE251">
            <v>9.8956498419999992</v>
          </cell>
          <cell r="AF251">
            <v>9.982113172</v>
          </cell>
          <cell r="AG251">
            <v>10.06969269</v>
          </cell>
          <cell r="AH251">
            <v>10.158259490000001</v>
          </cell>
          <cell r="AI251">
            <v>10.247919339999999</v>
          </cell>
          <cell r="AJ251">
            <v>10.33881105</v>
          </cell>
          <cell r="AK251">
            <v>10.43106191</v>
          </cell>
          <cell r="AL251">
            <v>10.524770350000001</v>
          </cell>
          <cell r="AM251">
            <v>10.62000536</v>
          </cell>
          <cell r="AN251">
            <v>10.716811229999999</v>
          </cell>
          <cell r="AO251">
            <v>10.815213569999999</v>
          </cell>
          <cell r="AP251">
            <v>10.91180557</v>
          </cell>
          <cell r="AQ251">
            <v>11.008612360000001</v>
          </cell>
          <cell r="AR251">
            <v>11.10616531</v>
          </cell>
          <cell r="AS251">
            <v>11.204714989999999</v>
          </cell>
          <cell r="AT251">
            <v>11.30442392</v>
          </cell>
          <cell r="AU251">
            <v>11.405413490000001</v>
          </cell>
          <cell r="AV251">
            <v>11.5077754</v>
          </cell>
          <cell r="AW251">
            <v>11.61157317</v>
          </cell>
          <cell r="AX251">
            <v>11.71683589</v>
          </cell>
          <cell r="AY251">
            <v>11.82352826</v>
          </cell>
          <cell r="AZ251">
            <v>11.931702039999999</v>
          </cell>
          <cell r="BA251">
            <v>12.04119803</v>
          </cell>
          <cell r="BB251">
            <v>12.151822709999999</v>
          </cell>
          <cell r="BC251">
            <v>12.26401362</v>
          </cell>
          <cell r="BD251">
            <v>12.378119509999999</v>
          </cell>
          <cell r="BE251">
            <v>13.2800452</v>
          </cell>
          <cell r="BF251">
            <v>13.446028159999999</v>
          </cell>
          <cell r="BG251">
            <v>13.61463571</v>
          </cell>
          <cell r="BH251">
            <v>13.785939519999999</v>
          </cell>
          <cell r="BI251">
            <v>13.96000641</v>
          </cell>
        </row>
        <row r="253">
          <cell r="E253" t="str">
            <v>YG_toe_cgas_0</v>
          </cell>
          <cell r="F253">
            <v>6.6062603229999999</v>
          </cell>
          <cell r="G253">
            <v>6.6480353149999996</v>
          </cell>
          <cell r="H253">
            <v>6.6704480950000002</v>
          </cell>
          <cell r="I253">
            <v>6.6792893109999998</v>
          </cell>
          <cell r="J253">
            <v>6.6778001109999998</v>
          </cell>
          <cell r="K253">
            <v>6.6752582550000001</v>
          </cell>
          <cell r="L253">
            <v>6.6708197629999999</v>
          </cell>
          <cell r="M253">
            <v>6.6697477520000001</v>
          </cell>
          <cell r="N253">
            <v>6.6711559390000001</v>
          </cell>
          <cell r="O253">
            <v>6.6741641229999997</v>
          </cell>
          <cell r="P253">
            <v>6.6860735279999997</v>
          </cell>
          <cell r="Q253">
            <v>6.6900412039999999</v>
          </cell>
          <cell r="R253">
            <v>6.6946569480000004</v>
          </cell>
          <cell r="S253">
            <v>6.6998824299999997</v>
          </cell>
          <cell r="T253">
            <v>6.7059279829999996</v>
          </cell>
          <cell r="U253">
            <v>6.7129278640000001</v>
          </cell>
          <cell r="V253">
            <v>6.7209333300000003</v>
          </cell>
          <cell r="W253">
            <v>6.729937971</v>
          </cell>
          <cell r="X253">
            <v>6.7398986519999999</v>
          </cell>
          <cell r="Y253">
            <v>6.7507501950000002</v>
          </cell>
          <cell r="Z253">
            <v>6.7568754679999996</v>
          </cell>
          <cell r="AA253">
            <v>6.7699868509999996</v>
          </cell>
          <cell r="AB253">
            <v>6.783634867</v>
          </cell>
          <cell r="AC253">
            <v>6.7978219050000002</v>
          </cell>
          <cell r="AD253">
            <v>6.8123806890000003</v>
          </cell>
          <cell r="AE253">
            <v>6.8115622770000002</v>
          </cell>
          <cell r="AF253">
            <v>6.8214316149999998</v>
          </cell>
          <cell r="AG253">
            <v>6.8320571159999997</v>
          </cell>
          <cell r="AH253">
            <v>6.8435382980000004</v>
          </cell>
          <cell r="AI253">
            <v>6.8554909579999999</v>
          </cell>
          <cell r="AJ253">
            <v>6.8675971090000001</v>
          </cell>
          <cell r="AK253">
            <v>6.8796483970000004</v>
          </cell>
          <cell r="AL253">
            <v>6.8915222060000003</v>
          </cell>
          <cell r="AM253">
            <v>6.9031590290000002</v>
          </cell>
          <cell r="AN253">
            <v>6.9145444019999998</v>
          </cell>
          <cell r="AO253">
            <v>6.9256947279999999</v>
          </cell>
          <cell r="AP253">
            <v>6.9330359819999998</v>
          </cell>
          <cell r="AQ253">
            <v>6.9408049380000003</v>
          </cell>
          <cell r="AR253">
            <v>6.9489016320000001</v>
          </cell>
          <cell r="AS253">
            <v>6.9573271989999999</v>
          </cell>
          <cell r="AT253">
            <v>6.9660339379999998</v>
          </cell>
          <cell r="AU253">
            <v>6.9749455390000001</v>
          </cell>
          <cell r="AV253">
            <v>6.9839789779999997</v>
          </cell>
          <cell r="AW253">
            <v>6.9930500520000001</v>
          </cell>
          <cell r="AX253">
            <v>7.0020595119999998</v>
          </cell>
          <cell r="AY253">
            <v>7.0108418549999998</v>
          </cell>
          <cell r="AZ253">
            <v>7.0192826970000004</v>
          </cell>
          <cell r="BA253">
            <v>7.0268422279999996</v>
          </cell>
          <cell r="BB253">
            <v>7.0323414949999998</v>
          </cell>
          <cell r="BC253">
            <v>7.0376312570000001</v>
          </cell>
          <cell r="BD253">
            <v>7.0441854749999999</v>
          </cell>
          <cell r="BE253">
            <v>6.5550224909999999</v>
          </cell>
          <cell r="BF253">
            <v>6.5727831459999999</v>
          </cell>
          <cell r="BG253">
            <v>6.5912239770000003</v>
          </cell>
          <cell r="BH253">
            <v>6.6103602400000003</v>
          </cell>
          <cell r="BI253">
            <v>6.6301887920000002</v>
          </cell>
        </row>
        <row r="259">
          <cell r="E259" t="str">
            <v>YG_toe_cele_0</v>
          </cell>
          <cell r="F259">
            <v>57.529655949999999</v>
          </cell>
          <cell r="G259">
            <v>58.024710339999999</v>
          </cell>
          <cell r="H259">
            <v>58.486192180000003</v>
          </cell>
          <cell r="I259">
            <v>58.965917300000001</v>
          </cell>
          <cell r="J259">
            <v>59.482010879999997</v>
          </cell>
          <cell r="K259">
            <v>60.04720914</v>
          </cell>
          <cell r="L259">
            <v>60.6281222</v>
          </cell>
          <cell r="M259">
            <v>61.237200260000002</v>
          </cell>
          <cell r="N259">
            <v>61.869040750000003</v>
          </cell>
          <cell r="O259">
            <v>62.517182900000002</v>
          </cell>
          <cell r="P259">
            <v>63.233221010000001</v>
          </cell>
          <cell r="Q259">
            <v>63.920640849999998</v>
          </cell>
          <cell r="R259">
            <v>64.606280609999999</v>
          </cell>
          <cell r="S259">
            <v>65.293249939999995</v>
          </cell>
          <cell r="T259">
            <v>65.982451800000007</v>
          </cell>
          <cell r="U259">
            <v>66.674545089999995</v>
          </cell>
          <cell r="V259">
            <v>67.370347159999994</v>
          </cell>
          <cell r="W259">
            <v>68.070875290000004</v>
          </cell>
          <cell r="X259">
            <v>68.77730305</v>
          </cell>
          <cell r="Y259">
            <v>69.490899240000005</v>
          </cell>
          <cell r="Z259">
            <v>70.171593669999993</v>
          </cell>
          <cell r="AA259">
            <v>70.889139760000006</v>
          </cell>
          <cell r="AB259">
            <v>71.623619500000004</v>
          </cell>
          <cell r="AC259">
            <v>72.373229730000006</v>
          </cell>
          <cell r="AD259">
            <v>73.138100489999999</v>
          </cell>
          <cell r="AE259">
            <v>73.800083529999995</v>
          </cell>
          <cell r="AF259">
            <v>74.499691229999996</v>
          </cell>
          <cell r="AG259">
            <v>75.21271763</v>
          </cell>
          <cell r="AH259">
            <v>75.938829350000006</v>
          </cell>
          <cell r="AI259">
            <v>76.67949711</v>
          </cell>
          <cell r="AJ259">
            <v>77.436238529999997</v>
          </cell>
          <cell r="AK259">
            <v>78.210221730000001</v>
          </cell>
          <cell r="AL259">
            <v>79.002206299999997</v>
          </cell>
          <cell r="AM259">
            <v>79.812580760000003</v>
          </cell>
          <cell r="AN259">
            <v>80.641432140000006</v>
          </cell>
          <cell r="AO259">
            <v>81.488623630000006</v>
          </cell>
          <cell r="AP259">
            <v>82.325474119999996</v>
          </cell>
          <cell r="AQ259">
            <v>83.169913030000004</v>
          </cell>
          <cell r="AR259">
            <v>84.025416840000005</v>
          </cell>
          <cell r="AS259">
            <v>84.893519269999999</v>
          </cell>
          <cell r="AT259">
            <v>85.775187189999997</v>
          </cell>
          <cell r="AU259">
            <v>86.671129440000001</v>
          </cell>
          <cell r="AV259">
            <v>87.581865219999997</v>
          </cell>
          <cell r="AW259">
            <v>88.507748559999996</v>
          </cell>
          <cell r="AX259">
            <v>89.448948979999997</v>
          </cell>
          <cell r="AY259">
            <v>90.405352879999995</v>
          </cell>
          <cell r="AZ259">
            <v>91.378581589999996</v>
          </cell>
          <cell r="BA259">
            <v>92.366398770000004</v>
          </cell>
          <cell r="BB259">
            <v>93.367646930000006</v>
          </cell>
          <cell r="BC259">
            <v>94.383784449999993</v>
          </cell>
          <cell r="BD259">
            <v>95.416139509999994</v>
          </cell>
          <cell r="BE259">
            <v>102.0538025</v>
          </cell>
          <cell r="BF259">
            <v>103.4970831</v>
          </cell>
          <cell r="BG259">
            <v>104.966171</v>
          </cell>
          <cell r="BH259">
            <v>106.46154749999999</v>
          </cell>
          <cell r="BI259">
            <v>107.9836487</v>
          </cell>
        </row>
        <row r="269">
          <cell r="E269" t="str">
            <v>YG_toe_chea_0</v>
          </cell>
          <cell r="F269">
            <v>5.7131595600000002</v>
          </cell>
          <cell r="G269">
            <v>5.7821035439999999</v>
          </cell>
          <cell r="H269">
            <v>5.8586526790000004</v>
          </cell>
          <cell r="I269">
            <v>5.9404580549999997</v>
          </cell>
          <cell r="J269">
            <v>6.0270499580000001</v>
          </cell>
          <cell r="K269">
            <v>6.1094408619999996</v>
          </cell>
          <cell r="L269">
            <v>6.1818491</v>
          </cell>
          <cell r="M269">
            <v>6.249461148</v>
          </cell>
          <cell r="N269">
            <v>6.3152038529999999</v>
          </cell>
          <cell r="O269">
            <v>6.3805787350000003</v>
          </cell>
          <cell r="P269">
            <v>6.4553791719999998</v>
          </cell>
          <cell r="Q269">
            <v>6.5252663929999999</v>
          </cell>
          <cell r="R269">
            <v>6.5936933719999997</v>
          </cell>
          <cell r="S269">
            <v>6.6618394910000003</v>
          </cell>
          <cell r="T269">
            <v>6.7301478379999997</v>
          </cell>
          <cell r="U269">
            <v>6.7987918189999998</v>
          </cell>
          <cell r="V269">
            <v>6.8678460000000001</v>
          </cell>
          <cell r="W269">
            <v>6.9373538789999998</v>
          </cell>
          <cell r="X269">
            <v>7.0073539189999998</v>
          </cell>
          <cell r="Y269">
            <v>7.0778878269999996</v>
          </cell>
          <cell r="Z269">
            <v>7.142726304</v>
          </cell>
          <cell r="AA269">
            <v>7.2119706749999999</v>
          </cell>
          <cell r="AB269">
            <v>7.2833051649999998</v>
          </cell>
          <cell r="AC269">
            <v>7.3559660060000001</v>
          </cell>
          <cell r="AD269">
            <v>7.4296763429999997</v>
          </cell>
          <cell r="AE269">
            <v>7.4868596580000002</v>
          </cell>
          <cell r="AF269">
            <v>7.5472606009999996</v>
          </cell>
          <cell r="AG269">
            <v>7.609173073</v>
          </cell>
          <cell r="AH269">
            <v>7.6721813750000001</v>
          </cell>
          <cell r="AI269">
            <v>7.7361674489999999</v>
          </cell>
          <cell r="AJ269">
            <v>7.8011184570000003</v>
          </cell>
          <cell r="AK269">
            <v>7.8670525659999999</v>
          </cell>
          <cell r="AL269">
            <v>7.9339913519999996</v>
          </cell>
          <cell r="AM269">
            <v>8.0019499130000007</v>
          </cell>
          <cell r="AN269">
            <v>8.0709349669999995</v>
          </cell>
          <cell r="AO269">
            <v>8.1409465240000003</v>
          </cell>
          <cell r="AP269">
            <v>8.2080739509999994</v>
          </cell>
          <cell r="AQ269">
            <v>8.2746570520000002</v>
          </cell>
          <cell r="AR269">
            <v>8.3415503139999991</v>
          </cell>
          <cell r="AS269">
            <v>8.4091236519999999</v>
          </cell>
          <cell r="AT269">
            <v>8.4775682789999998</v>
          </cell>
          <cell r="AU269">
            <v>8.5470103300000009</v>
          </cell>
          <cell r="AV269">
            <v>8.6175606929999997</v>
          </cell>
          <cell r="AW269">
            <v>8.6893453990000005</v>
          </cell>
          <cell r="AX269">
            <v>8.7625423589999993</v>
          </cell>
          <cell r="AY269">
            <v>8.8374668179999993</v>
          </cell>
          <cell r="AZ269">
            <v>8.9152226419999998</v>
          </cell>
          <cell r="BA269">
            <v>8.9925950609999994</v>
          </cell>
          <cell r="BB269">
            <v>9.0691653320000007</v>
          </cell>
          <cell r="BC269">
            <v>9.1452050360000001</v>
          </cell>
          <cell r="BD269">
            <v>9.2211934469999992</v>
          </cell>
          <cell r="BE269">
            <v>9.8041921369999994</v>
          </cell>
          <cell r="BF269">
            <v>9.9115410859999997</v>
          </cell>
          <cell r="BG269">
            <v>10.020335210000001</v>
          </cell>
          <cell r="BH269">
            <v>10.130629770000001</v>
          </cell>
          <cell r="BI269">
            <v>10.24246739</v>
          </cell>
        </row>
        <row r="271">
          <cell r="E271" t="str">
            <v>YG_toe_cbio_0</v>
          </cell>
          <cell r="F271">
            <v>11.183799690000001</v>
          </cell>
          <cell r="G271">
            <v>11.237025859999999</v>
          </cell>
          <cell r="H271">
            <v>11.265660370000001</v>
          </cell>
          <cell r="I271">
            <v>11.288540040000001</v>
          </cell>
          <cell r="J271">
            <v>11.31207498</v>
          </cell>
          <cell r="K271">
            <v>11.34181824</v>
          </cell>
          <cell r="L271">
            <v>11.37427125</v>
          </cell>
          <cell r="M271">
            <v>11.4118464</v>
          </cell>
          <cell r="N271">
            <v>11.454154620000001</v>
          </cell>
          <cell r="O271">
            <v>11.50004678</v>
          </cell>
          <cell r="P271">
            <v>11.557557920000001</v>
          </cell>
          <cell r="Q271">
            <v>11.61172367</v>
          </cell>
          <cell r="R271">
            <v>11.665166279999999</v>
          </cell>
          <cell r="S271">
            <v>11.718691489999999</v>
          </cell>
          <cell r="T271">
            <v>11.7725832</v>
          </cell>
          <cell r="U271">
            <v>11.82695298</v>
          </cell>
          <cell r="V271">
            <v>11.881870149999999</v>
          </cell>
          <cell r="W271">
            <v>11.93740567</v>
          </cell>
          <cell r="X271">
            <v>11.993643199999999</v>
          </cell>
          <cell r="Y271">
            <v>12.050678039999999</v>
          </cell>
          <cell r="Z271">
            <v>12.102291599999999</v>
          </cell>
          <cell r="AA271">
            <v>12.15852785</v>
          </cell>
          <cell r="AB271">
            <v>12.21727662</v>
          </cell>
          <cell r="AC271">
            <v>12.277870869999999</v>
          </cell>
          <cell r="AD271">
            <v>12.340083180000001</v>
          </cell>
          <cell r="AE271">
            <v>12.386129009999999</v>
          </cell>
          <cell r="AF271">
            <v>12.435522430000001</v>
          </cell>
          <cell r="AG271">
            <v>12.486768659999999</v>
          </cell>
          <cell r="AH271">
            <v>12.539591400000001</v>
          </cell>
          <cell r="AI271">
            <v>12.59396961</v>
          </cell>
          <cell r="AJ271">
            <v>12.649959709999999</v>
          </cell>
          <cell r="AK271">
            <v>12.70762457</v>
          </cell>
          <cell r="AL271">
            <v>12.7670093</v>
          </cell>
          <cell r="AM271">
            <v>12.828135769999999</v>
          </cell>
          <cell r="AN271">
            <v>12.89100515</v>
          </cell>
          <cell r="AO271">
            <v>12.955603249999999</v>
          </cell>
          <cell r="AP271">
            <v>13.017876729999999</v>
          </cell>
          <cell r="AQ271">
            <v>13.080091380000001</v>
          </cell>
          <cell r="AR271">
            <v>13.143084379999999</v>
          </cell>
          <cell r="AS271">
            <v>13.207230620000001</v>
          </cell>
          <cell r="AT271">
            <v>13.27272338</v>
          </cell>
          <cell r="AU271">
            <v>13.33968031</v>
          </cell>
          <cell r="AV271">
            <v>13.408183080000001</v>
          </cell>
          <cell r="AW271">
            <v>13.47828842</v>
          </cell>
          <cell r="AX271">
            <v>13.550023059999999</v>
          </cell>
          <cell r="AY271">
            <v>13.62334437</v>
          </cell>
          <cell r="AZ271">
            <v>13.69821447</v>
          </cell>
          <cell r="BA271">
            <v>13.77371348</v>
          </cell>
          <cell r="BB271">
            <v>13.84974976</v>
          </cell>
          <cell r="BC271">
            <v>13.92667868</v>
          </cell>
          <cell r="BD271">
            <v>14.004894849999999</v>
          </cell>
          <cell r="BE271">
            <v>14.610772430000001</v>
          </cell>
          <cell r="BF271">
            <v>14.73188167</v>
          </cell>
          <cell r="BG271">
            <v>14.855241469999999</v>
          </cell>
          <cell r="BH271">
            <v>14.98092958</v>
          </cell>
          <cell r="BI271">
            <v>15.109000999999999</v>
          </cell>
        </row>
        <row r="274">
          <cell r="E274" t="str">
            <v>YG_toe_cote_0</v>
          </cell>
          <cell r="F274">
            <v>13.881761239999999</v>
          </cell>
          <cell r="G274">
            <v>14.05126907</v>
          </cell>
          <cell r="H274">
            <v>14.231860230000001</v>
          </cell>
          <cell r="I274">
            <v>14.42291623</v>
          </cell>
          <cell r="J274">
            <v>14.62509738</v>
          </cell>
          <cell r="K274">
            <v>14.837226060000001</v>
          </cell>
          <cell r="L274">
            <v>15.047189769999999</v>
          </cell>
          <cell r="M274">
            <v>15.26211855</v>
          </cell>
          <cell r="N274">
            <v>15.48194168</v>
          </cell>
          <cell r="O274">
            <v>15.70613805</v>
          </cell>
          <cell r="P274">
            <v>15.95305845</v>
          </cell>
          <cell r="Q274">
            <v>16.188685249999999</v>
          </cell>
          <cell r="R274">
            <v>16.425835230000001</v>
          </cell>
          <cell r="S274">
            <v>16.665503919999999</v>
          </cell>
          <cell r="T274">
            <v>16.907899180000001</v>
          </cell>
          <cell r="U274">
            <v>17.153125410000001</v>
          </cell>
          <cell r="V274">
            <v>17.40130534</v>
          </cell>
          <cell r="W274">
            <v>17.652593370000002</v>
          </cell>
          <cell r="X274">
            <v>17.907167189999999</v>
          </cell>
          <cell r="Y274">
            <v>18.165216579999999</v>
          </cell>
          <cell r="Z274">
            <v>18.412978949999999</v>
          </cell>
          <cell r="AA274">
            <v>18.675620649999999</v>
          </cell>
          <cell r="AB274">
            <v>18.943621570000001</v>
          </cell>
          <cell r="AC274">
            <v>19.216324279999998</v>
          </cell>
          <cell r="AD274">
            <v>19.49369094</v>
          </cell>
          <cell r="AE274">
            <v>19.735483030000001</v>
          </cell>
          <cell r="AF274">
            <v>19.994783720000001</v>
          </cell>
          <cell r="AG274">
            <v>20.258479449999999</v>
          </cell>
          <cell r="AH274">
            <v>20.526010190000001</v>
          </cell>
          <cell r="AI274">
            <v>20.797527479999999</v>
          </cell>
          <cell r="AJ274">
            <v>21.073262960000001</v>
          </cell>
          <cell r="AK274">
            <v>21.353407489999999</v>
          </cell>
          <cell r="AL274">
            <v>21.638090999999999</v>
          </cell>
          <cell r="AM274">
            <v>21.92738683</v>
          </cell>
          <cell r="AN274">
            <v>22.221323300000002</v>
          </cell>
          <cell r="AO274">
            <v>22.51989678</v>
          </cell>
          <cell r="AP274">
            <v>22.8133172</v>
          </cell>
          <cell r="AQ274">
            <v>23.109164379999999</v>
          </cell>
          <cell r="AR274">
            <v>23.408294080000001</v>
          </cell>
          <cell r="AS274">
            <v>23.71100796</v>
          </cell>
          <cell r="AT274">
            <v>24.01749015</v>
          </cell>
          <cell r="AU274">
            <v>24.327887279999999</v>
          </cell>
          <cell r="AV274">
            <v>24.642321939999999</v>
          </cell>
          <cell r="AW274">
            <v>24.960895430000001</v>
          </cell>
          <cell r="AX274">
            <v>25.283690660000001</v>
          </cell>
          <cell r="AY274">
            <v>25.610777809999998</v>
          </cell>
          <cell r="AZ274">
            <v>25.943110539999999</v>
          </cell>
          <cell r="BA274">
            <v>26.279813520000001</v>
          </cell>
          <cell r="BB274">
            <v>26.620766249999999</v>
          </cell>
          <cell r="BC274">
            <v>26.966036320000001</v>
          </cell>
          <cell r="BD274">
            <v>27.315725010000001</v>
          </cell>
          <cell r="BE274">
            <v>30.017926889999998</v>
          </cell>
          <cell r="BF274">
            <v>30.51611922</v>
          </cell>
          <cell r="BG274">
            <v>31.022743940000002</v>
          </cell>
          <cell r="BH274">
            <v>31.53794589</v>
          </cell>
          <cell r="BI274">
            <v>32.061870679999998</v>
          </cell>
        </row>
        <row r="281">
          <cell r="F281">
            <v>160.55402939999999</v>
          </cell>
          <cell r="G281">
            <v>160.98240390000001</v>
          </cell>
          <cell r="H281">
            <v>161.4069959</v>
          </cell>
          <cell r="I281">
            <v>161.97421689999999</v>
          </cell>
          <cell r="J281">
            <v>162.7582682</v>
          </cell>
          <cell r="K281">
            <v>163.76500569999999</v>
          </cell>
          <cell r="L281">
            <v>164.8856222</v>
          </cell>
          <cell r="M281">
            <v>166.12686410000001</v>
          </cell>
          <cell r="N281">
            <v>167.4622133</v>
          </cell>
          <cell r="O281">
            <v>168.85808259999999</v>
          </cell>
          <cell r="P281">
            <v>170.2666979</v>
          </cell>
          <cell r="Q281">
            <v>171.82242350000001</v>
          </cell>
          <cell r="R281">
            <v>173.4246181</v>
          </cell>
          <cell r="S281">
            <v>175.0576092</v>
          </cell>
          <cell r="T281">
            <v>176.71689810000001</v>
          </cell>
          <cell r="U281">
            <v>178.3993227</v>
          </cell>
          <cell r="V281">
            <v>180.09394359999999</v>
          </cell>
          <cell r="W281">
            <v>181.80237159999999</v>
          </cell>
          <cell r="X281">
            <v>183.52390149999999</v>
          </cell>
          <cell r="Y281">
            <v>185.25775970000001</v>
          </cell>
          <cell r="Z281">
            <v>186.9065635</v>
          </cell>
          <cell r="AA281">
            <v>188.62205850000001</v>
          </cell>
          <cell r="AB281">
            <v>190.3673234</v>
          </cell>
          <cell r="AC281">
            <v>192.1351391</v>
          </cell>
          <cell r="AD281">
            <v>193.92462370000001</v>
          </cell>
          <cell r="AE281">
            <v>195.46068940000001</v>
          </cell>
          <cell r="AF281">
            <v>197.04695330000001</v>
          </cell>
          <cell r="AG281">
            <v>198.64692869999999</v>
          </cell>
          <cell r="AH281">
            <v>200.25881190000001</v>
          </cell>
          <cell r="AI281">
            <v>201.88694319999999</v>
          </cell>
          <cell r="AJ281">
            <v>203.5361292</v>
          </cell>
          <cell r="AK281">
            <v>205.21251330000001</v>
          </cell>
          <cell r="AL281">
            <v>206.9181097</v>
          </cell>
          <cell r="AM281">
            <v>208.65468559999999</v>
          </cell>
          <cell r="AN281">
            <v>210.4234031</v>
          </cell>
          <cell r="AO281">
            <v>212.2249832</v>
          </cell>
          <cell r="AP281">
            <v>214.01443660000001</v>
          </cell>
          <cell r="AQ281">
            <v>215.81673090000001</v>
          </cell>
          <cell r="AR281">
            <v>217.6391903</v>
          </cell>
          <cell r="AS281">
            <v>219.4852234</v>
          </cell>
          <cell r="AT281">
            <v>221.35699450000001</v>
          </cell>
          <cell r="AU281">
            <v>223.25918379999999</v>
          </cell>
          <cell r="AV281">
            <v>225.1912653</v>
          </cell>
          <cell r="AW281">
            <v>227.15351720000001</v>
          </cell>
          <cell r="AX281">
            <v>229.1461659</v>
          </cell>
          <cell r="AY281">
            <v>231.1692501</v>
          </cell>
          <cell r="AZ281">
            <v>233.23925209999999</v>
          </cell>
          <cell r="BA281">
            <v>235.34721949999999</v>
          </cell>
          <cell r="BB281">
            <v>237.490409</v>
          </cell>
          <cell r="BC281">
            <v>239.66743930000001</v>
          </cell>
          <cell r="BD281">
            <v>241.8773664</v>
          </cell>
          <cell r="BE281">
            <v>283.96565909999998</v>
          </cell>
          <cell r="BF281">
            <v>287.72227379999998</v>
          </cell>
          <cell r="BG281">
            <v>291.5392842</v>
          </cell>
          <cell r="BH281">
            <v>295.41791599999999</v>
          </cell>
          <cell r="BI281">
            <v>299.35954529999998</v>
          </cell>
        </row>
        <row r="282">
          <cell r="E282" t="str">
            <v>CF_toe_ccoa_2</v>
          </cell>
          <cell r="F282">
            <v>5.3484019959999998</v>
          </cell>
          <cell r="G282">
            <v>5.3732311599999996</v>
          </cell>
          <cell r="H282">
            <v>5.4219055259999998</v>
          </cell>
          <cell r="I282">
            <v>5.479567007</v>
          </cell>
          <cell r="J282">
            <v>5.5429352720000002</v>
          </cell>
          <cell r="K282">
            <v>5.61091798</v>
          </cell>
          <cell r="L282">
            <v>5.6791321750000003</v>
          </cell>
          <cell r="M282">
            <v>5.749428848</v>
          </cell>
          <cell r="N282">
            <v>5.8218743499999999</v>
          </cell>
          <cell r="O282">
            <v>5.896187082</v>
          </cell>
          <cell r="P282">
            <v>5.9667557770000004</v>
          </cell>
          <cell r="Q282">
            <v>6.0506744000000001</v>
          </cell>
          <cell r="R282">
            <v>6.1382692490000004</v>
          </cell>
          <cell r="S282">
            <v>6.2275650919999999</v>
          </cell>
          <cell r="T282">
            <v>6.3180415129999998</v>
          </cell>
          <cell r="U282">
            <v>6.4095051239999998</v>
          </cell>
          <cell r="V282">
            <v>6.5013684600000001</v>
          </cell>
          <cell r="W282">
            <v>6.594004441</v>
          </cell>
          <cell r="X282">
            <v>6.687491241</v>
          </cell>
          <cell r="Y282">
            <v>6.7818755380000004</v>
          </cell>
          <cell r="Z282">
            <v>6.8727724590000001</v>
          </cell>
          <cell r="AA282">
            <v>6.9675564359999997</v>
          </cell>
          <cell r="AB282">
            <v>7.0641606320000001</v>
          </cell>
          <cell r="AC282">
            <v>7.1622329950000001</v>
          </cell>
          <cell r="AD282">
            <v>7.2617634280000001</v>
          </cell>
          <cell r="AE282">
            <v>7.3500771890000003</v>
          </cell>
          <cell r="AF282">
            <v>7.4423220590000003</v>
          </cell>
          <cell r="AG282">
            <v>7.5359995470000003</v>
          </cell>
          <cell r="AH282">
            <v>7.6307945659999996</v>
          </cell>
          <cell r="AI282">
            <v>7.7267949189999996</v>
          </cell>
          <cell r="AJ282">
            <v>7.8241358959999996</v>
          </cell>
          <cell r="AK282">
            <v>7.9230789670000004</v>
          </cell>
          <cell r="AL282">
            <v>8.0235830480000008</v>
          </cell>
          <cell r="AM282">
            <v>8.1256705169999996</v>
          </cell>
          <cell r="AN282">
            <v>8.2293513199999992</v>
          </cell>
          <cell r="AO282">
            <v>8.3346154390000002</v>
          </cell>
          <cell r="AP282">
            <v>8.4398194380000007</v>
          </cell>
          <cell r="AQ282">
            <v>8.5457020890000006</v>
          </cell>
          <cell r="AR282">
            <v>8.6525097530000004</v>
          </cell>
          <cell r="AS282">
            <v>8.7603517990000004</v>
          </cell>
          <cell r="AT282">
            <v>8.8692899900000004</v>
          </cell>
          <cell r="AU282">
            <v>8.9796041669999997</v>
          </cell>
          <cell r="AV282">
            <v>9.0911297149999992</v>
          </cell>
          <cell r="AW282">
            <v>9.2038477360000002</v>
          </cell>
          <cell r="AX282">
            <v>9.3177558699999992</v>
          </cell>
          <cell r="AY282">
            <v>9.4328475239999996</v>
          </cell>
          <cell r="AZ282">
            <v>9.5502481659999994</v>
          </cell>
          <cell r="BA282">
            <v>9.6691007510000002</v>
          </cell>
          <cell r="BB282">
            <v>9.7892400960000003</v>
          </cell>
          <cell r="BC282">
            <v>9.9106235429999998</v>
          </cell>
          <cell r="BD282">
            <v>10.0332299</v>
          </cell>
          <cell r="BE282">
            <v>12.585566829999999</v>
          </cell>
          <cell r="BF282">
            <v>12.805525859999999</v>
          </cell>
          <cell r="BG282">
            <v>13.02890981</v>
          </cell>
          <cell r="BH282">
            <v>13.25575914</v>
          </cell>
          <cell r="BI282">
            <v>13.48611507</v>
          </cell>
        </row>
        <row r="285">
          <cell r="E285" t="str">
            <v>CF_toe_ccoi_2</v>
          </cell>
          <cell r="F285">
            <v>8.3438132700000001E-2</v>
          </cell>
          <cell r="G285">
            <v>8.3808007899999995E-2</v>
          </cell>
          <cell r="H285">
            <v>8.4393620700000005E-2</v>
          </cell>
          <cell r="I285">
            <v>8.5112978199999995E-2</v>
          </cell>
          <cell r="J285">
            <v>8.5969880400000004E-2</v>
          </cell>
          <cell r="K285">
            <v>8.6964690299999994E-2</v>
          </cell>
          <cell r="L285">
            <v>8.8031324600000002E-2</v>
          </cell>
          <cell r="M285">
            <v>8.9184362099999998E-2</v>
          </cell>
          <cell r="N285">
            <v>9.04140217E-2</v>
          </cell>
          <cell r="O285">
            <v>9.1707309200000003E-2</v>
          </cell>
          <cell r="P285">
            <v>9.3010789999999996E-2</v>
          </cell>
          <cell r="Q285">
            <v>9.4481673799999999E-2</v>
          </cell>
          <cell r="R285">
            <v>9.6021701099999995E-2</v>
          </cell>
          <cell r="S285">
            <v>9.7609895599999996E-2</v>
          </cell>
          <cell r="T285">
            <v>9.9236543900000002E-2</v>
          </cell>
          <cell r="U285">
            <v>0.1008940569</v>
          </cell>
          <cell r="V285">
            <v>0.1025741072</v>
          </cell>
          <cell r="W285">
            <v>0.1042726177</v>
          </cell>
          <cell r="X285">
            <v>0.105986002</v>
          </cell>
          <cell r="Y285">
            <v>0.10771172430000001</v>
          </cell>
          <cell r="Z285">
            <v>0.10937814830000001</v>
          </cell>
          <cell r="AA285">
            <v>0.11109277250000001</v>
          </cell>
          <cell r="AB285">
            <v>0.112827673</v>
          </cell>
          <cell r="AC285">
            <v>0.114578523</v>
          </cell>
          <cell r="AD285">
            <v>0.1163452817</v>
          </cell>
          <cell r="AE285">
            <v>0.1179261575</v>
          </cell>
          <cell r="AF285">
            <v>0.1195385209</v>
          </cell>
          <cell r="AG285">
            <v>0.1211532499</v>
          </cell>
          <cell r="AH285">
            <v>0.1227703914</v>
          </cell>
          <cell r="AI285">
            <v>0.12439462799999999</v>
          </cell>
          <cell r="AJ285">
            <v>0.1260307309</v>
          </cell>
          <cell r="AK285">
            <v>0.12768329310000001</v>
          </cell>
          <cell r="AL285">
            <v>0.12935526050000001</v>
          </cell>
          <cell r="AM285">
            <v>0.13104906999999999</v>
          </cell>
          <cell r="AN285">
            <v>0.13276654760000001</v>
          </cell>
          <cell r="AO285">
            <v>0.13450896339999999</v>
          </cell>
          <cell r="AP285">
            <v>0.13623385339999999</v>
          </cell>
          <cell r="AQ285">
            <v>0.1379647581</v>
          </cell>
          <cell r="AR285">
            <v>0.13970856810000001</v>
          </cell>
          <cell r="AS285">
            <v>0.1414689184</v>
          </cell>
          <cell r="AT285">
            <v>0.14324829529999999</v>
          </cell>
          <cell r="AU285">
            <v>0.1450493729</v>
          </cell>
          <cell r="AV285">
            <v>0.1468729423</v>
          </cell>
          <cell r="AW285">
            <v>0.148719778</v>
          </cell>
          <cell r="AX285">
            <v>0.15059037049999999</v>
          </cell>
          <cell r="AY285">
            <v>0.15248492</v>
          </cell>
          <cell r="AZ285">
            <v>0.15441109550000001</v>
          </cell>
          <cell r="BA285">
            <v>0.15636495850000001</v>
          </cell>
          <cell r="BB285">
            <v>0.15834573190000001</v>
          </cell>
          <cell r="BC285">
            <v>0.16035308200000001</v>
          </cell>
          <cell r="BD285">
            <v>0.16238657819999999</v>
          </cell>
          <cell r="BE285">
            <v>0.19860557870000001</v>
          </cell>
          <cell r="BF285">
            <v>0.20196968779999999</v>
          </cell>
          <cell r="BG285">
            <v>0.20537931740000001</v>
          </cell>
          <cell r="BH285">
            <v>0.2088358948</v>
          </cell>
          <cell r="BI285">
            <v>0.21234085599999999</v>
          </cell>
        </row>
        <row r="288">
          <cell r="E288" t="str">
            <v>CF_toe_cfut_2</v>
          </cell>
          <cell r="F288">
            <v>46.994439370000002</v>
          </cell>
          <cell r="G288">
            <v>46.997762590000001</v>
          </cell>
          <cell r="H288">
            <v>46.996804830000002</v>
          </cell>
          <cell r="I288">
            <v>47.075599269999998</v>
          </cell>
          <cell r="J288">
            <v>47.256208659999999</v>
          </cell>
          <cell r="K288">
            <v>47.53168659</v>
          </cell>
          <cell r="L288">
            <v>47.869030729999999</v>
          </cell>
          <cell r="M288">
            <v>48.259926610000001</v>
          </cell>
          <cell r="N288">
            <v>48.692967430000003</v>
          </cell>
          <cell r="O288">
            <v>49.158504989999997</v>
          </cell>
          <cell r="P288">
            <v>49.640429330000003</v>
          </cell>
          <cell r="Q288">
            <v>50.176539050000002</v>
          </cell>
          <cell r="R288">
            <v>50.737386139999998</v>
          </cell>
          <cell r="S288">
            <v>51.315663659999998</v>
          </cell>
          <cell r="T288">
            <v>51.907791150000001</v>
          </cell>
          <cell r="U288">
            <v>52.51110122</v>
          </cell>
          <cell r="V288">
            <v>53.12226536</v>
          </cell>
          <cell r="W288">
            <v>53.740098070000002</v>
          </cell>
          <cell r="X288">
            <v>54.363282640000001</v>
          </cell>
          <cell r="Y288">
            <v>54.990769460000003</v>
          </cell>
          <cell r="Z288">
            <v>55.600562840000002</v>
          </cell>
          <cell r="AA288">
            <v>56.223100510000002</v>
          </cell>
          <cell r="AB288">
            <v>56.851529460000002</v>
          </cell>
          <cell r="AC288">
            <v>57.484611319999999</v>
          </cell>
          <cell r="AD288">
            <v>58.122207019999998</v>
          </cell>
          <cell r="AE288">
            <v>58.703445479999999</v>
          </cell>
          <cell r="AF288">
            <v>59.288776159999998</v>
          </cell>
          <cell r="AG288">
            <v>59.871979400000001</v>
          </cell>
          <cell r="AH288">
            <v>60.453825260000002</v>
          </cell>
          <cell r="AI288">
            <v>61.036266300000001</v>
          </cell>
          <cell r="AJ288">
            <v>61.621201540000001</v>
          </cell>
          <cell r="AK288">
            <v>62.210548080000002</v>
          </cell>
          <cell r="AL288">
            <v>62.805376529999997</v>
          </cell>
          <cell r="AM288">
            <v>63.406598580000001</v>
          </cell>
          <cell r="AN288">
            <v>64.014900760000003</v>
          </cell>
          <cell r="AO288">
            <v>64.630785299999999</v>
          </cell>
          <cell r="AP288">
            <v>65.243267320000001</v>
          </cell>
          <cell r="AQ288">
            <v>65.857422940000006</v>
          </cell>
          <cell r="AR288">
            <v>66.475217079999993</v>
          </cell>
          <cell r="AS288">
            <v>67.097939859999997</v>
          </cell>
          <cell r="AT288">
            <v>67.726675189999995</v>
          </cell>
          <cell r="AU288">
            <v>68.362900289999999</v>
          </cell>
          <cell r="AV288">
            <v>69.007136590000002</v>
          </cell>
          <cell r="AW288">
            <v>69.659986959999998</v>
          </cell>
          <cell r="AX288">
            <v>70.321944380000005</v>
          </cell>
          <cell r="AY288">
            <v>70.993385090000004</v>
          </cell>
          <cell r="AZ288">
            <v>71.677799519999994</v>
          </cell>
          <cell r="BA288">
            <v>72.373832570000005</v>
          </cell>
          <cell r="BB288">
            <v>73.081325320000005</v>
          </cell>
          <cell r="BC288">
            <v>73.800291799999997</v>
          </cell>
          <cell r="BD288">
            <v>74.530776259999996</v>
          </cell>
          <cell r="BE288">
            <v>85.552448339999998</v>
          </cell>
          <cell r="BF288">
            <v>86.679266389999995</v>
          </cell>
          <cell r="BG288">
            <v>87.82308707</v>
          </cell>
          <cell r="BH288">
            <v>88.984520930000002</v>
          </cell>
          <cell r="BI288">
            <v>90.16421339</v>
          </cell>
        </row>
        <row r="291">
          <cell r="E291" t="str">
            <v>CF_toe_cfuh_2</v>
          </cell>
          <cell r="F291">
            <v>14.721854199999999</v>
          </cell>
          <cell r="G291">
            <v>14.79493972</v>
          </cell>
          <cell r="H291">
            <v>14.836247630000001</v>
          </cell>
          <cell r="I291">
            <v>14.871151680000001</v>
          </cell>
          <cell r="J291">
            <v>14.91413844</v>
          </cell>
          <cell r="K291">
            <v>14.97073219</v>
          </cell>
          <cell r="L291">
            <v>15.034476010000001</v>
          </cell>
          <cell r="M291">
            <v>15.10717341</v>
          </cell>
          <cell r="N291">
            <v>15.186965170000001</v>
          </cell>
          <cell r="O291">
            <v>15.270264539999999</v>
          </cell>
          <cell r="P291">
            <v>15.357028039999999</v>
          </cell>
          <cell r="Q291">
            <v>15.45285076</v>
          </cell>
          <cell r="R291">
            <v>15.55240878</v>
          </cell>
          <cell r="S291">
            <v>15.6549745</v>
          </cell>
          <cell r="T291">
            <v>15.76024571</v>
          </cell>
          <cell r="U291">
            <v>15.86805262</v>
          </cell>
          <cell r="V291">
            <v>15.97757127</v>
          </cell>
          <cell r="W291">
            <v>16.089032159999999</v>
          </cell>
          <cell r="X291">
            <v>16.202399669999998</v>
          </cell>
          <cell r="Y291">
            <v>16.317573549999999</v>
          </cell>
          <cell r="Z291">
            <v>16.426325389999999</v>
          </cell>
          <cell r="AA291">
            <v>16.54118033</v>
          </cell>
          <cell r="AB291">
            <v>16.659236379999999</v>
          </cell>
          <cell r="AC291">
            <v>16.779730109999999</v>
          </cell>
          <cell r="AD291">
            <v>16.902459709999999</v>
          </cell>
          <cell r="AE291">
            <v>17.004315600000002</v>
          </cell>
          <cell r="AF291">
            <v>17.110246740000001</v>
          </cell>
          <cell r="AG291">
            <v>17.217729240000001</v>
          </cell>
          <cell r="AH291">
            <v>17.32651804</v>
          </cell>
          <cell r="AI291">
            <v>17.436866089999999</v>
          </cell>
          <cell r="AJ291">
            <v>17.549088999999999</v>
          </cell>
          <cell r="AK291">
            <v>17.66361792</v>
          </cell>
          <cell r="AL291">
            <v>17.780568639999998</v>
          </cell>
          <cell r="AM291">
            <v>17.90004356</v>
          </cell>
          <cell r="AN291">
            <v>18.022089390000001</v>
          </cell>
          <cell r="AO291">
            <v>18.14675699</v>
          </cell>
          <cell r="AP291">
            <v>18.270117819999999</v>
          </cell>
          <cell r="AQ291">
            <v>18.39417942</v>
          </cell>
          <cell r="AR291">
            <v>18.519663040000001</v>
          </cell>
          <cell r="AS291">
            <v>18.646961470000001</v>
          </cell>
          <cell r="AT291">
            <v>18.776332440000001</v>
          </cell>
          <cell r="AU291">
            <v>18.90817406</v>
          </cell>
          <cell r="AV291">
            <v>19.04246801</v>
          </cell>
          <cell r="AW291">
            <v>19.179246200000001</v>
          </cell>
          <cell r="AX291">
            <v>19.318537129999999</v>
          </cell>
          <cell r="AY291">
            <v>19.460353000000001</v>
          </cell>
          <cell r="AZ291">
            <v>19.605921609999999</v>
          </cell>
          <cell r="BA291">
            <v>19.75454285</v>
          </cell>
          <cell r="BB291">
            <v>19.90599611</v>
          </cell>
          <cell r="BC291">
            <v>20.060201599999999</v>
          </cell>
          <cell r="BD291">
            <v>20.217124099999999</v>
          </cell>
          <cell r="BE291">
            <v>23.280117629999999</v>
          </cell>
          <cell r="BF291">
            <v>23.549838619999999</v>
          </cell>
          <cell r="BG291">
            <v>23.823821410000001</v>
          </cell>
          <cell r="BH291">
            <v>24.102147460000001</v>
          </cell>
          <cell r="BI291">
            <v>24.384922530000001</v>
          </cell>
        </row>
        <row r="293">
          <cell r="E293" t="str">
            <v>CF_toe_cgas_2</v>
          </cell>
          <cell r="F293">
            <v>34.083661130000003</v>
          </cell>
          <cell r="G293">
            <v>34.276107160000002</v>
          </cell>
          <cell r="H293">
            <v>34.443135589999997</v>
          </cell>
          <cell r="I293">
            <v>34.609221429999998</v>
          </cell>
          <cell r="J293">
            <v>34.797788320000002</v>
          </cell>
          <cell r="K293">
            <v>35.019171190000002</v>
          </cell>
          <cell r="L293">
            <v>35.254548730000003</v>
          </cell>
          <cell r="M293">
            <v>35.511807949999998</v>
          </cell>
          <cell r="N293">
            <v>35.787871719999998</v>
          </cell>
          <cell r="O293">
            <v>36.074663829999999</v>
          </cell>
          <cell r="P293">
            <v>36.363578070000003</v>
          </cell>
          <cell r="Q293">
            <v>36.675707240000001</v>
          </cell>
          <cell r="R293">
            <v>36.993898690000002</v>
          </cell>
          <cell r="S293">
            <v>37.317546829999998</v>
          </cell>
          <cell r="T293">
            <v>37.647444239999999</v>
          </cell>
          <cell r="U293">
            <v>37.98410131</v>
          </cell>
          <cell r="V293">
            <v>38.325870729999998</v>
          </cell>
          <cell r="W293">
            <v>38.673519499999998</v>
          </cell>
          <cell r="X293">
            <v>39.026856989999999</v>
          </cell>
          <cell r="Y293">
            <v>39.385474000000002</v>
          </cell>
          <cell r="Z293">
            <v>39.725268929999999</v>
          </cell>
          <cell r="AA293">
            <v>40.083490130000001</v>
          </cell>
          <cell r="AB293">
            <v>40.450324649999999</v>
          </cell>
          <cell r="AC293">
            <v>40.823593289999998</v>
          </cell>
          <cell r="AD293">
            <v>41.202777410000003</v>
          </cell>
          <cell r="AE293">
            <v>41.520392819999998</v>
          </cell>
          <cell r="AF293">
            <v>41.851701009999999</v>
          </cell>
          <cell r="AG293">
            <v>42.186884910000003</v>
          </cell>
          <cell r="AH293">
            <v>42.525067530000001</v>
          </cell>
          <cell r="AI293">
            <v>42.866965329999999</v>
          </cell>
          <cell r="AJ293">
            <v>43.213496390000003</v>
          </cell>
          <cell r="AK293">
            <v>43.565899989999998</v>
          </cell>
          <cell r="AL293">
            <v>43.924576559999998</v>
          </cell>
          <cell r="AM293">
            <v>44.289899630000001</v>
          </cell>
          <cell r="AN293">
            <v>44.66215957</v>
          </cell>
          <cell r="AO293">
            <v>45.041614279999997</v>
          </cell>
          <cell r="AP293">
            <v>45.416452120000002</v>
          </cell>
          <cell r="AQ293">
            <v>45.79316901</v>
          </cell>
          <cell r="AR293">
            <v>46.173863439999998</v>
          </cell>
          <cell r="AS293">
            <v>46.559653079999997</v>
          </cell>
          <cell r="AT293">
            <v>46.95125401</v>
          </cell>
          <cell r="AU293">
            <v>47.349735780000003</v>
          </cell>
          <cell r="AV293">
            <v>47.754993890000001</v>
          </cell>
          <cell r="AW293">
            <v>48.167130579999998</v>
          </cell>
          <cell r="AX293">
            <v>48.58623961</v>
          </cell>
          <cell r="AY293">
            <v>49.01236505</v>
          </cell>
          <cell r="AZ293">
            <v>49.44895846</v>
          </cell>
          <cell r="BA293">
            <v>49.893842429999999</v>
          </cell>
          <cell r="BB293">
            <v>50.346514149999997</v>
          </cell>
          <cell r="BC293">
            <v>50.806836760000003</v>
          </cell>
          <cell r="BD293">
            <v>51.274742320000001</v>
          </cell>
          <cell r="BE293">
            <v>60.448364050000002</v>
          </cell>
          <cell r="BF293">
            <v>61.25071707</v>
          </cell>
          <cell r="BG293">
            <v>62.065198590000001</v>
          </cell>
          <cell r="BH293">
            <v>62.89208069</v>
          </cell>
          <cell r="BI293">
            <v>63.731686179999997</v>
          </cell>
        </row>
        <row r="299">
          <cell r="E299" t="str">
            <v>CF_toe_cele_2</v>
          </cell>
          <cell r="F299">
            <v>37.561478299999997</v>
          </cell>
          <cell r="G299">
            <v>37.64856193</v>
          </cell>
          <cell r="H299">
            <v>37.732912910000003</v>
          </cell>
          <cell r="I299">
            <v>37.852355119999999</v>
          </cell>
          <cell r="J299">
            <v>38.026653000000003</v>
          </cell>
          <cell r="K299">
            <v>38.256875690000001</v>
          </cell>
          <cell r="L299">
            <v>38.515540190000003</v>
          </cell>
          <cell r="M299">
            <v>38.801012399999998</v>
          </cell>
          <cell r="N299">
            <v>39.104605980000002</v>
          </cell>
          <cell r="O299">
            <v>39.416877829999997</v>
          </cell>
          <cell r="P299">
            <v>39.728473430000001</v>
          </cell>
          <cell r="Q299">
            <v>40.068510349999997</v>
          </cell>
          <cell r="R299">
            <v>40.41536979</v>
          </cell>
          <cell r="S299">
            <v>40.765116089999999</v>
          </cell>
          <cell r="T299">
            <v>41.116400949999999</v>
          </cell>
          <cell r="U299">
            <v>41.468285989999998</v>
          </cell>
          <cell r="V299">
            <v>41.818234199999999</v>
          </cell>
          <cell r="W299">
            <v>42.166301779999998</v>
          </cell>
          <cell r="X299">
            <v>42.512770969999998</v>
          </cell>
          <cell r="Y299">
            <v>42.858087930000003</v>
          </cell>
          <cell r="Z299">
            <v>43.179995480000002</v>
          </cell>
          <cell r="AA299">
            <v>43.514917570000001</v>
          </cell>
          <cell r="AB299">
            <v>43.85497925</v>
          </cell>
          <cell r="AC299">
            <v>44.199055029999997</v>
          </cell>
          <cell r="AD299">
            <v>44.547432409999999</v>
          </cell>
          <cell r="AE299">
            <v>44.835863809999999</v>
          </cell>
          <cell r="AF299">
            <v>45.136124930000001</v>
          </cell>
          <cell r="AG299">
            <v>45.44079327</v>
          </cell>
          <cell r="AH299">
            <v>45.749878270000004</v>
          </cell>
          <cell r="AI299">
            <v>46.064649340000003</v>
          </cell>
          <cell r="AJ299">
            <v>46.386378049999998</v>
          </cell>
          <cell r="AK299">
            <v>46.716532379999997</v>
          </cell>
          <cell r="AL299">
            <v>47.05575151</v>
          </cell>
          <cell r="AM299">
            <v>47.404394250000003</v>
          </cell>
          <cell r="AN299">
            <v>47.762605200000003</v>
          </cell>
          <cell r="AO299">
            <v>48.130355610000002</v>
          </cell>
          <cell r="AP299">
            <v>48.49648646</v>
          </cell>
          <cell r="AQ299">
            <v>48.868264050000001</v>
          </cell>
          <cell r="AR299">
            <v>49.247153109999999</v>
          </cell>
          <cell r="AS299">
            <v>49.633433590000003</v>
          </cell>
          <cell r="AT299">
            <v>50.027083570000002</v>
          </cell>
          <cell r="AU299">
            <v>50.428656330000003</v>
          </cell>
          <cell r="AV299">
            <v>50.837914140000002</v>
          </cell>
          <cell r="AW299">
            <v>51.254564260000002</v>
          </cell>
          <cell r="AX299">
            <v>51.678299129999999</v>
          </cell>
          <cell r="AY299">
            <v>52.108793890000001</v>
          </cell>
          <cell r="AZ299">
            <v>52.549328199999998</v>
          </cell>
          <cell r="BA299">
            <v>52.9985632</v>
          </cell>
          <cell r="BB299">
            <v>53.455534159999999</v>
          </cell>
          <cell r="BC299">
            <v>53.919440680000001</v>
          </cell>
          <cell r="BD299">
            <v>54.389593820000002</v>
          </cell>
          <cell r="BE299">
            <v>64.359417219999997</v>
          </cell>
          <cell r="BF299">
            <v>65.209907079999994</v>
          </cell>
          <cell r="BG299">
            <v>66.075298020000005</v>
          </cell>
          <cell r="BH299">
            <v>66.955731420000006</v>
          </cell>
          <cell r="BI299">
            <v>67.851352849999998</v>
          </cell>
        </row>
        <row r="309">
          <cell r="E309" t="str">
            <v>CF_toe_chea_2</v>
          </cell>
          <cell r="F309">
            <v>5.099896856</v>
          </cell>
          <cell r="G309">
            <v>5.1393653820000003</v>
          </cell>
          <cell r="H309">
            <v>5.1844584029999998</v>
          </cell>
          <cell r="I309">
            <v>5.2326208400000001</v>
          </cell>
          <cell r="J309">
            <v>5.2838593249999999</v>
          </cell>
          <cell r="K309">
            <v>5.3381993559999996</v>
          </cell>
          <cell r="L309">
            <v>5.3906578940000003</v>
          </cell>
          <cell r="M309">
            <v>5.4440195129999998</v>
          </cell>
          <cell r="N309">
            <v>5.4993347359999998</v>
          </cell>
          <cell r="O309">
            <v>5.5569514599999996</v>
          </cell>
          <cell r="P309">
            <v>5.6152018760000004</v>
          </cell>
          <cell r="Q309">
            <v>5.6692657439999996</v>
          </cell>
          <cell r="R309">
            <v>5.7200383419999996</v>
          </cell>
          <cell r="S309">
            <v>5.7691359540000002</v>
          </cell>
          <cell r="T309">
            <v>5.8176002440000003</v>
          </cell>
          <cell r="U309">
            <v>5.8659668119999999</v>
          </cell>
          <cell r="V309">
            <v>5.9140515130000004</v>
          </cell>
          <cell r="W309">
            <v>5.9621523349999999</v>
          </cell>
          <cell r="X309">
            <v>6.0103835429999997</v>
          </cell>
          <cell r="Y309">
            <v>6.0587893709999996</v>
          </cell>
          <cell r="Z309">
            <v>6.1020300430000001</v>
          </cell>
          <cell r="AA309">
            <v>6.1487391929999999</v>
          </cell>
          <cell r="AB309">
            <v>6.1969068829999996</v>
          </cell>
          <cell r="AC309">
            <v>6.2458603290000001</v>
          </cell>
          <cell r="AD309">
            <v>6.2953582360000002</v>
          </cell>
          <cell r="AE309">
            <v>6.3305487149999999</v>
          </cell>
          <cell r="AF309">
            <v>6.3683900339999999</v>
          </cell>
          <cell r="AG309">
            <v>6.4073423390000004</v>
          </cell>
          <cell r="AH309">
            <v>6.4470089030000004</v>
          </cell>
          <cell r="AI309">
            <v>6.487288189</v>
          </cell>
          <cell r="AJ309">
            <v>6.5281710540000004</v>
          </cell>
          <cell r="AK309">
            <v>6.5697875139999997</v>
          </cell>
          <cell r="AL309">
            <v>6.6121071699999998</v>
          </cell>
          <cell r="AM309">
            <v>6.6551252669999998</v>
          </cell>
          <cell r="AN309">
            <v>6.698841174</v>
          </cell>
          <cell r="AO309">
            <v>6.7432518220000004</v>
          </cell>
          <cell r="AP309">
            <v>6.7861190960000002</v>
          </cell>
          <cell r="AQ309">
            <v>6.828867325</v>
          </cell>
          <cell r="AR309">
            <v>6.8719713609999999</v>
          </cell>
          <cell r="AS309">
            <v>6.9156028230000004</v>
          </cell>
          <cell r="AT309">
            <v>6.9598214360000004</v>
          </cell>
          <cell r="AU309">
            <v>7.004808444</v>
          </cell>
          <cell r="AV309">
            <v>7.0504867369999999</v>
          </cell>
          <cell r="AW309">
            <v>7.0968209409999998</v>
          </cell>
          <cell r="AX309">
            <v>7.1437915839999997</v>
          </cell>
          <cell r="AY309">
            <v>7.1913862860000002</v>
          </cell>
          <cell r="AZ309">
            <v>7.2404257459999997</v>
          </cell>
          <cell r="BA309">
            <v>7.2904683400000003</v>
          </cell>
          <cell r="BB309">
            <v>7.341337029</v>
          </cell>
          <cell r="BC309">
            <v>7.3929519350000001</v>
          </cell>
          <cell r="BD309">
            <v>7.4452831049999997</v>
          </cell>
          <cell r="BE309">
            <v>8.5768502299999998</v>
          </cell>
          <cell r="BF309">
            <v>8.666396185</v>
          </cell>
          <cell r="BG309">
            <v>8.7572674819999996</v>
          </cell>
          <cell r="BH309">
            <v>8.8494687390000006</v>
          </cell>
          <cell r="BI309">
            <v>8.9430200129999999</v>
          </cell>
        </row>
        <row r="311">
          <cell r="E311" t="str">
            <v>CF_toe_cbio_2</v>
          </cell>
          <cell r="F311">
            <v>8.171317105</v>
          </cell>
          <cell r="G311">
            <v>8.1376730120000005</v>
          </cell>
          <cell r="H311">
            <v>8.0961708080000001</v>
          </cell>
          <cell r="I311">
            <v>8.0622256819999993</v>
          </cell>
          <cell r="J311">
            <v>8.0382126520000003</v>
          </cell>
          <cell r="K311">
            <v>8.0232317949999992</v>
          </cell>
          <cell r="L311">
            <v>8.0119669160000004</v>
          </cell>
          <cell r="M311">
            <v>8.0036924010000003</v>
          </cell>
          <cell r="N311">
            <v>7.9961959480000004</v>
          </cell>
          <cell r="O311">
            <v>7.9873387579999999</v>
          </cell>
          <cell r="P311">
            <v>7.980692801</v>
          </cell>
          <cell r="Q311">
            <v>7.974646473</v>
          </cell>
          <cell r="R311">
            <v>7.9688870620000003</v>
          </cell>
          <cell r="S311">
            <v>7.9636505319999999</v>
          </cell>
          <cell r="T311">
            <v>7.9590252289999999</v>
          </cell>
          <cell r="U311">
            <v>7.9549975799999997</v>
          </cell>
          <cell r="V311">
            <v>7.9507551430000003</v>
          </cell>
          <cell r="W311">
            <v>7.9466231030000003</v>
          </cell>
          <cell r="X311">
            <v>7.9427791809999997</v>
          </cell>
          <cell r="Y311">
            <v>7.9393206300000001</v>
          </cell>
          <cell r="Z311">
            <v>7.9328374359999998</v>
          </cell>
          <cell r="AA311">
            <v>7.9288417080000002</v>
          </cell>
          <cell r="AB311">
            <v>7.9261454919999998</v>
          </cell>
          <cell r="AC311">
            <v>7.9243519349999998</v>
          </cell>
          <cell r="AD311">
            <v>7.9233255329999999</v>
          </cell>
          <cell r="AE311">
            <v>7.9134769870000001</v>
          </cell>
          <cell r="AF311">
            <v>7.9056971809999999</v>
          </cell>
          <cell r="AG311">
            <v>7.8990295279999998</v>
          </cell>
          <cell r="AH311">
            <v>7.8932164</v>
          </cell>
          <cell r="AI311">
            <v>7.8882052299999996</v>
          </cell>
          <cell r="AJ311">
            <v>7.8840104579999997</v>
          </cell>
          <cell r="AK311">
            <v>7.8808471410000003</v>
          </cell>
          <cell r="AL311">
            <v>7.8786592740000003</v>
          </cell>
          <cell r="AM311">
            <v>7.8774147760000002</v>
          </cell>
          <cell r="AN311">
            <v>7.8770910079999998</v>
          </cell>
          <cell r="AO311">
            <v>7.8776682610000002</v>
          </cell>
          <cell r="AP311">
            <v>7.8786557720000001</v>
          </cell>
          <cell r="AQ311">
            <v>7.8804693339999998</v>
          </cell>
          <cell r="AR311">
            <v>7.8830987459999999</v>
          </cell>
          <cell r="AS311">
            <v>7.8864727529999996</v>
          </cell>
          <cell r="AT311">
            <v>7.8905426390000004</v>
          </cell>
          <cell r="AU311">
            <v>7.8955478660000002</v>
          </cell>
          <cell r="AV311">
            <v>7.9013724349999999</v>
          </cell>
          <cell r="AW311">
            <v>7.907953472</v>
          </cell>
          <cell r="AX311">
            <v>7.9152565800000003</v>
          </cell>
          <cell r="AY311">
            <v>7.9232626809999998</v>
          </cell>
          <cell r="AZ311">
            <v>7.9330052279999999</v>
          </cell>
          <cell r="BA311">
            <v>7.944001031</v>
          </cell>
          <cell r="BB311">
            <v>7.9559779730000004</v>
          </cell>
          <cell r="BC311">
            <v>7.9687808240000004</v>
          </cell>
          <cell r="BD311">
            <v>7.9823329599999999</v>
          </cell>
          <cell r="BE311">
            <v>9.1587507319999997</v>
          </cell>
          <cell r="BF311">
            <v>9.2090429220000001</v>
          </cell>
          <cell r="BG311">
            <v>9.2606713220000003</v>
          </cell>
          <cell r="BH311">
            <v>9.3136211660000008</v>
          </cell>
          <cell r="BI311">
            <v>9.3679002540000003</v>
          </cell>
        </row>
        <row r="314">
          <cell r="E314" t="str">
            <v>CF_toe_cote_2</v>
          </cell>
          <cell r="F314">
            <v>8.4895423179999998</v>
          </cell>
          <cell r="G314">
            <v>8.5309549209999993</v>
          </cell>
          <cell r="H314">
            <v>8.6109666239999996</v>
          </cell>
          <cell r="I314">
            <v>8.7063629159999998</v>
          </cell>
          <cell r="J314">
            <v>8.8125026299999991</v>
          </cell>
          <cell r="K314">
            <v>8.9272262149999992</v>
          </cell>
          <cell r="L314">
            <v>9.0422382579999994</v>
          </cell>
          <cell r="M314">
            <v>9.160618564</v>
          </cell>
          <cell r="N314">
            <v>9.2819839510000008</v>
          </cell>
          <cell r="O314">
            <v>9.4055867519999996</v>
          </cell>
          <cell r="P314">
            <v>9.5215278239999996</v>
          </cell>
          <cell r="Q314">
            <v>9.659747801</v>
          </cell>
          <cell r="R314">
            <v>9.8023383020000008</v>
          </cell>
          <cell r="S314">
            <v>9.9463466450000002</v>
          </cell>
          <cell r="T314">
            <v>10.09111255</v>
          </cell>
          <cell r="U314">
            <v>10.23641802</v>
          </cell>
          <cell r="V314">
            <v>10.381252829999999</v>
          </cell>
          <cell r="W314">
            <v>10.526367629999999</v>
          </cell>
          <cell r="X314">
            <v>10.671951229999999</v>
          </cell>
          <cell r="Y314">
            <v>10.81815746</v>
          </cell>
          <cell r="Z314">
            <v>10.95739277</v>
          </cell>
          <cell r="AA314">
            <v>11.10313981</v>
          </cell>
          <cell r="AB314">
            <v>11.25121296</v>
          </cell>
          <cell r="AC314">
            <v>11.40112558</v>
          </cell>
          <cell r="AD314">
            <v>11.552954700000001</v>
          </cell>
          <cell r="AE314">
            <v>11.684642670000001</v>
          </cell>
          <cell r="AF314">
            <v>11.824156629999999</v>
          </cell>
          <cell r="AG314">
            <v>11.966017219999999</v>
          </cell>
          <cell r="AH314">
            <v>12.10973259</v>
          </cell>
          <cell r="AI314">
            <v>12.25551316</v>
          </cell>
          <cell r="AJ314">
            <v>12.40361605</v>
          </cell>
          <cell r="AK314">
            <v>12.554518010000001</v>
          </cell>
          <cell r="AL314">
            <v>12.708131740000001</v>
          </cell>
          <cell r="AM314">
            <v>12.864489989999999</v>
          </cell>
          <cell r="AN314">
            <v>13.023598120000001</v>
          </cell>
          <cell r="AO314">
            <v>13.185426509999999</v>
          </cell>
          <cell r="AP314">
            <v>13.34728477</v>
          </cell>
          <cell r="AQ314">
            <v>13.51069202</v>
          </cell>
          <cell r="AR314">
            <v>13.67600521</v>
          </cell>
          <cell r="AS314">
            <v>13.84333912</v>
          </cell>
          <cell r="AT314">
            <v>14.01274694</v>
          </cell>
          <cell r="AU314">
            <v>14.18470748</v>
          </cell>
          <cell r="AV314">
            <v>14.358890880000001</v>
          </cell>
          <cell r="AW314">
            <v>14.53524726</v>
          </cell>
          <cell r="AX314">
            <v>14.71375126</v>
          </cell>
          <cell r="AY314">
            <v>14.89437165</v>
          </cell>
          <cell r="AZ314">
            <v>15.079154040000001</v>
          </cell>
          <cell r="BA314">
            <v>15.26650341</v>
          </cell>
          <cell r="BB314">
            <v>15.45613848</v>
          </cell>
          <cell r="BC314">
            <v>15.647959090000001</v>
          </cell>
          <cell r="BD314">
            <v>15.841897360000001</v>
          </cell>
          <cell r="BE314">
            <v>19.805538519999999</v>
          </cell>
          <cell r="BF314">
            <v>20.149609949999999</v>
          </cell>
          <cell r="BG314">
            <v>20.49965121</v>
          </cell>
          <cell r="BH314">
            <v>20.855750520000001</v>
          </cell>
          <cell r="BI314">
            <v>21.21799416</v>
          </cell>
        </row>
        <row r="317">
          <cell r="E317" t="str">
            <v>CF_toe_0</v>
          </cell>
          <cell r="F317">
            <v>162.32540449999999</v>
          </cell>
          <cell r="G317">
            <v>163.4156279</v>
          </cell>
          <cell r="H317">
            <v>164.40111590000001</v>
          </cell>
          <cell r="I317">
            <v>165.49306659999999</v>
          </cell>
          <cell r="J317">
            <v>166.7450049</v>
          </cell>
          <cell r="K317">
            <v>168.1815799</v>
          </cell>
          <cell r="L317">
            <v>169.7110524</v>
          </cell>
          <cell r="M317">
            <v>171.35065499999999</v>
          </cell>
          <cell r="N317">
            <v>173.08313820000001</v>
          </cell>
          <cell r="O317">
            <v>174.8878789</v>
          </cell>
          <cell r="P317">
            <v>176.88940719999999</v>
          </cell>
          <cell r="Q317">
            <v>178.85549979999999</v>
          </cell>
          <cell r="R317">
            <v>180.83299869999999</v>
          </cell>
          <cell r="S317">
            <v>182.82848540000001</v>
          </cell>
          <cell r="T317">
            <v>184.84160489999999</v>
          </cell>
          <cell r="U317">
            <v>186.87145630000001</v>
          </cell>
          <cell r="V317">
            <v>188.91776089999999</v>
          </cell>
          <cell r="W317">
            <v>190.98094789999999</v>
          </cell>
          <cell r="X317">
            <v>193.0620132</v>
          </cell>
          <cell r="Y317">
            <v>195.16235159999999</v>
          </cell>
          <cell r="Z317">
            <v>197.18068339999999</v>
          </cell>
          <cell r="AA317">
            <v>199.2793337</v>
          </cell>
          <cell r="AB317">
            <v>201.41965769999999</v>
          </cell>
          <cell r="AC317">
            <v>203.594572</v>
          </cell>
          <cell r="AD317">
            <v>205.80329019999999</v>
          </cell>
          <cell r="AE317">
            <v>207.75171420000001</v>
          </cell>
          <cell r="AF317">
            <v>209.7602454</v>
          </cell>
          <cell r="AG317">
            <v>211.79003220000001</v>
          </cell>
          <cell r="AH317">
            <v>213.8387712</v>
          </cell>
          <cell r="AI317">
            <v>215.91022290000001</v>
          </cell>
          <cell r="AJ317">
            <v>218.00870889999999</v>
          </cell>
          <cell r="AK317">
            <v>220.13788159999999</v>
          </cell>
          <cell r="AL317">
            <v>222.30046100000001</v>
          </cell>
          <cell r="AM317">
            <v>224.4982799</v>
          </cell>
          <cell r="AN317">
            <v>226.7324303</v>
          </cell>
          <cell r="AO317">
            <v>229.00343710000001</v>
          </cell>
          <cell r="AP317">
            <v>231.241455</v>
          </cell>
          <cell r="AQ317">
            <v>233.48483440000001</v>
          </cell>
          <cell r="AR317">
            <v>235.74447979999999</v>
          </cell>
          <cell r="AS317">
            <v>238.02541339999999</v>
          </cell>
          <cell r="AT317">
            <v>240.33105620000001</v>
          </cell>
          <cell r="AU317">
            <v>242.6641079</v>
          </cell>
          <cell r="AV317">
            <v>245.02672620000001</v>
          </cell>
          <cell r="AW317">
            <v>247.4205656</v>
          </cell>
          <cell r="AX317">
            <v>249.84675189999999</v>
          </cell>
          <cell r="AY317">
            <v>252.30570169999999</v>
          </cell>
          <cell r="AZ317">
            <v>254.80226010000001</v>
          </cell>
          <cell r="BA317">
            <v>257.32966190000002</v>
          </cell>
          <cell r="BB317">
            <v>259.88363229999999</v>
          </cell>
          <cell r="BC317">
            <v>262.47046649999999</v>
          </cell>
          <cell r="BD317">
            <v>265.0955361</v>
          </cell>
          <cell r="BE317">
            <v>285.81156920000001</v>
          </cell>
          <cell r="BF317">
            <v>289.59841449999999</v>
          </cell>
          <cell r="BG317">
            <v>293.44403879999999</v>
          </cell>
          <cell r="BH317">
            <v>297.34999809999999</v>
          </cell>
          <cell r="BI317">
            <v>301.31780850000001</v>
          </cell>
        </row>
        <row r="318">
          <cell r="E318" t="str">
            <v>CF_toe_ccoa_0</v>
          </cell>
          <cell r="F318">
            <v>5.4830682990000001</v>
          </cell>
          <cell r="G318">
            <v>5.5492793770000004</v>
          </cell>
          <cell r="H318">
            <v>5.6226819580000003</v>
          </cell>
          <cell r="I318">
            <v>5.701917527</v>
          </cell>
          <cell r="J318">
            <v>5.7861248319999996</v>
          </cell>
          <cell r="K318">
            <v>5.8747395669999998</v>
          </cell>
          <cell r="L318">
            <v>5.9635537019999996</v>
          </cell>
          <cell r="M318">
            <v>6.0544641649999997</v>
          </cell>
          <cell r="N318">
            <v>6.1476467259999996</v>
          </cell>
          <cell r="O318">
            <v>6.2429638369999996</v>
          </cell>
          <cell r="P318">
            <v>6.3467157179999996</v>
          </cell>
          <cell r="Q318">
            <v>6.4481039610000002</v>
          </cell>
          <cell r="R318">
            <v>6.5501806470000004</v>
          </cell>
          <cell r="S318">
            <v>6.6535140009999996</v>
          </cell>
          <cell r="T318">
            <v>6.7582072540000002</v>
          </cell>
          <cell r="U318">
            <v>6.8642977380000003</v>
          </cell>
          <cell r="V318">
            <v>6.9718316849999997</v>
          </cell>
          <cell r="W318">
            <v>7.0808734849999997</v>
          </cell>
          <cell r="X318">
            <v>7.191501186</v>
          </cell>
          <cell r="Y318">
            <v>7.3037997639999999</v>
          </cell>
          <cell r="Z318">
            <v>7.4130387689999999</v>
          </cell>
          <cell r="AA318">
            <v>7.5272154489999998</v>
          </cell>
          <cell r="AB318">
            <v>7.6440588529999998</v>
          </cell>
          <cell r="AC318">
            <v>7.7631628279999996</v>
          </cell>
          <cell r="AD318">
            <v>7.8844808659999996</v>
          </cell>
          <cell r="AE318">
            <v>7.9940915879999999</v>
          </cell>
          <cell r="AF318">
            <v>8.1082709449999992</v>
          </cell>
          <cell r="AG318">
            <v>8.2244082340000002</v>
          </cell>
          <cell r="AH318">
            <v>8.3421332620000008</v>
          </cell>
          <cell r="AI318">
            <v>8.4614956279999998</v>
          </cell>
          <cell r="AJ318">
            <v>8.5826001230000006</v>
          </cell>
          <cell r="AK318">
            <v>8.7055333939999997</v>
          </cell>
          <cell r="AL318">
            <v>8.8303500489999998</v>
          </cell>
          <cell r="AM318">
            <v>8.9570736620000009</v>
          </cell>
          <cell r="AN318">
            <v>9.0857025090000008</v>
          </cell>
          <cell r="AO318">
            <v>9.2162167109999995</v>
          </cell>
          <cell r="AP318">
            <v>9.3451920059999996</v>
          </cell>
          <cell r="AQ318">
            <v>9.474724106</v>
          </cell>
          <cell r="AR318">
            <v>9.6052880090000006</v>
          </cell>
          <cell r="AS318">
            <v>9.7370358279999998</v>
          </cell>
          <cell r="AT318">
            <v>9.8700524590000001</v>
          </cell>
          <cell r="AU318">
            <v>10.0044042</v>
          </cell>
          <cell r="AV318">
            <v>10.140146639999999</v>
          </cell>
          <cell r="AW318">
            <v>10.27732524</v>
          </cell>
          <cell r="AX318">
            <v>10.41597535</v>
          </cell>
          <cell r="AY318">
            <v>10.556122820000001</v>
          </cell>
          <cell r="AZ318">
            <v>10.69809186</v>
          </cell>
          <cell r="BA318">
            <v>10.841721420000001</v>
          </cell>
          <cell r="BB318">
            <v>10.986985839999999</v>
          </cell>
          <cell r="BC318">
            <v>11.133882270000001</v>
          </cell>
          <cell r="BD318">
            <v>11.28241703</v>
          </cell>
          <cell r="BE318">
            <v>12.5681329</v>
          </cell>
          <cell r="BF318">
            <v>12.78677233</v>
          </cell>
          <cell r="BG318">
            <v>13.00876092</v>
          </cell>
          <cell r="BH318">
            <v>13.23413545</v>
          </cell>
          <cell r="BI318">
            <v>13.462935549999999</v>
          </cell>
        </row>
        <row r="321">
          <cell r="E321" t="str">
            <v>CF_toe_ccoi_0</v>
          </cell>
          <cell r="F321">
            <v>8.4917494900000001E-2</v>
          </cell>
          <cell r="G321">
            <v>8.5904173299999997E-2</v>
          </cell>
          <cell r="H321">
            <v>8.6975202500000001E-2</v>
          </cell>
          <cell r="I321">
            <v>8.8142268999999995E-2</v>
          </cell>
          <cell r="J321">
            <v>8.9414280299999996E-2</v>
          </cell>
          <cell r="K321">
            <v>9.0790635600000003E-2</v>
          </cell>
          <cell r="L321">
            <v>9.2207440299999999E-2</v>
          </cell>
          <cell r="M321">
            <v>9.3684891300000003E-2</v>
          </cell>
          <cell r="N321">
            <v>9.5219327399999998E-2</v>
          </cell>
          <cell r="O321">
            <v>9.68034589E-2</v>
          </cell>
          <cell r="P321">
            <v>9.8529666200000005E-2</v>
          </cell>
          <cell r="Q321">
            <v>0.1002378513</v>
          </cell>
          <cell r="R321">
            <v>0.1019637946</v>
          </cell>
          <cell r="S321">
            <v>0.10371059169999999</v>
          </cell>
          <cell r="T321">
            <v>0.10547654469999999</v>
          </cell>
          <cell r="U321">
            <v>0.10725994730000001</v>
          </cell>
          <cell r="V321">
            <v>0.1090597834</v>
          </cell>
          <cell r="W321">
            <v>0.1108757007</v>
          </cell>
          <cell r="X321">
            <v>0.1127078772</v>
          </cell>
          <cell r="Y321">
            <v>0.1145568923</v>
          </cell>
          <cell r="Z321">
            <v>0.11634893709999999</v>
          </cell>
          <cell r="AA321">
            <v>0.1182004708</v>
          </cell>
          <cell r="AB321">
            <v>0.1200823359</v>
          </cell>
          <cell r="AC321">
            <v>0.12199055120000001</v>
          </cell>
          <cell r="AD321">
            <v>0.1239253453</v>
          </cell>
          <cell r="AE321">
            <v>0.12567097899999999</v>
          </cell>
          <cell r="AF321">
            <v>0.12745954100000001</v>
          </cell>
          <cell r="AG321">
            <v>0.12925843849999999</v>
          </cell>
          <cell r="AH321">
            <v>0.1310666754</v>
          </cell>
          <cell r="AI321">
            <v>0.132888268</v>
          </cell>
          <cell r="AJ321">
            <v>0.13472742309999999</v>
          </cell>
          <cell r="AK321">
            <v>0.13658764840000001</v>
          </cell>
          <cell r="AL321">
            <v>0.13847164910000001</v>
          </cell>
          <cell r="AM321">
            <v>0.14038139960000001</v>
          </cell>
          <cell r="AN321">
            <v>0.14231825740000001</v>
          </cell>
          <cell r="AO321">
            <v>0.1442830849</v>
          </cell>
          <cell r="AP321">
            <v>0.14622375800000001</v>
          </cell>
          <cell r="AQ321">
            <v>0.1481684751</v>
          </cell>
          <cell r="AR321">
            <v>0.1501243146</v>
          </cell>
          <cell r="AS321">
            <v>0.15209465650000001</v>
          </cell>
          <cell r="AT321">
            <v>0.15408211520000001</v>
          </cell>
          <cell r="AU321">
            <v>0.15608895989999999</v>
          </cell>
          <cell r="AV321">
            <v>0.15811713669999999</v>
          </cell>
          <cell r="AW321">
            <v>0.160168264</v>
          </cell>
          <cell r="AX321">
            <v>0.16224365390000001</v>
          </cell>
          <cell r="AY321">
            <v>0.1643443597</v>
          </cell>
          <cell r="AZ321">
            <v>0.16647602410000001</v>
          </cell>
          <cell r="BA321">
            <v>0.16863686180000001</v>
          </cell>
          <cell r="BB321">
            <v>0.17082688509999999</v>
          </cell>
          <cell r="BC321">
            <v>0.1730462321</v>
          </cell>
          <cell r="BD321">
            <v>0.175295061</v>
          </cell>
          <cell r="BE321">
            <v>0.1973296433</v>
          </cell>
          <cell r="BF321">
            <v>0.2006222366</v>
          </cell>
          <cell r="BG321">
            <v>0.2039584817</v>
          </cell>
          <cell r="BH321">
            <v>0.20733960309999999</v>
          </cell>
          <cell r="BI321">
            <v>0.21076692059999999</v>
          </cell>
        </row>
        <row r="324">
          <cell r="E324" t="str">
            <v>CF_toe_cfut_0</v>
          </cell>
          <cell r="F324">
            <v>47.396219520000002</v>
          </cell>
          <cell r="G324">
            <v>47.572488120000003</v>
          </cell>
          <cell r="H324">
            <v>47.715054289999998</v>
          </cell>
          <cell r="I324">
            <v>47.933097969999999</v>
          </cell>
          <cell r="J324">
            <v>48.24853444</v>
          </cell>
          <cell r="K324">
            <v>48.652318800000003</v>
          </cell>
          <cell r="L324">
            <v>49.110529769999999</v>
          </cell>
          <cell r="M324">
            <v>49.614984</v>
          </cell>
          <cell r="N324">
            <v>50.155093440000002</v>
          </cell>
          <cell r="O324">
            <v>50.722348719999999</v>
          </cell>
          <cell r="P324">
            <v>51.340709930000003</v>
          </cell>
          <cell r="Q324">
            <v>51.96165276</v>
          </cell>
          <cell r="R324">
            <v>52.591532960000002</v>
          </cell>
          <cell r="S324">
            <v>53.229606799999999</v>
          </cell>
          <cell r="T324">
            <v>53.874380670000001</v>
          </cell>
          <cell r="U324">
            <v>54.524709289999997</v>
          </cell>
          <cell r="V324">
            <v>55.179880930000003</v>
          </cell>
          <cell r="W324">
            <v>55.839527969999999</v>
          </cell>
          <cell r="X324">
            <v>56.50352857</v>
          </cell>
          <cell r="Y324">
            <v>57.171929089999999</v>
          </cell>
          <cell r="Z324">
            <v>57.822471800000002</v>
          </cell>
          <cell r="AA324">
            <v>58.488130830000003</v>
          </cell>
          <cell r="AB324">
            <v>59.162029029999999</v>
          </cell>
          <cell r="AC324">
            <v>59.843234629999998</v>
          </cell>
          <cell r="AD324">
            <v>60.531841640000003</v>
          </cell>
          <cell r="AE324">
            <v>61.163390640000003</v>
          </cell>
          <cell r="AF324">
            <v>61.801863189999999</v>
          </cell>
          <cell r="AG324">
            <v>62.440449460000004</v>
          </cell>
          <cell r="AH324">
            <v>63.079769509999998</v>
          </cell>
          <cell r="AI324">
            <v>63.721679989999998</v>
          </cell>
          <cell r="AJ324">
            <v>64.367969029999998</v>
          </cell>
          <cell r="AK324">
            <v>65.020083499999998</v>
          </cell>
          <cell r="AL324">
            <v>65.679104249999995</v>
          </cell>
          <cell r="AM324">
            <v>66.345791820000002</v>
          </cell>
          <cell r="AN324">
            <v>67.020651830000006</v>
          </cell>
          <cell r="AO324">
            <v>67.704000789999995</v>
          </cell>
          <cell r="AP324">
            <v>68.380444920000002</v>
          </cell>
          <cell r="AQ324">
            <v>69.057209229999998</v>
          </cell>
          <cell r="AR324">
            <v>69.736492429999998</v>
          </cell>
          <cell r="AS324">
            <v>70.419591629999999</v>
          </cell>
          <cell r="AT324">
            <v>71.107616780000001</v>
          </cell>
          <cell r="AU324">
            <v>71.80155972</v>
          </cell>
          <cell r="AV324">
            <v>72.502267489999994</v>
          </cell>
          <cell r="AW324">
            <v>73.210424000000003</v>
          </cell>
          <cell r="AX324">
            <v>73.926553310000003</v>
          </cell>
          <cell r="AY324">
            <v>74.651039150000003</v>
          </cell>
          <cell r="AZ324">
            <v>75.385560929999997</v>
          </cell>
          <cell r="BA324">
            <v>76.129668129999999</v>
          </cell>
          <cell r="BB324">
            <v>76.883308330000006</v>
          </cell>
          <cell r="BC324">
            <v>77.646438520000004</v>
          </cell>
          <cell r="BD324">
            <v>78.419003579999995</v>
          </cell>
          <cell r="BE324">
            <v>85.312169370000007</v>
          </cell>
          <cell r="BF324">
            <v>86.423256069999994</v>
          </cell>
          <cell r="BG324">
            <v>87.550619229999995</v>
          </cell>
          <cell r="BH324">
            <v>88.694809750000005</v>
          </cell>
          <cell r="BI324">
            <v>89.856421949999998</v>
          </cell>
        </row>
        <row r="327">
          <cell r="E327" t="str">
            <v>CF_toe_cfuh_0</v>
          </cell>
          <cell r="F327">
            <v>14.83425304</v>
          </cell>
          <cell r="G327">
            <v>14.924954290000001</v>
          </cell>
          <cell r="H327">
            <v>14.99378463</v>
          </cell>
          <cell r="I327">
            <v>15.060781009999999</v>
          </cell>
          <cell r="J327">
            <v>15.13222141</v>
          </cell>
          <cell r="K327">
            <v>15.217554229999999</v>
          </cell>
          <cell r="L327">
            <v>15.312203970000001</v>
          </cell>
          <cell r="M327">
            <v>15.41807865</v>
          </cell>
          <cell r="N327">
            <v>15.533432960000001</v>
          </cell>
          <cell r="O327">
            <v>15.6559632</v>
          </cell>
          <cell r="P327">
            <v>15.79562039</v>
          </cell>
          <cell r="Q327">
            <v>15.93284195</v>
          </cell>
          <cell r="R327">
            <v>16.07097147</v>
          </cell>
          <cell r="S327">
            <v>16.210606569999999</v>
          </cell>
          <cell r="T327">
            <v>16.351777429999999</v>
          </cell>
          <cell r="U327">
            <v>16.494440099999998</v>
          </cell>
          <cell r="V327">
            <v>16.638578200000001</v>
          </cell>
          <cell r="W327">
            <v>16.78421445</v>
          </cell>
          <cell r="X327">
            <v>16.931403159999999</v>
          </cell>
          <cell r="Y327">
            <v>17.080220749999999</v>
          </cell>
          <cell r="Z327">
            <v>17.222231820000001</v>
          </cell>
          <cell r="AA327">
            <v>17.37069017</v>
          </cell>
          <cell r="AB327">
            <v>17.52264744</v>
          </cell>
          <cell r="AC327">
            <v>17.677383379999998</v>
          </cell>
          <cell r="AD327">
            <v>17.834727869999998</v>
          </cell>
          <cell r="AE327">
            <v>17.9703518</v>
          </cell>
          <cell r="AF327">
            <v>18.110230789999999</v>
          </cell>
          <cell r="AG327">
            <v>18.251800249999999</v>
          </cell>
          <cell r="AH327">
            <v>18.39481735</v>
          </cell>
          <cell r="AI327">
            <v>18.539462530000002</v>
          </cell>
          <cell r="AJ327">
            <v>18.68598442</v>
          </cell>
          <cell r="AK327">
            <v>18.834621590000001</v>
          </cell>
          <cell r="AL327">
            <v>18.985565520000002</v>
          </cell>
          <cell r="AM327">
            <v>19.138955930000002</v>
          </cell>
          <cell r="AN327">
            <v>19.294887070000001</v>
          </cell>
          <cell r="AO327">
            <v>19.453417269999999</v>
          </cell>
          <cell r="AP327">
            <v>19.60885876</v>
          </cell>
          <cell r="AQ327">
            <v>19.764264879999999</v>
          </cell>
          <cell r="AR327">
            <v>19.920650739999999</v>
          </cell>
          <cell r="AS327">
            <v>20.078497349999999</v>
          </cell>
          <cell r="AT327">
            <v>20.23811392</v>
          </cell>
          <cell r="AU327">
            <v>20.399728929999998</v>
          </cell>
          <cell r="AV327">
            <v>20.56351364</v>
          </cell>
          <cell r="AW327">
            <v>20.729584639999999</v>
          </cell>
          <cell r="AX327">
            <v>20.897988689999998</v>
          </cell>
          <cell r="AY327">
            <v>21.068633040000002</v>
          </cell>
          <cell r="AZ327">
            <v>21.241442589999998</v>
          </cell>
          <cell r="BA327">
            <v>21.416190589999999</v>
          </cell>
          <cell r="BB327">
            <v>21.592451919999998</v>
          </cell>
          <cell r="BC327">
            <v>21.77122297</v>
          </cell>
          <cell r="BD327">
            <v>21.953295950000001</v>
          </cell>
          <cell r="BE327">
            <v>23.453218750000001</v>
          </cell>
          <cell r="BF327">
            <v>23.723576749999999</v>
          </cell>
          <cell r="BG327">
            <v>23.998018949999999</v>
          </cell>
          <cell r="BH327">
            <v>24.276674310000001</v>
          </cell>
          <cell r="BI327">
            <v>24.559660640000001</v>
          </cell>
        </row>
        <row r="329">
          <cell r="E329" t="str">
            <v>CF_toe_cgas_0</v>
          </cell>
          <cell r="F329">
            <v>34.455909929999997</v>
          </cell>
          <cell r="G329">
            <v>34.735827729999997</v>
          </cell>
          <cell r="H329">
            <v>34.995736540000003</v>
          </cell>
          <cell r="I329">
            <v>35.262800059999996</v>
          </cell>
          <cell r="J329">
            <v>35.545407359999999</v>
          </cell>
          <cell r="K329">
            <v>35.859706209999999</v>
          </cell>
          <cell r="L329">
            <v>36.18981582</v>
          </cell>
          <cell r="M329">
            <v>36.543720520000001</v>
          </cell>
          <cell r="N329">
            <v>36.918847040000003</v>
          </cell>
          <cell r="O329">
            <v>37.31092039</v>
          </cell>
          <cell r="P329">
            <v>37.750746650000004</v>
          </cell>
          <cell r="Q329">
            <v>38.18104099</v>
          </cell>
          <cell r="R329">
            <v>38.613982350000001</v>
          </cell>
          <cell r="S329">
            <v>39.051442819999998</v>
          </cell>
          <cell r="T329">
            <v>39.493438849999997</v>
          </cell>
          <cell r="U329">
            <v>39.939729470000003</v>
          </cell>
          <cell r="V329">
            <v>40.390138100000001</v>
          </cell>
          <cell r="W329">
            <v>40.844607410000002</v>
          </cell>
          <cell r="X329">
            <v>41.303192799999998</v>
          </cell>
          <cell r="Y329">
            <v>41.766041960000003</v>
          </cell>
          <cell r="Z329">
            <v>42.20831708</v>
          </cell>
          <cell r="AA329">
            <v>42.66986035</v>
          </cell>
          <cell r="AB329">
            <v>43.140639159999999</v>
          </cell>
          <cell r="AC329">
            <v>43.61865675</v>
          </cell>
          <cell r="AD329">
            <v>44.103556349999998</v>
          </cell>
          <cell r="AE329">
            <v>44.5238005</v>
          </cell>
          <cell r="AF329">
            <v>44.958608830000003</v>
          </cell>
          <cell r="AG329">
            <v>45.397820119999999</v>
          </cell>
          <cell r="AH329">
            <v>45.840496799999997</v>
          </cell>
          <cell r="AI329">
            <v>46.287105920000002</v>
          </cell>
          <cell r="AJ329">
            <v>46.738403920000003</v>
          </cell>
          <cell r="AK329">
            <v>47.195129999999999</v>
          </cell>
          <cell r="AL329">
            <v>47.65790724</v>
          </cell>
          <cell r="AM329">
            <v>48.127221919999997</v>
          </cell>
          <cell r="AN329">
            <v>48.603430549999999</v>
          </cell>
          <cell r="AO329">
            <v>49.086777949999998</v>
          </cell>
          <cell r="AP329">
            <v>49.560524809999997</v>
          </cell>
          <cell r="AQ329">
            <v>50.034354649999997</v>
          </cell>
          <cell r="AR329">
            <v>50.510984720000003</v>
          </cell>
          <cell r="AS329">
            <v>50.991610739999999</v>
          </cell>
          <cell r="AT329">
            <v>51.476987559999998</v>
          </cell>
          <cell r="AU329">
            <v>51.967675679999999</v>
          </cell>
          <cell r="AV329">
            <v>52.464104079999998</v>
          </cell>
          <cell r="AW329">
            <v>52.966582780000003</v>
          </cell>
          <cell r="AX329">
            <v>53.475287039999998</v>
          </cell>
          <cell r="AY329">
            <v>53.990182820000001</v>
          </cell>
          <cell r="AZ329">
            <v>54.512204830000002</v>
          </cell>
          <cell r="BA329">
            <v>55.039883469999999</v>
          </cell>
          <cell r="BB329">
            <v>55.570551309999999</v>
          </cell>
          <cell r="BC329">
            <v>56.107931350000001</v>
          </cell>
          <cell r="BD329">
            <v>56.65502738</v>
          </cell>
          <cell r="BE329">
            <v>60.695917489999999</v>
          </cell>
          <cell r="BF329">
            <v>61.493967240000003</v>
          </cell>
          <cell r="BG329">
            <v>62.303657729999998</v>
          </cell>
          <cell r="BH329">
            <v>63.125339080000003</v>
          </cell>
          <cell r="BI329">
            <v>63.959341160000001</v>
          </cell>
        </row>
        <row r="335">
          <cell r="E335" t="str">
            <v>CF_toe_cele_0</v>
          </cell>
          <cell r="F335">
            <v>37.992390450000002</v>
          </cell>
          <cell r="G335">
            <v>38.276743850000003</v>
          </cell>
          <cell r="H335">
            <v>38.530684659999999</v>
          </cell>
          <cell r="I335">
            <v>38.797107580000002</v>
          </cell>
          <cell r="J335">
            <v>39.089575850000003</v>
          </cell>
          <cell r="K335">
            <v>39.41854953</v>
          </cell>
          <cell r="L335">
            <v>39.764851970000002</v>
          </cell>
          <cell r="M335">
            <v>40.133085770000001</v>
          </cell>
          <cell r="N335">
            <v>40.519239079999998</v>
          </cell>
          <cell r="O335">
            <v>40.918433100000001</v>
          </cell>
          <cell r="P335">
            <v>41.360046439999998</v>
          </cell>
          <cell r="Q335">
            <v>41.789856239999999</v>
          </cell>
          <cell r="R335">
            <v>42.21893962</v>
          </cell>
          <cell r="S335">
            <v>42.649196600000003</v>
          </cell>
          <cell r="T335">
            <v>43.080938500000002</v>
          </cell>
          <cell r="U335">
            <v>43.514363170000003</v>
          </cell>
          <cell r="V335">
            <v>43.949823139999999</v>
          </cell>
          <cell r="W335">
            <v>44.387842900000003</v>
          </cell>
          <cell r="X335">
            <v>44.829082380000003</v>
          </cell>
          <cell r="Y335">
            <v>45.274291040000001</v>
          </cell>
          <cell r="Z335">
            <v>45.700009199999997</v>
          </cell>
          <cell r="AA335">
            <v>46.144843620000003</v>
          </cell>
          <cell r="AB335">
            <v>46.600240380000002</v>
          </cell>
          <cell r="AC335">
            <v>47.064854560000001</v>
          </cell>
          <cell r="AD335">
            <v>47.538761239999999</v>
          </cell>
          <cell r="AE335">
            <v>47.952820330000002</v>
          </cell>
          <cell r="AF335">
            <v>48.382597920000002</v>
          </cell>
          <cell r="AG335">
            <v>48.819584079999998</v>
          </cell>
          <cell r="AH335">
            <v>49.263543329999997</v>
          </cell>
          <cell r="AI335">
            <v>49.71563201</v>
          </cell>
          <cell r="AJ335">
            <v>50.177029089999998</v>
          </cell>
          <cell r="AK335">
            <v>50.648656180000003</v>
          </cell>
          <cell r="AL335">
            <v>51.131139640000001</v>
          </cell>
          <cell r="AM335">
            <v>51.624838160000003</v>
          </cell>
          <cell r="AN335">
            <v>52.129891000000001</v>
          </cell>
          <cell r="AO335">
            <v>52.646271550000002</v>
          </cell>
          <cell r="AP335">
            <v>53.157286259999999</v>
          </cell>
          <cell r="AQ335">
            <v>53.671763110000001</v>
          </cell>
          <cell r="AR335">
            <v>54.192208170000001</v>
          </cell>
          <cell r="AS335">
            <v>54.719747689999998</v>
          </cell>
          <cell r="AT335">
            <v>55.255125870000001</v>
          </cell>
          <cell r="AU335">
            <v>55.798907479999997</v>
          </cell>
          <cell r="AV335">
            <v>56.351518640000002</v>
          </cell>
          <cell r="AW335">
            <v>56.91326188</v>
          </cell>
          <cell r="AX335">
            <v>57.484299720000003</v>
          </cell>
          <cell r="AY335">
            <v>58.064578019999999</v>
          </cell>
          <cell r="AZ335">
            <v>58.654896819999998</v>
          </cell>
          <cell r="BA335">
            <v>59.254107259999998</v>
          </cell>
          <cell r="BB335">
            <v>59.861396560000003</v>
          </cell>
          <cell r="BC335">
            <v>60.477901770000003</v>
          </cell>
          <cell r="BD335">
            <v>61.104611380000001</v>
          </cell>
          <cell r="BE335">
            <v>65.412551059999998</v>
          </cell>
          <cell r="BF335">
            <v>66.296898889999994</v>
          </cell>
          <cell r="BG335">
            <v>67.196138849999997</v>
          </cell>
          <cell r="BH335">
            <v>68.110568479999998</v>
          </cell>
          <cell r="BI335">
            <v>69.040456840000004</v>
          </cell>
        </row>
        <row r="345">
          <cell r="E345" t="str">
            <v>CF_toe_chea_0</v>
          </cell>
          <cell r="F345">
            <v>5.141788762</v>
          </cell>
          <cell r="G345">
            <v>5.2038577220000004</v>
          </cell>
          <cell r="H345">
            <v>5.272784723</v>
          </cell>
          <cell r="I345">
            <v>5.3464468930000004</v>
          </cell>
          <cell r="J345">
            <v>5.4244187999999998</v>
          </cell>
          <cell r="K345">
            <v>5.4986044400000003</v>
          </cell>
          <cell r="L345">
            <v>5.5637983780000004</v>
          </cell>
          <cell r="M345">
            <v>5.6246720750000003</v>
          </cell>
          <cell r="N345">
            <v>5.6838613010000003</v>
          </cell>
          <cell r="O345">
            <v>5.7427184279999999</v>
          </cell>
          <cell r="P345">
            <v>5.8100617000000003</v>
          </cell>
          <cell r="Q345">
            <v>5.8729795730000003</v>
          </cell>
          <cell r="R345">
            <v>5.9345829759999997</v>
          </cell>
          <cell r="S345">
            <v>5.9959336820000004</v>
          </cell>
          <cell r="T345">
            <v>6.0574305170000002</v>
          </cell>
          <cell r="U345">
            <v>6.1192295520000002</v>
          </cell>
          <cell r="V345">
            <v>6.1813978890000003</v>
          </cell>
          <cell r="W345">
            <v>6.243974658</v>
          </cell>
          <cell r="X345">
            <v>6.3069944580000001</v>
          </cell>
          <cell r="Y345">
            <v>6.3704948010000004</v>
          </cell>
          <cell r="Z345">
            <v>6.428866867</v>
          </cell>
          <cell r="AA345">
            <v>6.4912065459999999</v>
          </cell>
          <cell r="AB345">
            <v>6.5554274939999999</v>
          </cell>
          <cell r="AC345">
            <v>6.6208421409999998</v>
          </cell>
          <cell r="AD345">
            <v>6.6872012920000001</v>
          </cell>
          <cell r="AE345">
            <v>6.7386793650000003</v>
          </cell>
          <cell r="AF345">
            <v>6.7930564240000004</v>
          </cell>
          <cell r="AG345">
            <v>6.8487940189999996</v>
          </cell>
          <cell r="AH345">
            <v>6.9055177780000001</v>
          </cell>
          <cell r="AI345">
            <v>6.9631214080000001</v>
          </cell>
          <cell r="AJ345">
            <v>7.0215933350000004</v>
          </cell>
          <cell r="AK345">
            <v>7.0809498959999999</v>
          </cell>
          <cell r="AL345">
            <v>7.1412105029999999</v>
          </cell>
          <cell r="AM345">
            <v>7.2023887459999996</v>
          </cell>
          <cell r="AN345">
            <v>7.2644906750000002</v>
          </cell>
          <cell r="AO345">
            <v>7.3275163059999997</v>
          </cell>
          <cell r="AP345">
            <v>7.3879446199999999</v>
          </cell>
          <cell r="AQ345">
            <v>7.4478828510000001</v>
          </cell>
          <cell r="AR345">
            <v>7.508100132</v>
          </cell>
          <cell r="AS345">
            <v>7.5689293930000003</v>
          </cell>
          <cell r="AT345">
            <v>7.6305427379999999</v>
          </cell>
          <cell r="AU345">
            <v>7.6930537110000001</v>
          </cell>
          <cell r="AV345">
            <v>7.756562143</v>
          </cell>
          <cell r="AW345">
            <v>7.8211815180000004</v>
          </cell>
          <cell r="AX345">
            <v>7.8870720509999996</v>
          </cell>
          <cell r="AY345">
            <v>7.9545176590000004</v>
          </cell>
          <cell r="AZ345">
            <v>8.0245124790000002</v>
          </cell>
          <cell r="BA345">
            <v>8.0941612329999995</v>
          </cell>
          <cell r="BB345">
            <v>8.1630872340000007</v>
          </cell>
          <cell r="BC345">
            <v>8.2315349990000009</v>
          </cell>
          <cell r="BD345">
            <v>8.2999359869999996</v>
          </cell>
          <cell r="BE345">
            <v>8.8248155520000005</v>
          </cell>
          <cell r="BF345">
            <v>8.9214467200000005</v>
          </cell>
          <cell r="BG345">
            <v>9.0193785480000006</v>
          </cell>
          <cell r="BH345">
            <v>9.1186607859999995</v>
          </cell>
          <cell r="BI345">
            <v>9.2193318049999995</v>
          </cell>
        </row>
        <row r="347">
          <cell r="E347" t="str">
            <v>CF_toe_cbio_0</v>
          </cell>
          <cell r="F347">
            <v>8.2066322189999994</v>
          </cell>
          <cell r="G347">
            <v>8.2272731690000001</v>
          </cell>
          <cell r="H347">
            <v>8.2228348679999996</v>
          </cell>
          <cell r="I347">
            <v>8.2111086899999997</v>
          </cell>
          <cell r="J347">
            <v>8.1980360660000002</v>
          </cell>
          <cell r="K347">
            <v>8.1912228660000004</v>
          </cell>
          <cell r="L347">
            <v>8.1896895779999994</v>
          </cell>
          <cell r="M347">
            <v>8.1943002329999999</v>
          </cell>
          <cell r="N347">
            <v>8.2038736369999992</v>
          </cell>
          <cell r="O347">
            <v>8.2169014300000001</v>
          </cell>
          <cell r="P347">
            <v>8.2375590790000004</v>
          </cell>
          <cell r="Q347">
            <v>8.2567148049999997</v>
          </cell>
          <cell r="R347">
            <v>8.2757272929999992</v>
          </cell>
          <cell r="S347">
            <v>8.2949545019999995</v>
          </cell>
          <cell r="T347">
            <v>8.3144870189999995</v>
          </cell>
          <cell r="U347">
            <v>8.334349499</v>
          </cell>
          <cell r="V347">
            <v>8.3545609180000007</v>
          </cell>
          <cell r="W347">
            <v>8.3751510539999998</v>
          </cell>
          <cell r="X347">
            <v>8.3961620410000002</v>
          </cell>
          <cell r="Y347">
            <v>8.4176450819999999</v>
          </cell>
          <cell r="Z347">
            <v>8.4359666729999994</v>
          </cell>
          <cell r="AA347">
            <v>8.4569724040000001</v>
          </cell>
          <cell r="AB347">
            <v>8.4794335669999992</v>
          </cell>
          <cell r="AC347">
            <v>8.502958993</v>
          </cell>
          <cell r="AD347">
            <v>8.5274204509999993</v>
          </cell>
          <cell r="AE347">
            <v>8.54247522</v>
          </cell>
          <cell r="AF347">
            <v>8.5594170680000001</v>
          </cell>
          <cell r="AG347">
            <v>8.5773863699999993</v>
          </cell>
          <cell r="AH347">
            <v>8.5962145159999999</v>
          </cell>
          <cell r="AI347">
            <v>8.6159032379999996</v>
          </cell>
          <cell r="AJ347">
            <v>8.6364932060000008</v>
          </cell>
          <cell r="AK347">
            <v>8.6580247000000004</v>
          </cell>
          <cell r="AL347">
            <v>8.6805255270000004</v>
          </cell>
          <cell r="AM347">
            <v>8.7040090069999998</v>
          </cell>
          <cell r="AN347">
            <v>8.7284760380000002</v>
          </cell>
          <cell r="AO347">
            <v>8.7539185530000001</v>
          </cell>
          <cell r="AP347">
            <v>8.7779995290000006</v>
          </cell>
          <cell r="AQ347">
            <v>8.8020075680000005</v>
          </cell>
          <cell r="AR347">
            <v>8.8264244010000006</v>
          </cell>
          <cell r="AS347">
            <v>8.8514642989999999</v>
          </cell>
          <cell r="AT347">
            <v>8.8772394200000004</v>
          </cell>
          <cell r="AU347">
            <v>8.9038170179999998</v>
          </cell>
          <cell r="AV347">
            <v>8.9312390990000008</v>
          </cell>
          <cell r="AW347">
            <v>8.959522497</v>
          </cell>
          <cell r="AX347">
            <v>8.9886435290000009</v>
          </cell>
          <cell r="AY347">
            <v>9.01847727</v>
          </cell>
          <cell r="AZ347">
            <v>9.0486459230000005</v>
          </cell>
          <cell r="BA347">
            <v>9.0791001849999997</v>
          </cell>
          <cell r="BB347">
            <v>9.1099881640000007</v>
          </cell>
          <cell r="BC347">
            <v>9.1415747720000002</v>
          </cell>
          <cell r="BD347">
            <v>9.1740776069999992</v>
          </cell>
          <cell r="BE347">
            <v>9.484807537</v>
          </cell>
          <cell r="BF347">
            <v>9.5424931760000007</v>
          </cell>
          <cell r="BG347">
            <v>9.6013940170000005</v>
          </cell>
          <cell r="BH347">
            <v>9.6615604289999997</v>
          </cell>
          <cell r="BI347">
            <v>9.7230260650000009</v>
          </cell>
        </row>
        <row r="350">
          <cell r="E350" t="str">
            <v>CF_toe_cote_0</v>
          </cell>
          <cell r="F350">
            <v>8.7302247630000007</v>
          </cell>
          <cell r="G350">
            <v>8.8392994750000007</v>
          </cell>
          <cell r="H350">
            <v>8.9605790709999997</v>
          </cell>
          <cell r="I350">
            <v>9.0916645789999997</v>
          </cell>
          <cell r="J350">
            <v>9.2312718950000008</v>
          </cell>
          <cell r="K350">
            <v>9.3780936649999997</v>
          </cell>
          <cell r="L350">
            <v>9.5244017680000006</v>
          </cell>
          <cell r="M350">
            <v>9.6736647009999999</v>
          </cell>
          <cell r="N350">
            <v>9.8259246549999997</v>
          </cell>
          <cell r="O350">
            <v>9.9808262980000002</v>
          </cell>
          <cell r="P350">
            <v>10.14941758</v>
          </cell>
          <cell r="Q350">
            <v>10.312071639999999</v>
          </cell>
          <cell r="R350">
            <v>10.47511757</v>
          </cell>
          <cell r="S350">
            <v>10.63951984</v>
          </cell>
          <cell r="T350">
            <v>10.805468149999999</v>
          </cell>
          <cell r="U350">
            <v>10.97307752</v>
          </cell>
          <cell r="V350">
            <v>11.14249027</v>
          </cell>
          <cell r="W350">
            <v>11.313880230000001</v>
          </cell>
          <cell r="X350">
            <v>11.487440769999999</v>
          </cell>
          <cell r="Y350">
            <v>11.66337225</v>
          </cell>
          <cell r="Z350">
            <v>11.83343228</v>
          </cell>
          <cell r="AA350">
            <v>12.012213839999999</v>
          </cell>
          <cell r="AB350">
            <v>12.19509948</v>
          </cell>
          <cell r="AC350">
            <v>12.381488170000001</v>
          </cell>
          <cell r="AD350">
            <v>12.57137518</v>
          </cell>
          <cell r="AE350">
            <v>12.74043378</v>
          </cell>
          <cell r="AF350">
            <v>12.91874075</v>
          </cell>
          <cell r="AG350">
            <v>13.10053126</v>
          </cell>
          <cell r="AH350">
            <v>13.28521198</v>
          </cell>
          <cell r="AI350">
            <v>13.47293387</v>
          </cell>
          <cell r="AJ350">
            <v>13.663908299999999</v>
          </cell>
          <cell r="AK350">
            <v>13.858294689999999</v>
          </cell>
          <cell r="AL350">
            <v>14.056186609999999</v>
          </cell>
          <cell r="AM350">
            <v>14.25761922</v>
          </cell>
          <cell r="AN350">
            <v>14.46258242</v>
          </cell>
          <cell r="AO350">
            <v>14.67103487</v>
          </cell>
          <cell r="AP350">
            <v>14.876980379999999</v>
          </cell>
          <cell r="AQ350">
            <v>15.08445957</v>
          </cell>
          <cell r="AR350">
            <v>15.29420689</v>
          </cell>
          <cell r="AS350">
            <v>15.50644185</v>
          </cell>
          <cell r="AT350">
            <v>15.721295319999999</v>
          </cell>
          <cell r="AU350">
            <v>15.93887222</v>
          </cell>
          <cell r="AV350">
            <v>16.159257369999999</v>
          </cell>
          <cell r="AW350">
            <v>16.382514740000001</v>
          </cell>
          <cell r="AX350">
            <v>16.60868851</v>
          </cell>
          <cell r="AY350">
            <v>16.83780659</v>
          </cell>
          <cell r="AZ350">
            <v>17.070428589999999</v>
          </cell>
          <cell r="BA350">
            <v>17.306192800000002</v>
          </cell>
          <cell r="BB350">
            <v>17.545036020000001</v>
          </cell>
          <cell r="BC350">
            <v>17.786933619999999</v>
          </cell>
          <cell r="BD350">
            <v>18.031872109999998</v>
          </cell>
          <cell r="BE350">
            <v>19.86262687</v>
          </cell>
          <cell r="BF350">
            <v>20.209381090000001</v>
          </cell>
          <cell r="BG350">
            <v>20.562112070000001</v>
          </cell>
          <cell r="BH350">
            <v>20.92091023</v>
          </cell>
          <cell r="BI350">
            <v>21.285867530000001</v>
          </cell>
        </row>
        <row r="353">
          <cell r="F353">
            <v>64.30144018</v>
          </cell>
          <cell r="G353">
            <v>64.311548689999995</v>
          </cell>
          <cell r="H353">
            <v>64.021508800000007</v>
          </cell>
          <cell r="I353">
            <v>63.691322419999999</v>
          </cell>
          <cell r="J353">
            <v>63.41221865</v>
          </cell>
          <cell r="K353">
            <v>63.206232049999997</v>
          </cell>
          <cell r="L353">
            <v>63.050111749999999</v>
          </cell>
          <cell r="M353">
            <v>62.938125329999998</v>
          </cell>
          <cell r="N353">
            <v>62.856187030000001</v>
          </cell>
          <cell r="O353">
            <v>62.785061319999997</v>
          </cell>
          <cell r="P353">
            <v>62.736037959999997</v>
          </cell>
          <cell r="Q353">
            <v>62.662565999999998</v>
          </cell>
          <cell r="R353">
            <v>62.578473719999998</v>
          </cell>
          <cell r="S353">
            <v>62.492567299999997</v>
          </cell>
          <cell r="T353">
            <v>62.410104070000003</v>
          </cell>
          <cell r="U353">
            <v>62.334365509999998</v>
          </cell>
          <cell r="V353">
            <v>62.263476500000003</v>
          </cell>
          <cell r="W353">
            <v>62.200056029999999</v>
          </cell>
          <cell r="X353">
            <v>62.144740679999998</v>
          </cell>
          <cell r="Y353">
            <v>62.097205719999998</v>
          </cell>
          <cell r="Z353">
            <v>62.037877250000001</v>
          </cell>
          <cell r="AA353">
            <v>61.994171229999999</v>
          </cell>
          <cell r="AB353">
            <v>61.960241680000003</v>
          </cell>
          <cell r="AC353">
            <v>61.933085079999998</v>
          </cell>
          <cell r="AD353">
            <v>61.911097480000002</v>
          </cell>
          <cell r="AE353">
            <v>61.84221582</v>
          </cell>
          <cell r="AF353">
            <v>61.779794369999998</v>
          </cell>
          <cell r="AG353">
            <v>61.720796329999999</v>
          </cell>
          <cell r="AH353">
            <v>61.66392003</v>
          </cell>
          <cell r="AI353">
            <v>61.608758289999997</v>
          </cell>
          <cell r="AJ353">
            <v>61.555333619999999</v>
          </cell>
          <cell r="AK353">
            <v>61.504645140000001</v>
          </cell>
          <cell r="AL353">
            <v>61.456476019999997</v>
          </cell>
          <cell r="AM353">
            <v>61.410772770000001</v>
          </cell>
          <cell r="AN353">
            <v>61.367556149999999</v>
          </cell>
          <cell r="AO353">
            <v>61.326992619999999</v>
          </cell>
          <cell r="AP353">
            <v>61.285327909999999</v>
          </cell>
          <cell r="AQ353">
            <v>61.243873100000002</v>
          </cell>
          <cell r="AR353">
            <v>61.203556710000001</v>
          </cell>
          <cell r="AS353">
            <v>61.165075960000003</v>
          </cell>
          <cell r="AT353">
            <v>61.129004389999999</v>
          </cell>
          <cell r="AU353">
            <v>61.096906990000001</v>
          </cell>
          <cell r="AV353">
            <v>61.068588310000003</v>
          </cell>
          <cell r="AW353">
            <v>61.044166079999997</v>
          </cell>
          <cell r="AX353">
            <v>61.023864000000003</v>
          </cell>
          <cell r="AY353">
            <v>61.007928040000003</v>
          </cell>
          <cell r="AZ353">
            <v>61.000962260000001</v>
          </cell>
          <cell r="BA353">
            <v>61.000717629999997</v>
          </cell>
          <cell r="BB353">
            <v>61.006346829999998</v>
          </cell>
          <cell r="BC353">
            <v>61.017624740000002</v>
          </cell>
          <cell r="BD353">
            <v>61.034651949999997</v>
          </cell>
          <cell r="BE353">
            <v>64.419719540000003</v>
          </cell>
          <cell r="BF353">
            <v>64.521376770000003</v>
          </cell>
          <cell r="BG353">
            <v>64.626029189999997</v>
          </cell>
          <cell r="BH353">
            <v>64.733579050000003</v>
          </cell>
          <cell r="BI353">
            <v>64.844110799999996</v>
          </cell>
        </row>
        <row r="354">
          <cell r="F354">
            <v>42.52087745</v>
          </cell>
          <cell r="G354">
            <v>42.826716130000001</v>
          </cell>
          <cell r="H354">
            <v>42.706732369999997</v>
          </cell>
          <cell r="I354">
            <v>42.459953200000001</v>
          </cell>
          <cell r="J354">
            <v>42.203473189999997</v>
          </cell>
          <cell r="K354">
            <v>41.976090490000004</v>
          </cell>
          <cell r="L354">
            <v>41.768039280000004</v>
          </cell>
          <cell r="M354">
            <v>41.580798030000004</v>
          </cell>
          <cell r="N354">
            <v>41.405254899999996</v>
          </cell>
          <cell r="O354">
            <v>41.225771700000003</v>
          </cell>
          <cell r="P354">
            <v>41.053872640000002</v>
          </cell>
          <cell r="Q354">
            <v>40.847521560000004</v>
          </cell>
          <cell r="R354">
            <v>40.621443520000007</v>
          </cell>
          <cell r="S354">
            <v>40.385620270000004</v>
          </cell>
          <cell r="T354">
            <v>40.146477099999998</v>
          </cell>
          <cell r="U354">
            <v>39.908402420000002</v>
          </cell>
          <cell r="V354">
            <v>39.670651630000002</v>
          </cell>
          <cell r="W354">
            <v>39.436850219999997</v>
          </cell>
          <cell r="X354">
            <v>39.208526770000006</v>
          </cell>
          <cell r="Y354">
            <v>38.986149399999995</v>
          </cell>
          <cell r="Z354">
            <v>38.753972640000001</v>
          </cell>
          <cell r="AA354">
            <v>38.536625690000001</v>
          </cell>
          <cell r="AB354">
            <v>38.328711069999997</v>
          </cell>
          <cell r="AC354">
            <v>38.127550920000004</v>
          </cell>
          <cell r="AD354">
            <v>37.931812790000002</v>
          </cell>
          <cell r="AE354">
            <v>37.698469979999999</v>
          </cell>
          <cell r="AF354">
            <v>37.475645469999996</v>
          </cell>
          <cell r="AG354">
            <v>37.259980140000003</v>
          </cell>
          <cell r="AH354">
            <v>37.04967963</v>
          </cell>
          <cell r="AI354">
            <v>36.843799400000002</v>
          </cell>
          <cell r="AJ354">
            <v>36.641844049999996</v>
          </cell>
          <cell r="AK354">
            <v>36.44432011</v>
          </cell>
          <cell r="AL354">
            <v>36.250592709999999</v>
          </cell>
          <cell r="AM354">
            <v>36.060255240000004</v>
          </cell>
          <cell r="AN354">
            <v>35.873022119999995</v>
          </cell>
          <cell r="AO354">
            <v>35.688786450000002</v>
          </cell>
          <cell r="AP354">
            <v>35.505306740000002</v>
          </cell>
          <cell r="AQ354">
            <v>35.323423909999995</v>
          </cell>
          <cell r="AR354">
            <v>35.143680520000004</v>
          </cell>
          <cell r="AS354">
            <v>34.966375200000002</v>
          </cell>
          <cell r="AT354">
            <v>34.791664920000002</v>
          </cell>
          <cell r="AU354">
            <v>34.620666369999995</v>
          </cell>
          <cell r="AV354">
            <v>34.452788829999996</v>
          </cell>
          <cell r="AW354">
            <v>34.287813890000002</v>
          </cell>
          <cell r="AX354">
            <v>34.125679149999996</v>
          </cell>
          <cell r="AY354">
            <v>33.966386869999994</v>
          </cell>
          <cell r="AZ354">
            <v>33.814036310000006</v>
          </cell>
          <cell r="BA354">
            <v>33.666168929999998</v>
          </cell>
          <cell r="BB354">
            <v>33.521807359999997</v>
          </cell>
          <cell r="BC354">
            <v>33.38062309</v>
          </cell>
          <cell r="BD354">
            <v>33.242615980000004</v>
          </cell>
          <cell r="BE354">
            <v>34.849368820000002</v>
          </cell>
          <cell r="BF354">
            <v>34.745864249999997</v>
          </cell>
          <cell r="BG354">
            <v>34.643640210000001</v>
          </cell>
          <cell r="BH354">
            <v>34.542457280000001</v>
          </cell>
          <cell r="BI354">
            <v>34.442238750000001</v>
          </cell>
        </row>
        <row r="362">
          <cell r="F362">
            <v>21.78056273</v>
          </cell>
          <cell r="G362">
            <v>21.484832559999997</v>
          </cell>
          <cell r="H362">
            <v>21.314776429999998</v>
          </cell>
          <cell r="I362">
            <v>21.231369219999998</v>
          </cell>
          <cell r="J362">
            <v>21.208745459999999</v>
          </cell>
          <cell r="K362">
            <v>21.23014156</v>
          </cell>
          <cell r="L362">
            <v>21.282072469999999</v>
          </cell>
          <cell r="M362">
            <v>21.357327309999999</v>
          </cell>
          <cell r="N362">
            <v>21.450932129999998</v>
          </cell>
          <cell r="O362">
            <v>21.559289620000001</v>
          </cell>
          <cell r="P362">
            <v>21.682165319999999</v>
          </cell>
          <cell r="Q362">
            <v>21.815044440000001</v>
          </cell>
          <cell r="R362">
            <v>21.957030190000001</v>
          </cell>
          <cell r="S362">
            <v>22.106947030000001</v>
          </cell>
          <cell r="T362">
            <v>22.263626969999997</v>
          </cell>
          <cell r="U362">
            <v>22.42596309</v>
          </cell>
          <cell r="V362">
            <v>22.592824870000001</v>
          </cell>
          <cell r="W362">
            <v>22.763205809999999</v>
          </cell>
          <cell r="X362">
            <v>22.936213909999999</v>
          </cell>
          <cell r="Y362">
            <v>23.111056309999999</v>
          </cell>
          <cell r="Z362">
            <v>23.28390461</v>
          </cell>
          <cell r="AA362">
            <v>23.457545539999998</v>
          </cell>
          <cell r="AB362">
            <v>23.631530609999999</v>
          </cell>
          <cell r="AC362">
            <v>23.805534160000001</v>
          </cell>
          <cell r="AD362">
            <v>23.979284679999999</v>
          </cell>
          <cell r="AE362">
            <v>24.143745840000001</v>
          </cell>
          <cell r="AF362">
            <v>24.30414889</v>
          </cell>
          <cell r="AG362">
            <v>24.460816190000003</v>
          </cell>
          <cell r="AH362">
            <v>24.6142404</v>
          </cell>
          <cell r="AI362">
            <v>24.764958889999999</v>
          </cell>
          <cell r="AJ362">
            <v>24.913489569999999</v>
          </cell>
          <cell r="AK362">
            <v>25.060325030000001</v>
          </cell>
          <cell r="AL362">
            <v>25.205883309999997</v>
          </cell>
          <cell r="AM362">
            <v>25.35051752</v>
          </cell>
          <cell r="AN362">
            <v>25.494534030000001</v>
          </cell>
          <cell r="AO362">
            <v>25.63820617</v>
          </cell>
          <cell r="AP362">
            <v>25.780021170000001</v>
          </cell>
          <cell r="AQ362">
            <v>25.920449190000003</v>
          </cell>
          <cell r="AR362">
            <v>26.05987618</v>
          </cell>
          <cell r="AS362">
            <v>26.198700769999999</v>
          </cell>
          <cell r="AT362">
            <v>26.33733947</v>
          </cell>
          <cell r="AU362">
            <v>26.476240620000002</v>
          </cell>
          <cell r="AV362">
            <v>26.61579948</v>
          </cell>
          <cell r="AW362">
            <v>26.756352190000001</v>
          </cell>
          <cell r="AX362">
            <v>26.898184860000001</v>
          </cell>
          <cell r="AY362">
            <v>27.041541170000002</v>
          </cell>
          <cell r="AZ362">
            <v>27.186925949999999</v>
          </cell>
          <cell r="BA362">
            <v>27.334548699999999</v>
          </cell>
          <cell r="BB362">
            <v>27.484539469999998</v>
          </cell>
          <cell r="BC362">
            <v>27.637001659999999</v>
          </cell>
          <cell r="BD362">
            <v>27.79203596</v>
          </cell>
          <cell r="BE362">
            <v>29.57035072</v>
          </cell>
          <cell r="BF362">
            <v>29.775512519999999</v>
          </cell>
          <cell r="BG362">
            <v>29.98238898</v>
          </cell>
          <cell r="BH362">
            <v>30.191121769999999</v>
          </cell>
          <cell r="BI362">
            <v>30.401872050000001</v>
          </cell>
        </row>
        <row r="366">
          <cell r="F366">
            <v>25.954692720000001</v>
          </cell>
          <cell r="G366">
            <v>26.10867601</v>
          </cell>
          <cell r="H366">
            <v>26.33126257</v>
          </cell>
          <cell r="I366">
            <v>26.590715880000001</v>
          </cell>
          <cell r="J366">
            <v>26.880934830000001</v>
          </cell>
          <cell r="K366">
            <v>27.19800828</v>
          </cell>
          <cell r="L366">
            <v>27.52195008</v>
          </cell>
          <cell r="M366">
            <v>27.857977829999999</v>
          </cell>
          <cell r="N366">
            <v>28.205028939999998</v>
          </cell>
          <cell r="O366">
            <v>28.5610514</v>
          </cell>
          <cell r="P366">
            <v>28.914359810000001</v>
          </cell>
          <cell r="Q366">
            <v>29.306541660000001</v>
          </cell>
          <cell r="R366">
            <v>29.710281330000001</v>
          </cell>
          <cell r="S366">
            <v>30.12000218</v>
          </cell>
          <cell r="T366">
            <v>30.533836390000001</v>
          </cell>
          <cell r="U366">
            <v>30.95078934</v>
          </cell>
          <cell r="V366">
            <v>31.368502060000001</v>
          </cell>
          <cell r="W366">
            <v>31.787812479999999</v>
          </cell>
          <cell r="X366">
            <v>32.208794910000002</v>
          </cell>
          <cell r="Y366">
            <v>32.631535820000003</v>
          </cell>
          <cell r="Z366">
            <v>33.036918980000003</v>
          </cell>
          <cell r="AA366">
            <v>33.45583852</v>
          </cell>
          <cell r="AB366">
            <v>33.880680179999999</v>
          </cell>
          <cell r="AC366">
            <v>34.310141229999999</v>
          </cell>
          <cell r="AD366">
            <v>34.744205379999997</v>
          </cell>
          <cell r="AE366">
            <v>35.127778999999997</v>
          </cell>
          <cell r="AF366">
            <v>35.523318160000002</v>
          </cell>
          <cell r="AG366">
            <v>35.922637629999997</v>
          </cell>
          <cell r="AH366">
            <v>36.325311020000001</v>
          </cell>
          <cell r="AI366">
            <v>36.732281649999997</v>
          </cell>
          <cell r="AJ366">
            <v>37.144537370000002</v>
          </cell>
          <cell r="AK366">
            <v>37.563363039999999</v>
          </cell>
          <cell r="AL366">
            <v>37.98893064</v>
          </cell>
          <cell r="AM366">
            <v>38.421488269999998</v>
          </cell>
          <cell r="AN366">
            <v>38.861170700000002</v>
          </cell>
          <cell r="AO366">
            <v>39.30801039</v>
          </cell>
          <cell r="AP366">
            <v>39.75369439</v>
          </cell>
          <cell r="AQ366">
            <v>40.202270900000002</v>
          </cell>
          <cell r="AR366">
            <v>40.65516744</v>
          </cell>
          <cell r="AS366">
            <v>41.113088619999999</v>
          </cell>
          <cell r="AT366">
            <v>41.576520819999999</v>
          </cell>
          <cell r="AU366">
            <v>42.04667208</v>
          </cell>
          <cell r="AV366">
            <v>42.523251549999998</v>
          </cell>
          <cell r="AW366">
            <v>43.006327120000002</v>
          </cell>
          <cell r="AX366">
            <v>43.495952959999997</v>
          </cell>
          <cell r="AY366">
            <v>43.992130439999997</v>
          </cell>
          <cell r="AZ366">
            <v>44.49899001</v>
          </cell>
          <cell r="BA366">
            <v>45.013762579999998</v>
          </cell>
          <cell r="BB366">
            <v>45.535771990000001</v>
          </cell>
          <cell r="BC366">
            <v>46.064709299999997</v>
          </cell>
          <cell r="BD366">
            <v>46.600364910000003</v>
          </cell>
          <cell r="BE366">
            <v>55.400333269999997</v>
          </cell>
          <cell r="BF366">
            <v>56.275190469999998</v>
          </cell>
          <cell r="BG366">
            <v>57.165000159999998</v>
          </cell>
          <cell r="BH366">
            <v>58.070065749999998</v>
          </cell>
          <cell r="BI366">
            <v>58.990694609999998</v>
          </cell>
        </row>
        <row r="378">
          <cell r="F378">
            <v>4.8456605399999999</v>
          </cell>
          <cell r="G378">
            <v>4.8552410400000001</v>
          </cell>
          <cell r="H378">
            <v>4.8755089939999996</v>
          </cell>
          <cell r="I378">
            <v>4.9080095439999996</v>
          </cell>
          <cell r="J378">
            <v>4.9525666580000003</v>
          </cell>
          <cell r="K378">
            <v>5.0079315649999998</v>
          </cell>
          <cell r="L378">
            <v>5.0697045709999999</v>
          </cell>
          <cell r="M378">
            <v>5.1373350320000002</v>
          </cell>
          <cell r="N378">
            <v>5.2097854449999996</v>
          </cell>
          <cell r="O378">
            <v>5.2860841550000002</v>
          </cell>
          <cell r="P378">
            <v>5.3635180120000001</v>
          </cell>
          <cell r="Q378">
            <v>5.4503646679999997</v>
          </cell>
          <cell r="R378">
            <v>5.5409838840000001</v>
          </cell>
          <cell r="S378">
            <v>5.6341220520000004</v>
          </cell>
          <cell r="T378">
            <v>5.7292372360000003</v>
          </cell>
          <cell r="U378">
            <v>5.8259318709999999</v>
          </cell>
          <cell r="V378">
            <v>5.9242372540000003</v>
          </cell>
          <cell r="W378">
            <v>6.0234740899999997</v>
          </cell>
          <cell r="X378">
            <v>6.1234261639999996</v>
          </cell>
          <cell r="Y378">
            <v>6.2239946709999998</v>
          </cell>
          <cell r="Z378">
            <v>6.3215773930000001</v>
          </cell>
          <cell r="AA378">
            <v>6.4212013920000004</v>
          </cell>
          <cell r="AB378">
            <v>6.5220391790000001</v>
          </cell>
          <cell r="AC378">
            <v>6.6239363510000002</v>
          </cell>
          <cell r="AD378">
            <v>6.7268939159999999</v>
          </cell>
          <cell r="AE378">
            <v>6.8206533110000001</v>
          </cell>
          <cell r="AF378">
            <v>6.9146884919999998</v>
          </cell>
          <cell r="AG378">
            <v>7.0087783630000002</v>
          </cell>
          <cell r="AH378">
            <v>7.103194212</v>
          </cell>
          <cell r="AI378">
            <v>7.1982986359999996</v>
          </cell>
          <cell r="AJ378">
            <v>7.2944142999999997</v>
          </cell>
          <cell r="AK378">
            <v>7.3916850009999999</v>
          </cell>
          <cell r="AL378">
            <v>7.4904335179999997</v>
          </cell>
          <cell r="AM378">
            <v>7.5908034840000003</v>
          </cell>
          <cell r="AN378">
            <v>7.6928774080000002</v>
          </cell>
          <cell r="AO378">
            <v>7.796703494</v>
          </cell>
          <cell r="AP378">
            <v>7.8987822559999996</v>
          </cell>
          <cell r="AQ378">
            <v>8.0014045239999998</v>
          </cell>
          <cell r="AR378">
            <v>8.1050989159999993</v>
          </cell>
          <cell r="AS378">
            <v>8.2100766259999993</v>
          </cell>
          <cell r="AT378">
            <v>8.3164751880000001</v>
          </cell>
          <cell r="AU378">
            <v>8.4242227869999997</v>
          </cell>
          <cell r="AV378">
            <v>8.5336246029999998</v>
          </cell>
          <cell r="AW378">
            <v>8.6447618160000008</v>
          </cell>
          <cell r="AX378">
            <v>8.757665008</v>
          </cell>
          <cell r="AY378">
            <v>8.872342905</v>
          </cell>
          <cell r="AZ378">
            <v>8.9883701150000004</v>
          </cell>
          <cell r="BA378">
            <v>9.1064419930000007</v>
          </cell>
          <cell r="BB378">
            <v>9.2265791640000003</v>
          </cell>
          <cell r="BC378">
            <v>9.3487088800000002</v>
          </cell>
          <cell r="BD378">
            <v>9.4727507820000003</v>
          </cell>
          <cell r="BE378">
            <v>10.89254086</v>
          </cell>
          <cell r="BF378">
            <v>11.071818240000001</v>
          </cell>
          <cell r="BG378">
            <v>11.25394421</v>
          </cell>
          <cell r="BH378">
            <v>11.439009499999999</v>
          </cell>
          <cell r="BI378">
            <v>11.62710313</v>
          </cell>
        </row>
        <row r="390">
          <cell r="F390">
            <v>43.154683990000002</v>
          </cell>
          <cell r="G390">
            <v>43.28225407</v>
          </cell>
          <cell r="H390">
            <v>43.581656449999997</v>
          </cell>
          <cell r="I390">
            <v>43.970559870000002</v>
          </cell>
          <cell r="J390">
            <v>44.435749899999998</v>
          </cell>
          <cell r="K390">
            <v>44.968412180000001</v>
          </cell>
          <cell r="L390">
            <v>45.527319290000001</v>
          </cell>
          <cell r="M390">
            <v>46.119802550000003</v>
          </cell>
          <cell r="N390">
            <v>46.739866159999998</v>
          </cell>
          <cell r="O390">
            <v>47.380586530000002</v>
          </cell>
          <cell r="P390">
            <v>47.99697055</v>
          </cell>
          <cell r="Q390">
            <v>48.71479386</v>
          </cell>
          <cell r="R390">
            <v>49.45983974</v>
          </cell>
          <cell r="S390">
            <v>50.217780570000002</v>
          </cell>
          <cell r="T390">
            <v>50.983733299999997</v>
          </cell>
          <cell r="U390">
            <v>51.75477849</v>
          </cell>
          <cell r="V390">
            <v>52.524729020000002</v>
          </cell>
          <cell r="W390">
            <v>53.295268180000001</v>
          </cell>
          <cell r="X390">
            <v>54.066237389999998</v>
          </cell>
          <cell r="Y390">
            <v>54.837702389999997</v>
          </cell>
          <cell r="Z390">
            <v>55.573698350000001</v>
          </cell>
          <cell r="AA390">
            <v>56.333838219999997</v>
          </cell>
          <cell r="AB390">
            <v>57.102165290000002</v>
          </cell>
          <cell r="AC390">
            <v>57.876840319999999</v>
          </cell>
          <cell r="AD390">
            <v>58.658448479999997</v>
          </cell>
          <cell r="AE390">
            <v>59.343850879999998</v>
          </cell>
          <cell r="AF390">
            <v>60.054430539999998</v>
          </cell>
          <cell r="AG390">
            <v>60.770845399999999</v>
          </cell>
          <cell r="AH390">
            <v>61.492234979999999</v>
          </cell>
          <cell r="AI390">
            <v>62.220524140000002</v>
          </cell>
          <cell r="AJ390">
            <v>62.957720389999999</v>
          </cell>
          <cell r="AK390">
            <v>63.706672689999998</v>
          </cell>
          <cell r="AL390">
            <v>64.467715810000001</v>
          </cell>
          <cell r="AM390">
            <v>65.241519760000003</v>
          </cell>
          <cell r="AN390">
            <v>66.028500809999997</v>
          </cell>
          <cell r="AO390">
            <v>66.828798599999999</v>
          </cell>
          <cell r="AP390">
            <v>67.629269239999999</v>
          </cell>
          <cell r="AQ390">
            <v>68.436202429999994</v>
          </cell>
          <cell r="AR390">
            <v>69.251664989999995</v>
          </cell>
          <cell r="AS390">
            <v>70.076519239999996</v>
          </cell>
          <cell r="AT390">
            <v>70.911168880000005</v>
          </cell>
          <cell r="AU390">
            <v>71.757744819999999</v>
          </cell>
          <cell r="AV390">
            <v>72.614923630000007</v>
          </cell>
          <cell r="AW390">
            <v>73.482464440000001</v>
          </cell>
          <cell r="AX390">
            <v>74.360192920000003</v>
          </cell>
          <cell r="AY390">
            <v>75.247880519999995</v>
          </cell>
          <cell r="AZ390">
            <v>76.154450539999999</v>
          </cell>
          <cell r="BA390">
            <v>77.073457669999996</v>
          </cell>
          <cell r="BB390">
            <v>78.003659929999998</v>
          </cell>
          <cell r="BC390">
            <v>78.944503710000006</v>
          </cell>
          <cell r="BD390">
            <v>79.895505959999994</v>
          </cell>
          <cell r="BE390">
            <v>101.8741746</v>
          </cell>
          <cell r="BF390">
            <v>103.62538499999999</v>
          </cell>
          <cell r="BG390">
            <v>105.40327739999999</v>
          </cell>
          <cell r="BH390">
            <v>107.20839049999999</v>
          </cell>
          <cell r="BI390">
            <v>109.0412402</v>
          </cell>
        </row>
        <row r="402">
          <cell r="F402">
            <v>22.297551989999999</v>
          </cell>
          <cell r="G402">
            <v>22.424684060000001</v>
          </cell>
          <cell r="H402">
            <v>22.597059139999999</v>
          </cell>
          <cell r="I402">
            <v>22.81360922</v>
          </cell>
          <cell r="J402">
            <v>23.07679813</v>
          </cell>
          <cell r="K402">
            <v>23.384421629999999</v>
          </cell>
          <cell r="L402">
            <v>23.71653654</v>
          </cell>
          <cell r="M402">
            <v>24.073623319999999</v>
          </cell>
          <cell r="N402">
            <v>24.451345740000001</v>
          </cell>
          <cell r="O402">
            <v>24.845299149999999</v>
          </cell>
          <cell r="P402">
            <v>25.255811609999999</v>
          </cell>
          <cell r="Q402">
            <v>25.688157310000001</v>
          </cell>
          <cell r="R402">
            <v>26.135039389999999</v>
          </cell>
          <cell r="S402">
            <v>26.593137089999999</v>
          </cell>
          <cell r="T402">
            <v>27.05998714</v>
          </cell>
          <cell r="U402">
            <v>27.53345753</v>
          </cell>
          <cell r="V402">
            <v>28.012998790000001</v>
          </cell>
          <cell r="W402">
            <v>28.495760860000001</v>
          </cell>
          <cell r="X402">
            <v>28.98070233</v>
          </cell>
          <cell r="Y402">
            <v>29.467321070000001</v>
          </cell>
          <cell r="Z402">
            <v>29.936491530000001</v>
          </cell>
          <cell r="AA402">
            <v>30.417009090000001</v>
          </cell>
          <cell r="AB402">
            <v>30.902197040000001</v>
          </cell>
          <cell r="AC402">
            <v>31.391136150000001</v>
          </cell>
          <cell r="AD402">
            <v>31.883978469999999</v>
          </cell>
          <cell r="AE402">
            <v>32.326190410000002</v>
          </cell>
          <cell r="AF402">
            <v>32.774721710000001</v>
          </cell>
          <cell r="AG402">
            <v>33.223870990000002</v>
          </cell>
          <cell r="AH402">
            <v>33.674151690000002</v>
          </cell>
          <cell r="AI402">
            <v>34.127080470000003</v>
          </cell>
          <cell r="AJ402">
            <v>34.584123490000003</v>
          </cell>
          <cell r="AK402">
            <v>35.046147429999998</v>
          </cell>
          <cell r="AL402">
            <v>35.514553739999997</v>
          </cell>
          <cell r="AM402">
            <v>35.990101359999997</v>
          </cell>
          <cell r="AN402">
            <v>36.473298040000003</v>
          </cell>
          <cell r="AO402">
            <v>36.964478059999998</v>
          </cell>
          <cell r="AP402">
            <v>37.447362849999998</v>
          </cell>
          <cell r="AQ402">
            <v>37.93297999</v>
          </cell>
          <cell r="AR402">
            <v>38.423702259999999</v>
          </cell>
          <cell r="AS402">
            <v>38.920462970000003</v>
          </cell>
          <cell r="AT402">
            <v>39.423825229999998</v>
          </cell>
          <cell r="AU402">
            <v>39.933637130000001</v>
          </cell>
          <cell r="AV402">
            <v>40.450877249999998</v>
          </cell>
          <cell r="AW402">
            <v>40.975797749999998</v>
          </cell>
          <cell r="AX402">
            <v>41.508491040000003</v>
          </cell>
          <cell r="AY402">
            <v>42.048968180000003</v>
          </cell>
          <cell r="AZ402">
            <v>42.596479129999999</v>
          </cell>
          <cell r="BA402">
            <v>43.152839649999997</v>
          </cell>
          <cell r="BB402">
            <v>43.71805114</v>
          </cell>
          <cell r="BC402">
            <v>44.291892670000003</v>
          </cell>
          <cell r="BD402">
            <v>44.8740928</v>
          </cell>
          <cell r="BE402">
            <v>51.378890849999998</v>
          </cell>
          <cell r="BF402">
            <v>52.228503259999997</v>
          </cell>
          <cell r="BG402">
            <v>53.091033299999999</v>
          </cell>
          <cell r="BH402">
            <v>53.966871159999997</v>
          </cell>
          <cell r="BI402">
            <v>54.856396529999998</v>
          </cell>
        </row>
        <row r="414">
          <cell r="F414">
            <v>64.301440170000006</v>
          </cell>
          <cell r="G414">
            <v>64.244438369999997</v>
          </cell>
          <cell r="H414">
            <v>63.979054079999997</v>
          </cell>
          <cell r="I414">
            <v>63.707653290000003</v>
          </cell>
          <cell r="J414">
            <v>63.482470319999997</v>
          </cell>
          <cell r="K414">
            <v>63.33626314</v>
          </cell>
          <cell r="L414">
            <v>63.253989879999999</v>
          </cell>
          <cell r="M414">
            <v>63.230666929999998</v>
          </cell>
          <cell r="N414">
            <v>63.252706680000003</v>
          </cell>
          <cell r="O414">
            <v>63.306551370000001</v>
          </cell>
          <cell r="P414">
            <v>63.411263249999998</v>
          </cell>
          <cell r="Q414">
            <v>63.51618208</v>
          </cell>
          <cell r="R414">
            <v>63.624458619999999</v>
          </cell>
          <cell r="S414">
            <v>63.736656089999997</v>
          </cell>
          <cell r="T414">
            <v>63.852380830000001</v>
          </cell>
          <cell r="U414">
            <v>63.970976999999998</v>
          </cell>
          <cell r="V414">
            <v>64.091795379999994</v>
          </cell>
          <cell r="W414">
            <v>64.214278669999999</v>
          </cell>
          <cell r="X414">
            <v>64.337973910000002</v>
          </cell>
          <cell r="Y414">
            <v>64.462521330000001</v>
          </cell>
          <cell r="Z414">
            <v>64.568139380000005</v>
          </cell>
          <cell r="AA414">
            <v>64.683683700000003</v>
          </cell>
          <cell r="AB414">
            <v>64.803930449999996</v>
          </cell>
          <cell r="AC414">
            <v>64.926449009999999</v>
          </cell>
          <cell r="AD414">
            <v>65.050136649999999</v>
          </cell>
          <cell r="AE414">
            <v>65.121097649999996</v>
          </cell>
          <cell r="AF414">
            <v>65.193553129999998</v>
          </cell>
          <cell r="AG414">
            <v>65.265840030000007</v>
          </cell>
          <cell r="AH414">
            <v>65.337381339999993</v>
          </cell>
          <cell r="AI414">
            <v>65.407922540000001</v>
          </cell>
          <cell r="AJ414">
            <v>65.477596669999997</v>
          </cell>
          <cell r="AK414">
            <v>65.546739619999997</v>
          </cell>
          <cell r="AL414">
            <v>65.615737949999996</v>
          </cell>
          <cell r="AM414">
            <v>65.684962479999996</v>
          </cell>
          <cell r="AN414">
            <v>65.754746159999996</v>
          </cell>
          <cell r="AO414">
            <v>65.825382390000001</v>
          </cell>
          <cell r="AP414">
            <v>65.885647590000005</v>
          </cell>
          <cell r="AQ414">
            <v>65.94129762</v>
          </cell>
          <cell r="AR414">
            <v>65.995158489999994</v>
          </cell>
          <cell r="AS414">
            <v>66.048711650000001</v>
          </cell>
          <cell r="AT414">
            <v>66.102831050000006</v>
          </cell>
          <cell r="AU414">
            <v>66.158102880000001</v>
          </cell>
          <cell r="AV414">
            <v>66.214952920000002</v>
          </cell>
          <cell r="AW414">
            <v>66.273683399999996</v>
          </cell>
          <cell r="AX414">
            <v>66.334417720000005</v>
          </cell>
          <cell r="AY414">
            <v>66.396858870000003</v>
          </cell>
          <cell r="AZ414">
            <v>66.460015330000004</v>
          </cell>
          <cell r="BA414">
            <v>66.519687480000002</v>
          </cell>
          <cell r="BB414">
            <v>66.572028009999997</v>
          </cell>
          <cell r="BC414">
            <v>66.623567429999994</v>
          </cell>
          <cell r="BD414">
            <v>66.679879819999996</v>
          </cell>
          <cell r="BE414">
            <v>66.181774820000001</v>
          </cell>
          <cell r="BF414">
            <v>66.315964530000002</v>
          </cell>
          <cell r="BG414">
            <v>66.452371409999998</v>
          </cell>
          <cell r="BH414">
            <v>66.591310300000004</v>
          </cell>
          <cell r="BI414">
            <v>66.732995119999998</v>
          </cell>
        </row>
        <row r="415">
          <cell r="F415">
            <v>42.52087745</v>
          </cell>
          <cell r="G415">
            <v>42.741900170000001</v>
          </cell>
          <cell r="H415">
            <v>42.617083280000003</v>
          </cell>
          <cell r="I415">
            <v>42.393360109999996</v>
          </cell>
          <cell r="J415">
            <v>42.152352610000001</v>
          </cell>
          <cell r="K415">
            <v>41.945862579999996</v>
          </cell>
          <cell r="L415">
            <v>41.773744990000004</v>
          </cell>
          <cell r="M415">
            <v>41.639066790000001</v>
          </cell>
          <cell r="N415">
            <v>41.533635479999994</v>
          </cell>
          <cell r="O415">
            <v>41.447631289999997</v>
          </cell>
          <cell r="P415">
            <v>41.39838589</v>
          </cell>
          <cell r="Q415">
            <v>41.341999030000004</v>
          </cell>
          <cell r="R415">
            <v>41.283366899999997</v>
          </cell>
          <cell r="S415">
            <v>41.224530619999996</v>
          </cell>
          <cell r="T415">
            <v>41.166291560000005</v>
          </cell>
          <cell r="U415">
            <v>41.108941180000002</v>
          </cell>
          <cell r="V415">
            <v>41.052575609999998</v>
          </cell>
          <cell r="W415">
            <v>40.99722336</v>
          </cell>
          <cell r="X415">
            <v>40.942892399999998</v>
          </cell>
          <cell r="Y415">
            <v>40.889584859999999</v>
          </cell>
          <cell r="Z415">
            <v>40.820963659999997</v>
          </cell>
          <cell r="AA415">
            <v>40.762713600000005</v>
          </cell>
          <cell r="AB415">
            <v>40.709698580000001</v>
          </cell>
          <cell r="AC415">
            <v>40.65950454</v>
          </cell>
          <cell r="AD415">
            <v>40.611042090000005</v>
          </cell>
          <cell r="AE415">
            <v>40.519310320000002</v>
          </cell>
          <cell r="AF415">
            <v>40.43322234</v>
          </cell>
          <cell r="AG415">
            <v>40.350661590000001</v>
          </cell>
          <cell r="AH415">
            <v>40.270437090000001</v>
          </cell>
          <cell r="AI415">
            <v>40.191664840000001</v>
          </cell>
          <cell r="AJ415">
            <v>40.113900940000001</v>
          </cell>
          <cell r="AK415">
            <v>40.036984310000001</v>
          </cell>
          <cell r="AL415">
            <v>39.960888329999996</v>
          </cell>
          <cell r="AM415">
            <v>39.885645850000003</v>
          </cell>
          <cell r="AN415">
            <v>39.811313520000006</v>
          </cell>
          <cell r="AO415">
            <v>39.737956090000004</v>
          </cell>
          <cell r="AP415">
            <v>39.656155149999996</v>
          </cell>
          <cell r="AQ415">
            <v>39.571360799999994</v>
          </cell>
          <cell r="AR415">
            <v>39.486072669999999</v>
          </cell>
          <cell r="AS415">
            <v>39.401410310000003</v>
          </cell>
          <cell r="AT415">
            <v>39.317875399999998</v>
          </cell>
          <cell r="AU415">
            <v>39.23569972</v>
          </cell>
          <cell r="AV415">
            <v>39.154992630000002</v>
          </cell>
          <cell r="AW415">
            <v>39.075788270000004</v>
          </cell>
          <cell r="AX415">
            <v>38.997992420000003</v>
          </cell>
          <cell r="AY415">
            <v>38.921137520000002</v>
          </cell>
          <cell r="AZ415">
            <v>38.843933540000002</v>
          </cell>
          <cell r="BA415">
            <v>38.762096130000003</v>
          </cell>
          <cell r="BB415">
            <v>38.67172309</v>
          </cell>
          <cell r="BC415">
            <v>38.579317250000003</v>
          </cell>
          <cell r="BD415">
            <v>38.490445520000002</v>
          </cell>
          <cell r="BE415">
            <v>36.670255640000001</v>
          </cell>
          <cell r="BF415">
            <v>36.60359107</v>
          </cell>
          <cell r="BG415">
            <v>36.537648270000005</v>
          </cell>
          <cell r="BH415">
            <v>36.472608630000003</v>
          </cell>
          <cell r="BI415">
            <v>36.408537789999997</v>
          </cell>
        </row>
        <row r="423">
          <cell r="F423">
            <v>21.78056273</v>
          </cell>
          <cell r="G423">
            <v>21.5025382</v>
          </cell>
          <cell r="H423">
            <v>21.361970800000002</v>
          </cell>
          <cell r="I423">
            <v>21.31429318</v>
          </cell>
          <cell r="J423">
            <v>21.33011771</v>
          </cell>
          <cell r="K423">
            <v>21.39040056</v>
          </cell>
          <cell r="L423">
            <v>21.480244890000002</v>
          </cell>
          <cell r="M423">
            <v>21.591600140000001</v>
          </cell>
          <cell r="N423">
            <v>21.719071199999998</v>
          </cell>
          <cell r="O423">
            <v>21.85892007</v>
          </cell>
          <cell r="P423">
            <v>22.012877360000001</v>
          </cell>
          <cell r="Q423">
            <v>22.17418305</v>
          </cell>
          <cell r="R423">
            <v>22.341091729999999</v>
          </cell>
          <cell r="S423">
            <v>22.512125469999997</v>
          </cell>
          <cell r="T423">
            <v>22.68608927</v>
          </cell>
          <cell r="U423">
            <v>22.862035819999999</v>
          </cell>
          <cell r="V423">
            <v>23.039219769999999</v>
          </cell>
          <cell r="W423">
            <v>23.217055309999999</v>
          </cell>
          <cell r="X423">
            <v>23.3950815</v>
          </cell>
          <cell r="Y423">
            <v>23.572936469999998</v>
          </cell>
          <cell r="Z423">
            <v>23.747175719999998</v>
          </cell>
          <cell r="AA423">
            <v>23.920970100000002</v>
          </cell>
          <cell r="AB423">
            <v>24.094231870000002</v>
          </cell>
          <cell r="AC423">
            <v>24.266944469999999</v>
          </cell>
          <cell r="AD423">
            <v>24.439094559999997</v>
          </cell>
          <cell r="AE423">
            <v>24.601787329999997</v>
          </cell>
          <cell r="AF423">
            <v>24.760330789999998</v>
          </cell>
          <cell r="AG423">
            <v>24.915178440000002</v>
          </cell>
          <cell r="AH423">
            <v>25.066944249999999</v>
          </cell>
          <cell r="AI423">
            <v>25.2162577</v>
          </cell>
          <cell r="AJ423">
            <v>25.36369573</v>
          </cell>
          <cell r="AK423">
            <v>25.509755309999999</v>
          </cell>
          <cell r="AL423">
            <v>25.65484962</v>
          </cell>
          <cell r="AM423">
            <v>25.799316620000003</v>
          </cell>
          <cell r="AN423">
            <v>25.943432640000001</v>
          </cell>
          <cell r="AO423">
            <v>26.087426300000001</v>
          </cell>
          <cell r="AP423">
            <v>26.229492449999999</v>
          </cell>
          <cell r="AQ423">
            <v>26.369936819999999</v>
          </cell>
          <cell r="AR423">
            <v>26.509085819999999</v>
          </cell>
          <cell r="AS423">
            <v>26.647301339999999</v>
          </cell>
          <cell r="AT423">
            <v>26.784955649999997</v>
          </cell>
          <cell r="AU423">
            <v>26.922403160000002</v>
          </cell>
          <cell r="AV423">
            <v>27.059960289999999</v>
          </cell>
          <cell r="AW423">
            <v>27.197895129999999</v>
          </cell>
          <cell r="AX423">
            <v>27.336425300000002</v>
          </cell>
          <cell r="AY423">
            <v>27.475721350000001</v>
          </cell>
          <cell r="AZ423">
            <v>27.616081789999999</v>
          </cell>
          <cell r="BA423">
            <v>27.757591359999999</v>
          </cell>
          <cell r="BB423">
            <v>27.900304920000004</v>
          </cell>
          <cell r="BC423">
            <v>28.044250179999999</v>
          </cell>
          <cell r="BD423">
            <v>28.189434300000002</v>
          </cell>
          <cell r="BE423">
            <v>29.511519180000001</v>
          </cell>
          <cell r="BF423">
            <v>29.712373460000002</v>
          </cell>
          <cell r="BG423">
            <v>29.91472314</v>
          </cell>
          <cell r="BH423">
            <v>30.11870167</v>
          </cell>
          <cell r="BI423">
            <v>30.324457339999999</v>
          </cell>
        </row>
        <row r="427">
          <cell r="F427">
            <v>26.37987115</v>
          </cell>
          <cell r="G427">
            <v>26.68954651</v>
          </cell>
          <cell r="H427">
            <v>27.01817612</v>
          </cell>
          <cell r="I427">
            <v>27.368658150000002</v>
          </cell>
          <cell r="J427">
            <v>27.741209659999999</v>
          </cell>
          <cell r="K427">
            <v>28.13400811</v>
          </cell>
          <cell r="L427">
            <v>28.528733840000001</v>
          </cell>
          <cell r="M427">
            <v>28.931914160000002</v>
          </cell>
          <cell r="N427">
            <v>29.343819939999999</v>
          </cell>
          <cell r="O427">
            <v>29.76361064</v>
          </cell>
          <cell r="P427">
            <v>30.217983719999999</v>
          </cell>
          <cell r="Q427">
            <v>30.662375650000001</v>
          </cell>
          <cell r="R427">
            <v>31.10769329</v>
          </cell>
          <cell r="S427">
            <v>31.55592957</v>
          </cell>
          <cell r="T427">
            <v>32.007439159999997</v>
          </cell>
          <cell r="U427">
            <v>32.462404929999998</v>
          </cell>
          <cell r="V427">
            <v>32.921099069999997</v>
          </cell>
          <cell r="W427">
            <v>33.383893200000003</v>
          </cell>
          <cell r="X427">
            <v>33.851222610000001</v>
          </cell>
          <cell r="Y427">
            <v>34.323550650000001</v>
          </cell>
          <cell r="Z427">
            <v>34.780851679999998</v>
          </cell>
          <cell r="AA427">
            <v>35.256059579999999</v>
          </cell>
          <cell r="AB427">
            <v>35.741056270000001</v>
          </cell>
          <cell r="AC427">
            <v>36.234440229999997</v>
          </cell>
          <cell r="AD427">
            <v>36.736105360000003</v>
          </cell>
          <cell r="AE427">
            <v>37.186976520000002</v>
          </cell>
          <cell r="AF427">
            <v>37.652840159999997</v>
          </cell>
          <cell r="AG427">
            <v>38.125171440000003</v>
          </cell>
          <cell r="AH427">
            <v>38.603413750000001</v>
          </cell>
          <cell r="AI427">
            <v>39.088421289999999</v>
          </cell>
          <cell r="AJ427">
            <v>39.581094669999999</v>
          </cell>
          <cell r="AK427">
            <v>40.082111329999996</v>
          </cell>
          <cell r="AL427">
            <v>40.591904810000003</v>
          </cell>
          <cell r="AM427">
            <v>41.110705840000001</v>
          </cell>
          <cell r="AN427">
            <v>41.638596270000001</v>
          </cell>
          <cell r="AO427">
            <v>42.175559499999999</v>
          </cell>
          <cell r="AP427">
            <v>42.707177559999998</v>
          </cell>
          <cell r="AQ427">
            <v>43.241588370000002</v>
          </cell>
          <cell r="AR427">
            <v>43.781027960000003</v>
          </cell>
          <cell r="AS427">
            <v>44.326505840000003</v>
          </cell>
          <cell r="AT427">
            <v>44.878725420000002</v>
          </cell>
          <cell r="AU427">
            <v>45.438246919999997</v>
          </cell>
          <cell r="AV427">
            <v>46.005509140000001</v>
          </cell>
          <cell r="AW427">
            <v>46.580835890000003</v>
          </cell>
          <cell r="AX427">
            <v>47.164449449999999</v>
          </cell>
          <cell r="AY427">
            <v>47.75649129</v>
          </cell>
          <cell r="AZ427">
            <v>48.358352060000001</v>
          </cell>
          <cell r="BA427">
            <v>48.969339869999999</v>
          </cell>
          <cell r="BB427">
            <v>49.58928006</v>
          </cell>
          <cell r="BC427">
            <v>50.218076879999998</v>
          </cell>
          <cell r="BD427">
            <v>50.855660749999998</v>
          </cell>
          <cell r="BE427">
            <v>55.493589890000003</v>
          </cell>
          <cell r="BF427">
            <v>56.373474880000003</v>
          </cell>
          <cell r="BG427">
            <v>57.26841727</v>
          </cell>
          <cell r="BH427">
            <v>58.178734579999997</v>
          </cell>
          <cell r="BI427">
            <v>59.104750869999997</v>
          </cell>
        </row>
        <row r="439">
          <cell r="F439">
            <v>4.8967256030000001</v>
          </cell>
          <cell r="G439">
            <v>4.9371381330000004</v>
          </cell>
          <cell r="H439">
            <v>4.9821183519999996</v>
          </cell>
          <cell r="I439">
            <v>5.0356536399999996</v>
          </cell>
          <cell r="J439">
            <v>5.0980337279999999</v>
          </cell>
          <cell r="K439">
            <v>5.1684125649999997</v>
          </cell>
          <cell r="L439">
            <v>5.2427701229999997</v>
          </cell>
          <cell r="M439">
            <v>5.3211436980000002</v>
          </cell>
          <cell r="N439">
            <v>5.40296237</v>
          </cell>
          <cell r="O439">
            <v>5.4876413079999997</v>
          </cell>
          <cell r="P439">
            <v>5.579664009</v>
          </cell>
          <cell r="Q439">
            <v>5.671520213</v>
          </cell>
          <cell r="R439">
            <v>5.7642180239999998</v>
          </cell>
          <cell r="S439">
            <v>5.8578144620000003</v>
          </cell>
          <cell r="T439">
            <v>5.9522154670000003</v>
          </cell>
          <cell r="U439">
            <v>6.0473505789999997</v>
          </cell>
          <cell r="V439">
            <v>6.1431971140000003</v>
          </cell>
          <cell r="W439">
            <v>6.2397721449999999</v>
          </cell>
          <cell r="X439">
            <v>6.3371204580000002</v>
          </cell>
          <cell r="Y439">
            <v>6.4353045179999997</v>
          </cell>
          <cell r="Z439">
            <v>6.5306901320000001</v>
          </cell>
          <cell r="AA439">
            <v>6.6286546739999999</v>
          </cell>
          <cell r="AB439">
            <v>6.7283058200000001</v>
          </cell>
          <cell r="AC439">
            <v>6.8295040910000004</v>
          </cell>
          <cell r="AD439">
            <v>6.9322594579999999</v>
          </cell>
          <cell r="AE439">
            <v>7.0258803680000002</v>
          </cell>
          <cell r="AF439">
            <v>7.1206103580000004</v>
          </cell>
          <cell r="AG439">
            <v>7.2157772409999996</v>
          </cell>
          <cell r="AH439">
            <v>7.3115759450000004</v>
          </cell>
          <cell r="AI439">
            <v>7.408346001</v>
          </cell>
          <cell r="AJ439">
            <v>7.5063911970000001</v>
          </cell>
          <cell r="AK439">
            <v>7.6059430250000002</v>
          </cell>
          <cell r="AL439">
            <v>7.707162963</v>
          </cell>
          <cell r="AM439">
            <v>7.8101549290000003</v>
          </cell>
          <cell r="AN439">
            <v>7.9149793620000004</v>
          </cell>
          <cell r="AO439">
            <v>8.0216660409999996</v>
          </cell>
          <cell r="AP439">
            <v>8.1276290430000007</v>
          </cell>
          <cell r="AQ439">
            <v>8.2339534580000002</v>
          </cell>
          <cell r="AR439">
            <v>8.3410495650000005</v>
          </cell>
          <cell r="AS439">
            <v>8.4491758620000006</v>
          </cell>
          <cell r="AT439">
            <v>8.5585446770000004</v>
          </cell>
          <cell r="AU439">
            <v>8.6693354649999996</v>
          </cell>
          <cell r="AV439">
            <v>8.7816934199999999</v>
          </cell>
          <cell r="AW439">
            <v>8.8957294650000005</v>
          </cell>
          <cell r="AX439">
            <v>9.0115234819999994</v>
          </cell>
          <cell r="AY439">
            <v>9.1291295219999995</v>
          </cell>
          <cell r="AZ439">
            <v>9.2488160500000003</v>
          </cell>
          <cell r="BA439">
            <v>9.3705138570000006</v>
          </cell>
          <cell r="BB439">
            <v>9.4942086480000007</v>
          </cell>
          <cell r="BC439">
            <v>9.6198788670000006</v>
          </cell>
          <cell r="BD439">
            <v>9.7475017400000006</v>
          </cell>
          <cell r="BE439">
            <v>10.78471672</v>
          </cell>
          <cell r="BF439">
            <v>10.958941790000001</v>
          </cell>
          <cell r="BG439">
            <v>11.13593225</v>
          </cell>
          <cell r="BH439">
            <v>11.315761910000001</v>
          </cell>
          <cell r="BI439">
            <v>11.498509670000001</v>
          </cell>
        </row>
        <row r="451">
          <cell r="F451">
            <v>44.244008659999999</v>
          </cell>
          <cell r="G451">
            <v>44.769815770000001</v>
          </cell>
          <cell r="H451">
            <v>45.353067879999998</v>
          </cell>
          <cell r="I451">
            <v>45.991688310000001</v>
          </cell>
          <cell r="J451">
            <v>46.683978740000001</v>
          </cell>
          <cell r="K451">
            <v>47.42537514</v>
          </cell>
          <cell r="L451">
            <v>48.179204900000002</v>
          </cell>
          <cell r="M451">
            <v>48.95718368</v>
          </cell>
          <cell r="N451">
            <v>49.757438260000001</v>
          </cell>
          <cell r="O451">
            <v>50.576470350000001</v>
          </cell>
          <cell r="P451">
            <v>51.464484419999998</v>
          </cell>
          <cell r="Q451">
            <v>52.333025550000002</v>
          </cell>
          <cell r="R451">
            <v>53.205418080000001</v>
          </cell>
          <cell r="S451">
            <v>54.084782150000002</v>
          </cell>
          <cell r="T451">
            <v>54.971196990000003</v>
          </cell>
          <cell r="U451">
            <v>55.864593300000003</v>
          </cell>
          <cell r="V451">
            <v>56.765192839999997</v>
          </cell>
          <cell r="W451">
            <v>57.673515649999999</v>
          </cell>
          <cell r="X451">
            <v>58.590312820000001</v>
          </cell>
          <cell r="Y451">
            <v>59.516491950000002</v>
          </cell>
          <cell r="Z451">
            <v>60.41330026</v>
          </cell>
          <cell r="AA451">
            <v>61.345848259999997</v>
          </cell>
          <cell r="AB451">
            <v>62.296504050000003</v>
          </cell>
          <cell r="AC451">
            <v>63.263019239999998</v>
          </cell>
          <cell r="AD451">
            <v>64.245650560000001</v>
          </cell>
          <cell r="AE451">
            <v>65.130067499999996</v>
          </cell>
          <cell r="AF451">
            <v>66.047222970000007</v>
          </cell>
          <cell r="AG451">
            <v>66.976295699999994</v>
          </cell>
          <cell r="AH451">
            <v>67.915770960000003</v>
          </cell>
          <cell r="AI451">
            <v>68.86715504</v>
          </cell>
          <cell r="AJ451">
            <v>69.832134859999996</v>
          </cell>
          <cell r="AK451">
            <v>70.81206444</v>
          </cell>
          <cell r="AL451">
            <v>71.807892319999993</v>
          </cell>
          <cell r="AM451">
            <v>72.820190330000003</v>
          </cell>
          <cell r="AN451">
            <v>73.84921301</v>
          </cell>
          <cell r="AO451">
            <v>74.894966819999993</v>
          </cell>
          <cell r="AP451">
            <v>75.929390170000005</v>
          </cell>
          <cell r="AQ451">
            <v>76.968864969999998</v>
          </cell>
          <cell r="AR451">
            <v>78.016891340000001</v>
          </cell>
          <cell r="AS451">
            <v>79.07475067</v>
          </cell>
          <cell r="AT451">
            <v>80.143301100000002</v>
          </cell>
          <cell r="AU451">
            <v>81.22325721</v>
          </cell>
          <cell r="AV451">
            <v>82.31521712</v>
          </cell>
          <cell r="AW451">
            <v>83.419659280000005</v>
          </cell>
          <cell r="AX451">
            <v>84.536947420000004</v>
          </cell>
          <cell r="AY451">
            <v>85.667348419999996</v>
          </cell>
          <cell r="AZ451">
            <v>86.813606919999998</v>
          </cell>
          <cell r="BA451">
            <v>87.974380519999997</v>
          </cell>
          <cell r="BB451">
            <v>89.149470129999997</v>
          </cell>
          <cell r="BC451">
            <v>90.338799120000004</v>
          </cell>
          <cell r="BD451">
            <v>91.542314689999998</v>
          </cell>
          <cell r="BE451">
            <v>101.9694488</v>
          </cell>
          <cell r="BF451">
            <v>103.7202384</v>
          </cell>
          <cell r="BG451">
            <v>105.4971243</v>
          </cell>
          <cell r="BH451">
            <v>107.30059749999999</v>
          </cell>
          <cell r="BI451">
            <v>109.13117939999999</v>
          </cell>
        </row>
        <row r="463">
          <cell r="F463">
            <v>22.50335888</v>
          </cell>
          <cell r="G463">
            <v>22.774689129999999</v>
          </cell>
          <cell r="H463">
            <v>23.068699509999998</v>
          </cell>
          <cell r="I463">
            <v>23.389413189999999</v>
          </cell>
          <cell r="J463">
            <v>23.73931249</v>
          </cell>
          <cell r="K463">
            <v>24.117521</v>
          </cell>
          <cell r="L463">
            <v>24.506353659999998</v>
          </cell>
          <cell r="M463">
            <v>24.90974654</v>
          </cell>
          <cell r="N463">
            <v>25.32621091</v>
          </cell>
          <cell r="O463">
            <v>25.753605199999999</v>
          </cell>
          <cell r="P463">
            <v>26.216011760000001</v>
          </cell>
          <cell r="Q463">
            <v>26.672396259999999</v>
          </cell>
          <cell r="R463">
            <v>27.13121065</v>
          </cell>
          <cell r="S463">
            <v>27.593303129999999</v>
          </cell>
          <cell r="T463">
            <v>28.05837249</v>
          </cell>
          <cell r="U463">
            <v>28.526130469999998</v>
          </cell>
          <cell r="V463">
            <v>28.996476489999999</v>
          </cell>
          <cell r="W463">
            <v>29.469488200000001</v>
          </cell>
          <cell r="X463">
            <v>29.945383450000001</v>
          </cell>
          <cell r="Y463">
            <v>30.424483179999999</v>
          </cell>
          <cell r="Z463">
            <v>30.88770199</v>
          </cell>
          <cell r="AA463">
            <v>31.365087469999999</v>
          </cell>
          <cell r="AB463">
            <v>31.849861140000002</v>
          </cell>
          <cell r="AC463">
            <v>32.341159439999998</v>
          </cell>
          <cell r="AD463">
            <v>32.839138200000001</v>
          </cell>
          <cell r="AE463">
            <v>33.287692180000001</v>
          </cell>
          <cell r="AF463">
            <v>33.746018820000003</v>
          </cell>
          <cell r="AG463">
            <v>34.206947820000003</v>
          </cell>
          <cell r="AH463">
            <v>34.670629210000001</v>
          </cell>
          <cell r="AI463">
            <v>35.138377980000001</v>
          </cell>
          <cell r="AJ463">
            <v>35.611491460000003</v>
          </cell>
          <cell r="AK463">
            <v>36.091023180000001</v>
          </cell>
          <cell r="AL463">
            <v>36.577762960000001</v>
          </cell>
          <cell r="AM463">
            <v>37.072266290000002</v>
          </cell>
          <cell r="AN463">
            <v>37.574895550000001</v>
          </cell>
          <cell r="AO463">
            <v>38.085862329999998</v>
          </cell>
          <cell r="AP463">
            <v>38.591610680000002</v>
          </cell>
          <cell r="AQ463">
            <v>39.099130010000003</v>
          </cell>
          <cell r="AR463">
            <v>39.610352460000001</v>
          </cell>
          <cell r="AS463">
            <v>40.12626942</v>
          </cell>
          <cell r="AT463">
            <v>40.647653949999999</v>
          </cell>
          <cell r="AU463">
            <v>41.175165440000001</v>
          </cell>
          <cell r="AV463">
            <v>41.709353630000003</v>
          </cell>
          <cell r="AW463">
            <v>42.250657539999999</v>
          </cell>
          <cell r="AX463">
            <v>42.799413790000003</v>
          </cell>
          <cell r="AY463">
            <v>43.355873629999998</v>
          </cell>
          <cell r="AZ463">
            <v>43.921469700000003</v>
          </cell>
          <cell r="BA463">
            <v>44.4957402</v>
          </cell>
          <cell r="BB463">
            <v>45.07864541</v>
          </cell>
          <cell r="BC463">
            <v>45.670144190000002</v>
          </cell>
          <cell r="BD463">
            <v>46.270179089999999</v>
          </cell>
          <cell r="BE463">
            <v>51.382038950000002</v>
          </cell>
          <cell r="BF463">
            <v>52.22979488</v>
          </cell>
          <cell r="BG463">
            <v>53.09019361</v>
          </cell>
          <cell r="BH463">
            <v>53.963593869999997</v>
          </cell>
          <cell r="BI463">
            <v>54.850373390000001</v>
          </cell>
        </row>
        <row r="1365">
          <cell r="E1365" t="str">
            <v>100*(GDP_2/GDP_0-1)</v>
          </cell>
          <cell r="F1365">
            <v>-1.3806021979057337</v>
          </cell>
          <cell r="G1365">
            <v>-1.7480486286687191</v>
          </cell>
          <cell r="H1365">
            <v>-2.0891661472786871</v>
          </cell>
          <cell r="I1365">
            <v>-2.3845793038393404</v>
          </cell>
          <cell r="J1365">
            <v>-2.641080340774693</v>
          </cell>
          <cell r="K1365">
            <v>-2.8674419026982645</v>
          </cell>
          <cell r="L1365">
            <v>-3.0732049106733994</v>
          </cell>
          <cell r="M1365">
            <v>-3.2620496645927366</v>
          </cell>
          <cell r="N1365">
            <v>-3.4382447698241725</v>
          </cell>
          <cell r="O1365">
            <v>-3.6053091816805383</v>
          </cell>
          <cell r="P1365">
            <v>-3.8605332841323614</v>
          </cell>
          <cell r="Q1365">
            <v>-3.9729931402567087</v>
          </cell>
          <cell r="R1365">
            <v>-4.0730645930684206</v>
          </cell>
          <cell r="S1365">
            <v>-4.1612842658112159</v>
          </cell>
          <cell r="T1365">
            <v>-4.2405890614810922</v>
          </cell>
          <cell r="U1365">
            <v>-4.3137536103815766</v>
          </cell>
          <cell r="V1365">
            <v>-4.3878096041695898</v>
          </cell>
          <cell r="W1365">
            <v>-4.4611063157367408</v>
          </cell>
          <cell r="X1365">
            <v>-4.5351085377838496</v>
          </cell>
          <cell r="Y1365">
            <v>-4.6108494006062202</v>
          </cell>
          <cell r="Z1365">
            <v>-4.6892738198556883</v>
          </cell>
          <cell r="AA1365">
            <v>-4.7702100401025511</v>
          </cell>
          <cell r="AB1365">
            <v>-4.8541150572132157</v>
          </cell>
          <cell r="AC1365">
            <v>-4.9410902134095718</v>
          </cell>
          <cell r="AD1365">
            <v>-5.0310152897432463</v>
          </cell>
          <cell r="AE1365">
            <v>-5.1240634534562846</v>
          </cell>
          <cell r="AF1365">
            <v>-5.2170075163591401</v>
          </cell>
          <cell r="AG1365">
            <v>-5.3111987688361122</v>
          </cell>
          <cell r="AH1365">
            <v>-5.4064971725801936</v>
          </cell>
          <cell r="AI1365">
            <v>-5.5027429449865277</v>
          </cell>
          <cell r="AJ1365">
            <v>-5.5997344016054162</v>
          </cell>
          <cell r="AK1365">
            <v>-5.6961288349583583</v>
          </cell>
          <cell r="AL1365">
            <v>-5.7925701399403451</v>
          </cell>
          <cell r="AM1365">
            <v>-5.8889061572018235</v>
          </cell>
          <cell r="AN1365">
            <v>-5.9850274064450755</v>
          </cell>
          <cell r="AO1365">
            <v>-6.0808439463491348</v>
          </cell>
          <cell r="AP1365">
            <v>-6.1664061587992425</v>
          </cell>
          <cell r="AQ1365">
            <v>-6.24937237998261</v>
          </cell>
          <cell r="AR1365">
            <v>-6.3301235386888592</v>
          </cell>
          <cell r="AS1365">
            <v>-6.4092469543638781</v>
          </cell>
          <cell r="AT1365">
            <v>-6.487227670656404</v>
          </cell>
          <cell r="AU1365">
            <v>-6.5628351790368082</v>
          </cell>
          <cell r="AV1365">
            <v>-6.6375475313916299</v>
          </cell>
          <cell r="AW1365">
            <v>-6.7116454172487572</v>
          </cell>
          <cell r="AX1365">
            <v>-6.7853971166916498</v>
          </cell>
          <cell r="AY1365">
            <v>-6.859029758116808</v>
          </cell>
          <cell r="AZ1365">
            <v>-6.9274087709707661</v>
          </cell>
          <cell r="BA1365">
            <v>-6.9947916420658558</v>
          </cell>
          <cell r="BB1365">
            <v>-7.0616110227255451</v>
          </cell>
          <cell r="BC1365">
            <v>-7.1283018366647184</v>
          </cell>
          <cell r="BD1365">
            <v>-7.1951879397782914</v>
          </cell>
          <cell r="BE1365">
            <v>-0.17309504926293906</v>
          </cell>
          <cell r="BF1365">
            <v>-0.17504737969170625</v>
          </cell>
          <cell r="BG1365">
            <v>-0.17671713472687811</v>
          </cell>
          <cell r="BH1365">
            <v>-0.17817411467598854</v>
          </cell>
          <cell r="BI1365">
            <v>-0.17947550510799548</v>
          </cell>
        </row>
        <row r="1366">
          <cell r="C1366" t="str">
            <v>VA du secteur marchand</v>
          </cell>
          <cell r="E1366" t="str">
            <v>100*((VA_2-VA_spub_2)/(VA_0-VA_spub_0)-1)</v>
          </cell>
          <cell r="F1366">
            <v>-1.7289580780226022</v>
          </cell>
          <cell r="G1366">
            <v>-2.1327121367738844</v>
          </cell>
          <cell r="H1366">
            <v>-2.5154357591840593</v>
          </cell>
          <cell r="I1366">
            <v>-2.8478509097257354</v>
          </cell>
          <cell r="J1366">
            <v>-3.1376248570160747</v>
          </cell>
          <cell r="K1366">
            <v>-3.3948313604399982</v>
          </cell>
          <cell r="L1366">
            <v>-3.6303249428897288</v>
          </cell>
          <cell r="M1366">
            <v>-3.848165286735572</v>
          </cell>
          <cell r="N1366">
            <v>-4.0530379633150204</v>
          </cell>
          <cell r="O1366">
            <v>-4.2487671080824407</v>
          </cell>
          <cell r="P1366">
            <v>-4.5574485297263152</v>
          </cell>
          <cell r="Q1366">
            <v>-4.6837028241965335</v>
          </cell>
          <cell r="R1366">
            <v>-4.7993751030252385</v>
          </cell>
          <cell r="S1366">
            <v>-4.9038139263515301</v>
          </cell>
          <cell r="T1366">
            <v>-5.0000864824296221</v>
          </cell>
          <cell r="U1366">
            <v>-5.0911169279335367</v>
          </cell>
          <cell r="V1366">
            <v>-5.1852272012558593</v>
          </cell>
          <cell r="W1366">
            <v>-5.2796121868738721</v>
          </cell>
          <cell r="X1366">
            <v>-5.3757150201156678</v>
          </cell>
          <cell r="Y1366">
            <v>-5.4744849437697969</v>
          </cell>
          <cell r="Z1366">
            <v>-5.5764817647154015</v>
          </cell>
          <cell r="AA1366">
            <v>-5.6821245158808598</v>
          </cell>
          <cell r="AB1366">
            <v>-5.7912371277814128</v>
          </cell>
          <cell r="AC1366">
            <v>-5.9038304422447947</v>
          </cell>
          <cell r="AD1366">
            <v>-6.0196616431063443</v>
          </cell>
          <cell r="AE1366">
            <v>-6.1379223519360426</v>
          </cell>
          <cell r="AF1366">
            <v>-6.2565471760378299</v>
          </cell>
          <cell r="AG1366">
            <v>-6.3763813296935261</v>
          </cell>
          <cell r="AH1366">
            <v>-6.4972115262962316</v>
          </cell>
          <cell r="AI1366">
            <v>-6.6188011006556025</v>
          </cell>
          <cell r="AJ1366">
            <v>-6.7408841882241166</v>
          </cell>
          <cell r="AK1366">
            <v>-6.8617754912128071</v>
          </cell>
          <cell r="AL1366">
            <v>-6.9823551224675651</v>
          </cell>
          <cell r="AM1366">
            <v>-7.1024474215318651</v>
          </cell>
          <cell r="AN1366">
            <v>-7.221940717503772</v>
          </cell>
          <cell r="AO1366">
            <v>-7.3407539022667496</v>
          </cell>
          <cell r="AP1366">
            <v>-7.4461443702983132</v>
          </cell>
          <cell r="AQ1366">
            <v>-7.5485748789418388</v>
          </cell>
          <cell r="AR1366">
            <v>-7.6483881184838731</v>
          </cell>
          <cell r="AS1366">
            <v>-7.7462436421412706</v>
          </cell>
          <cell r="AT1366">
            <v>-7.8426992115223193</v>
          </cell>
          <cell r="AU1366">
            <v>-7.9361704898806895</v>
          </cell>
          <cell r="AV1366">
            <v>-8.0285613576037136</v>
          </cell>
          <cell r="AW1366">
            <v>-8.1201884281905894</v>
          </cell>
          <cell r="AX1366">
            <v>-8.2113635882205323</v>
          </cell>
          <cell r="AY1366">
            <v>-8.3023541832075942</v>
          </cell>
          <cell r="AZ1366">
            <v>-8.3867004684735953</v>
          </cell>
          <cell r="BA1366">
            <v>-8.4699262073786308</v>
          </cell>
          <cell r="BB1366">
            <v>-8.5524997136118728</v>
          </cell>
          <cell r="BC1366">
            <v>-8.6349052827492283</v>
          </cell>
          <cell r="BD1366">
            <v>-8.7175100997931469</v>
          </cell>
          <cell r="BE1366">
            <v>-0.23572931163051702</v>
          </cell>
          <cell r="BF1366">
            <v>-0.23913277799035848</v>
          </cell>
          <cell r="BG1366">
            <v>-0.24217281316902817</v>
          </cell>
          <cell r="BH1366">
            <v>-0.24492995704027409</v>
          </cell>
          <cell r="BI1366">
            <v>-0.24747210843392153</v>
          </cell>
        </row>
        <row r="1367">
          <cell r="E1367" t="str">
            <v>100*((CH_2-CH_0)/GDP_0)</v>
          </cell>
          <cell r="F1367">
            <v>-0.26084051361275862</v>
          </cell>
          <cell r="G1367">
            <v>-0.56986654690874505</v>
          </cell>
          <cell r="H1367">
            <v>-0.85535180629911833</v>
          </cell>
          <cell r="I1367">
            <v>-1.1010415435942271</v>
          </cell>
          <cell r="J1367">
            <v>-1.3077706265025109</v>
          </cell>
          <cell r="K1367">
            <v>-1.4808348172615882</v>
          </cell>
          <cell r="L1367">
            <v>-1.6270032227517983</v>
          </cell>
          <cell r="M1367">
            <v>-1.7506739022224129</v>
          </cell>
          <cell r="N1367">
            <v>-1.856221762569048</v>
          </cell>
          <cell r="O1367">
            <v>-1.9474083846869799</v>
          </cell>
          <cell r="P1367">
            <v>-2.0422783141977896</v>
          </cell>
          <cell r="Q1367">
            <v>-2.1227808240604373</v>
          </cell>
          <cell r="R1367">
            <v>-2.1829428978910967</v>
          </cell>
          <cell r="S1367">
            <v>-2.2238482021034591</v>
          </cell>
          <cell r="T1367">
            <v>-2.2482338369962251</v>
          </cell>
          <cell r="U1367">
            <v>-2.2592596570673265</v>
          </cell>
          <cell r="V1367">
            <v>-2.2610197524325812</v>
          </cell>
          <cell r="W1367">
            <v>-2.2565153824835931</v>
          </cell>
          <cell r="X1367">
            <v>-2.2481370449722631</v>
          </cell>
          <cell r="Y1367">
            <v>-2.2378459791117549</v>
          </cell>
          <cell r="Z1367">
            <v>-2.2279453916319967</v>
          </cell>
          <cell r="AA1367">
            <v>-2.217764918075809</v>
          </cell>
          <cell r="AB1367">
            <v>-2.2094213088036239</v>
          </cell>
          <cell r="AC1367">
            <v>-2.2036419992038971</v>
          </cell>
          <cell r="AD1367">
            <v>-2.2008803701924382</v>
          </cell>
          <cell r="AE1367">
            <v>-2.2032338554309039</v>
          </cell>
          <cell r="AF1367">
            <v>-2.2062323165924851</v>
          </cell>
          <cell r="AG1367">
            <v>-2.2115352268055983</v>
          </cell>
          <cell r="AH1367">
            <v>-2.2193841977120234</v>
          </cell>
          <cell r="AI1367">
            <v>-2.2299171803824134</v>
          </cell>
          <cell r="AJ1367">
            <v>-2.243141443758744</v>
          </cell>
          <cell r="AK1367">
            <v>-2.2587346826782104</v>
          </cell>
          <cell r="AL1367">
            <v>-2.2765400250558145</v>
          </cell>
          <cell r="AM1367">
            <v>-2.2964355593146908</v>
          </cell>
          <cell r="AN1367">
            <v>-2.3182869371577293</v>
          </cell>
          <cell r="AO1367">
            <v>-2.3419425011084631</v>
          </cell>
          <cell r="AP1367">
            <v>-2.365575008311211</v>
          </cell>
          <cell r="AQ1367">
            <v>-2.3882937084663567</v>
          </cell>
          <cell r="AR1367">
            <v>-2.4105032417867553</v>
          </cell>
          <cell r="AS1367">
            <v>-2.432662208873114</v>
          </cell>
          <cell r="AT1367">
            <v>-2.4551016549178271</v>
          </cell>
          <cell r="AU1367">
            <v>-2.4776972547052969</v>
          </cell>
          <cell r="AV1367">
            <v>-2.500567477422865</v>
          </cell>
          <cell r="AW1367">
            <v>-2.523883809162236</v>
          </cell>
          <cell r="AX1367">
            <v>-2.5477973993989123</v>
          </cell>
          <cell r="AY1367">
            <v>-2.5724247330777339</v>
          </cell>
          <cell r="AZ1367">
            <v>-2.5967203869770881</v>
          </cell>
          <cell r="BA1367">
            <v>-2.6208059576648419</v>
          </cell>
          <cell r="BB1367">
            <v>-2.6450429433361533</v>
          </cell>
          <cell r="BC1367">
            <v>-2.6697551253873284</v>
          </cell>
          <cell r="BD1367">
            <v>-2.6951516976946661</v>
          </cell>
          <cell r="BE1367">
            <v>2.4627260846567238E-2</v>
          </cell>
          <cell r="BF1367">
            <v>2.6598171712759654E-2</v>
          </cell>
          <cell r="BG1367">
            <v>2.8484324639781216E-2</v>
          </cell>
          <cell r="BH1367">
            <v>3.0234981441569546E-2</v>
          </cell>
          <cell r="BI1367">
            <v>3.1819722090826522E-2</v>
          </cell>
        </row>
        <row r="1368">
          <cell r="C1368" t="str">
            <v>Consommation des ménages automobile</v>
          </cell>
          <cell r="E1368" t="str">
            <v>100*((CH_cveh_2-CH_cveh_0)/GDP_0)</v>
          </cell>
          <cell r="F1368">
            <v>-2.246902256306718E-4</v>
          </cell>
          <cell r="G1368">
            <v>-2.0313643083955116E-2</v>
          </cell>
          <cell r="H1368">
            <v>-4.3962160632031046E-2</v>
          </cell>
          <cell r="I1368">
            <v>-6.3559479076297346E-2</v>
          </cell>
          <cell r="J1368">
            <v>-7.7337656280045131E-2</v>
          </cell>
          <cell r="K1368">
            <v>-8.5887527134391142E-2</v>
          </cell>
          <cell r="L1368">
            <v>-9.0600147337455972E-2</v>
          </cell>
          <cell r="M1368">
            <v>-9.2715750863766128E-2</v>
          </cell>
          <cell r="N1368">
            <v>-9.3251667513658223E-2</v>
          </cell>
          <cell r="O1368">
            <v>-9.292576363281066E-2</v>
          </cell>
          <cell r="P1368">
            <v>-9.4073317533274622E-2</v>
          </cell>
          <cell r="Q1368">
            <v>-9.3713840578852833E-2</v>
          </cell>
          <cell r="R1368">
            <v>-9.1696813659736712E-2</v>
          </cell>
          <cell r="S1368">
            <v>-8.8502864386049707E-2</v>
          </cell>
          <cell r="T1368">
            <v>-8.4602375517199041E-2</v>
          </cell>
          <cell r="U1368">
            <v>-8.0375595840023809E-2</v>
          </cell>
          <cell r="V1368">
            <v>-7.6198611804836336E-2</v>
          </cell>
          <cell r="W1368">
            <v>-7.2273085331644518E-2</v>
          </cell>
          <cell r="X1368">
            <v>-6.8702786653007775E-2</v>
          </cell>
          <cell r="Y1368">
            <v>-6.5541541236898981E-2</v>
          </cell>
          <cell r="Z1368">
            <v>-6.2822437667118813E-2</v>
          </cell>
          <cell r="AA1368">
            <v>-6.0483452983500101E-2</v>
          </cell>
          <cell r="AB1368">
            <v>-5.8551193893869508E-2</v>
          </cell>
          <cell r="AC1368">
            <v>-5.6994691706826986E-2</v>
          </cell>
          <cell r="AD1368">
            <v>-5.5771542339132694E-2</v>
          </cell>
          <cell r="AE1368">
            <v>-5.4870964968379544E-2</v>
          </cell>
          <cell r="AF1368">
            <v>-5.4086223258403461E-2</v>
          </cell>
          <cell r="AG1368">
            <v>-5.3464892376374612E-2</v>
          </cell>
          <cell r="AH1368">
            <v>-5.3011513077419352E-2</v>
          </cell>
          <cell r="AI1368">
            <v>-5.2712224342529215E-2</v>
          </cell>
          <cell r="AJ1368">
            <v>-5.2541028126644157E-2</v>
          </cell>
          <cell r="AK1368">
            <v>-5.2449674311959751E-2</v>
          </cell>
          <cell r="AL1368">
            <v>-5.2413171044165846E-2</v>
          </cell>
          <cell r="AM1368">
            <v>-5.2415661880932822E-2</v>
          </cell>
          <cell r="AN1368">
            <v>-5.2441508842183127E-2</v>
          </cell>
          <cell r="AO1368">
            <v>-5.2474773265788248E-2</v>
          </cell>
          <cell r="AP1368">
            <v>-5.2349863944310064E-2</v>
          </cell>
          <cell r="AQ1368">
            <v>-5.2060653329629836E-2</v>
          </cell>
          <cell r="AR1368">
            <v>-5.1681512363426427E-2</v>
          </cell>
          <cell r="AS1368">
            <v>-5.1260413694624314E-2</v>
          </cell>
          <cell r="AT1368">
            <v>-5.0812991500870805E-2</v>
          </cell>
          <cell r="AU1368">
            <v>-5.0312866410764143E-2</v>
          </cell>
          <cell r="AV1368">
            <v>-4.9757542721447091E-2</v>
          </cell>
          <cell r="AW1368">
            <v>-4.9152953504381813E-2</v>
          </cell>
          <cell r="AX1368">
            <v>-4.8502043375904226E-2</v>
          </cell>
          <cell r="AY1368">
            <v>-4.7804063918067206E-2</v>
          </cell>
          <cell r="AZ1368">
            <v>-4.6976737681631124E-2</v>
          </cell>
          <cell r="BA1368">
            <v>-4.6034514960923693E-2</v>
          </cell>
          <cell r="BB1368">
            <v>-4.5014782661684273E-2</v>
          </cell>
          <cell r="BC1368">
            <v>-4.3935767884013273E-2</v>
          </cell>
          <cell r="BD1368">
            <v>-4.2797247730576735E-2</v>
          </cell>
          <cell r="BE1368">
            <v>6.2562576488679683E-3</v>
          </cell>
          <cell r="BF1368">
            <v>6.4977563843595931E-3</v>
          </cell>
          <cell r="BG1368">
            <v>6.7405093711651069E-3</v>
          </cell>
          <cell r="BH1368">
            <v>6.9831096687923509E-3</v>
          </cell>
          <cell r="BI1368">
            <v>7.2267607524996134E-3</v>
          </cell>
        </row>
        <row r="1369">
          <cell r="C1369" t="str">
            <v>Dépenses publiques</v>
          </cell>
          <cell r="E1369" t="str">
            <v>100*((G_2-G_0)/GDP_0)</v>
          </cell>
          <cell r="F1369">
            <v>0</v>
          </cell>
          <cell r="G1369">
            <v>0</v>
          </cell>
          <cell r="H1369">
            <v>0</v>
          </cell>
          <cell r="I1369">
            <v>0</v>
          </cell>
          <cell r="J1369">
            <v>0</v>
          </cell>
          <cell r="K1369">
            <v>0</v>
          </cell>
          <cell r="L1369">
            <v>0</v>
          </cell>
          <cell r="M1369">
            <v>0</v>
          </cell>
          <cell r="N1369">
            <v>0</v>
          </cell>
          <cell r="O1369">
            <v>0</v>
          </cell>
          <cell r="P1369">
            <v>0</v>
          </cell>
          <cell r="Q1369">
            <v>0</v>
          </cell>
          <cell r="R1369">
            <v>0</v>
          </cell>
          <cell r="S1369">
            <v>0</v>
          </cell>
          <cell r="T1369">
            <v>0</v>
          </cell>
          <cell r="U1369">
            <v>0</v>
          </cell>
          <cell r="V1369">
            <v>0</v>
          </cell>
          <cell r="W1369">
            <v>0</v>
          </cell>
          <cell r="X1369">
            <v>0</v>
          </cell>
          <cell r="Y1369">
            <v>0</v>
          </cell>
          <cell r="Z1369">
            <v>0</v>
          </cell>
          <cell r="AA1369">
            <v>0</v>
          </cell>
          <cell r="AB1369">
            <v>0</v>
          </cell>
          <cell r="AC1369">
            <v>0</v>
          </cell>
          <cell r="AD1369">
            <v>0</v>
          </cell>
          <cell r="AE1369">
            <v>0</v>
          </cell>
          <cell r="AF1369">
            <v>0</v>
          </cell>
          <cell r="AG1369">
            <v>0</v>
          </cell>
          <cell r="AH1369">
            <v>0</v>
          </cell>
          <cell r="AI1369">
            <v>0</v>
          </cell>
          <cell r="AJ1369">
            <v>0</v>
          </cell>
          <cell r="AK1369">
            <v>0</v>
          </cell>
          <cell r="AL1369">
            <v>0</v>
          </cell>
          <cell r="AM1369">
            <v>0</v>
          </cell>
          <cell r="AN1369">
            <v>0</v>
          </cell>
          <cell r="AO1369">
            <v>0</v>
          </cell>
          <cell r="AP1369">
            <v>0</v>
          </cell>
          <cell r="AQ1369">
            <v>0</v>
          </cell>
          <cell r="AR1369">
            <v>0</v>
          </cell>
          <cell r="AS1369">
            <v>0</v>
          </cell>
          <cell r="AT1369">
            <v>0</v>
          </cell>
          <cell r="AU1369">
            <v>0</v>
          </cell>
          <cell r="AV1369">
            <v>0</v>
          </cell>
          <cell r="AW1369">
            <v>0</v>
          </cell>
          <cell r="AX1369">
            <v>0</v>
          </cell>
          <cell r="AY1369">
            <v>0</v>
          </cell>
          <cell r="AZ1369">
            <v>0</v>
          </cell>
          <cell r="BA1369">
            <v>0</v>
          </cell>
          <cell r="BB1369">
            <v>0</v>
          </cell>
          <cell r="BC1369">
            <v>0</v>
          </cell>
          <cell r="BD1369">
            <v>0</v>
          </cell>
          <cell r="BE1369">
            <v>0</v>
          </cell>
          <cell r="BF1369">
            <v>0</v>
          </cell>
          <cell r="BG1369">
            <v>0</v>
          </cell>
          <cell r="BH1369">
            <v>0</v>
          </cell>
          <cell r="BI1369">
            <v>0</v>
          </cell>
        </row>
        <row r="1370">
          <cell r="E1370" t="str">
            <v>100*((I_2-I_0)/GDP_0)</v>
          </cell>
          <cell r="F1370">
            <v>-0.20720769836062941</v>
          </cell>
          <cell r="G1370">
            <v>-0.34975774694658385</v>
          </cell>
          <cell r="H1370">
            <v>-0.45567748225170496</v>
          </cell>
          <cell r="I1370">
            <v>-0.54323470445198629</v>
          </cell>
          <cell r="J1370">
            <v>-0.62139902432301153</v>
          </cell>
          <cell r="K1370">
            <v>-0.69469958891119155</v>
          </cell>
          <cell r="L1370">
            <v>-0.76598034574279872</v>
          </cell>
          <cell r="M1370">
            <v>-0.83603609047494776</v>
          </cell>
          <cell r="N1370">
            <v>-0.90539543848295378</v>
          </cell>
          <cell r="O1370">
            <v>-0.97433643723151309</v>
          </cell>
          <cell r="P1370">
            <v>-1.056704165432385</v>
          </cell>
          <cell r="Q1370">
            <v>-1.1247289715919171</v>
          </cell>
          <cell r="R1370">
            <v>-1.1844958939778991</v>
          </cell>
          <cell r="S1370">
            <v>-1.2397864182881038</v>
          </cell>
          <cell r="T1370">
            <v>-1.2922338537059626</v>
          </cell>
          <cell r="U1370">
            <v>-1.3425152740808974</v>
          </cell>
          <cell r="V1370">
            <v>-1.3915905760590102</v>
          </cell>
          <cell r="W1370">
            <v>-1.439382464778032</v>
          </cell>
          <cell r="X1370">
            <v>-1.4858517492713768</v>
          </cell>
          <cell r="Y1370">
            <v>-1.5309944427713542</v>
          </cell>
          <cell r="Z1370">
            <v>-1.5753163852542686</v>
          </cell>
          <cell r="AA1370">
            <v>-1.6176674266682081</v>
          </cell>
          <cell r="AB1370">
            <v>-1.6587325838919365</v>
          </cell>
          <cell r="AC1370">
            <v>-1.6984840421365215</v>
          </cell>
          <cell r="AD1370">
            <v>-1.7369054940588644</v>
          </cell>
          <cell r="AE1370">
            <v>-1.7754662742539971</v>
          </cell>
          <cell r="AF1370">
            <v>-1.8110815589888145</v>
          </cell>
          <cell r="AG1370">
            <v>-1.8449566410766833</v>
          </cell>
          <cell r="AH1370">
            <v>-1.8770932353679117</v>
          </cell>
          <cell r="AI1370">
            <v>-1.9075103686820365</v>
          </cell>
          <cell r="AJ1370">
            <v>-1.9362340137388641</v>
          </cell>
          <cell r="AK1370">
            <v>-1.9631286075313708</v>
          </cell>
          <cell r="AL1370">
            <v>-1.9882791098915256</v>
          </cell>
          <cell r="AM1370">
            <v>-2.0117595559710346</v>
          </cell>
          <cell r="AN1370">
            <v>-2.0336398060792513</v>
          </cell>
          <cell r="AO1370">
            <v>-2.053990237591711</v>
          </cell>
          <cell r="AP1370">
            <v>-2.0717644705002374</v>
          </cell>
          <cell r="AQ1370">
            <v>-2.0870275780305314</v>
          </cell>
          <cell r="AR1370">
            <v>-2.1002023493702571</v>
          </cell>
          <cell r="AS1370">
            <v>-2.1115936081285489</v>
          </cell>
          <cell r="AT1370">
            <v>-2.1214390053444814</v>
          </cell>
          <cell r="AU1370">
            <v>-2.1296918774897895</v>
          </cell>
          <cell r="AV1370">
            <v>-2.1365814928239235</v>
          </cell>
          <cell r="AW1370">
            <v>-2.1422962373718235</v>
          </cell>
          <cell r="AX1370">
            <v>-2.1469987775805306</v>
          </cell>
          <cell r="AY1370">
            <v>-2.1508363900945753</v>
          </cell>
          <cell r="AZ1370">
            <v>-2.1531193604149159</v>
          </cell>
          <cell r="BA1370">
            <v>-2.1542591609890271</v>
          </cell>
          <cell r="BB1370">
            <v>-2.1545534434144331</v>
          </cell>
          <cell r="BC1370">
            <v>-2.1542386781009903</v>
          </cell>
          <cell r="BD1370">
            <v>-2.1535062417026385</v>
          </cell>
          <cell r="BE1370">
            <v>-4.521236430945175E-3</v>
          </cell>
          <cell r="BF1370">
            <v>7.2949558812879342E-4</v>
          </cell>
          <cell r="BG1370">
            <v>6.3874356486643144E-3</v>
          </cell>
          <cell r="BH1370">
            <v>1.2419202628000638E-2</v>
          </cell>
          <cell r="BI1370">
            <v>1.8789179124359609E-2</v>
          </cell>
        </row>
        <row r="1371">
          <cell r="C1371" t="str">
            <v>Variations de stocks</v>
          </cell>
          <cell r="E1371" t="str">
            <v>100*((DS_2-DS_0)/GDP_0)</v>
          </cell>
          <cell r="F1371">
            <v>0</v>
          </cell>
          <cell r="G1371">
            <v>0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0</v>
          </cell>
          <cell r="M1371">
            <v>0</v>
          </cell>
          <cell r="N1371">
            <v>0</v>
          </cell>
          <cell r="O1371">
            <v>0</v>
          </cell>
          <cell r="P1371">
            <v>0</v>
          </cell>
          <cell r="Q1371">
            <v>0</v>
          </cell>
          <cell r="R1371">
            <v>0</v>
          </cell>
          <cell r="S1371">
            <v>0</v>
          </cell>
          <cell r="T1371">
            <v>0</v>
          </cell>
          <cell r="U1371">
            <v>0</v>
          </cell>
          <cell r="V1371">
            <v>0</v>
          </cell>
          <cell r="W1371">
            <v>0</v>
          </cell>
          <cell r="X1371">
            <v>0</v>
          </cell>
          <cell r="Y1371">
            <v>0</v>
          </cell>
          <cell r="Z1371">
            <v>0</v>
          </cell>
          <cell r="AA1371">
            <v>0</v>
          </cell>
          <cell r="AB1371">
            <v>0</v>
          </cell>
          <cell r="AC1371">
            <v>0</v>
          </cell>
          <cell r="AD1371">
            <v>0</v>
          </cell>
          <cell r="AE1371">
            <v>0</v>
          </cell>
          <cell r="AF1371">
            <v>0</v>
          </cell>
          <cell r="AG1371">
            <v>0</v>
          </cell>
          <cell r="AH1371">
            <v>0</v>
          </cell>
          <cell r="AI1371">
            <v>0</v>
          </cell>
          <cell r="AJ1371">
            <v>0</v>
          </cell>
          <cell r="AK1371">
            <v>0</v>
          </cell>
          <cell r="AL1371">
            <v>0</v>
          </cell>
          <cell r="AM1371">
            <v>0</v>
          </cell>
          <cell r="AN1371">
            <v>0</v>
          </cell>
          <cell r="AO1371">
            <v>0</v>
          </cell>
          <cell r="AP1371">
            <v>0</v>
          </cell>
          <cell r="AQ1371">
            <v>0</v>
          </cell>
          <cell r="AR1371">
            <v>0</v>
          </cell>
          <cell r="AS1371">
            <v>0</v>
          </cell>
          <cell r="AT1371">
            <v>0</v>
          </cell>
          <cell r="AU1371">
            <v>0</v>
          </cell>
          <cell r="AV1371">
            <v>0</v>
          </cell>
          <cell r="AW1371">
            <v>0</v>
          </cell>
          <cell r="AX1371">
            <v>0</v>
          </cell>
          <cell r="AY1371">
            <v>0</v>
          </cell>
          <cell r="AZ1371">
            <v>0</v>
          </cell>
          <cell r="BA1371">
            <v>0</v>
          </cell>
          <cell r="BB1371">
            <v>0</v>
          </cell>
          <cell r="BC1371">
            <v>0</v>
          </cell>
          <cell r="BD1371">
            <v>0</v>
          </cell>
          <cell r="BE1371">
            <v>0</v>
          </cell>
          <cell r="BF1371">
            <v>0</v>
          </cell>
          <cell r="BG1371">
            <v>0</v>
          </cell>
          <cell r="BH1371">
            <v>0</v>
          </cell>
          <cell r="BI1371">
            <v>0</v>
          </cell>
        </row>
        <row r="1372">
          <cell r="E1372" t="str">
            <v>100*((X_2-X_0)/GDP_0)-100*((M_2-M_0)/GDP_0)</v>
          </cell>
          <cell r="F1372">
            <v>-0.91255396321157756</v>
          </cell>
          <cell r="G1372">
            <v>-0.82842433930079273</v>
          </cell>
          <cell r="H1372">
            <v>-0.77813688085920707</v>
          </cell>
          <cell r="I1372">
            <v>-0.74030304270378444</v>
          </cell>
          <cell r="J1372">
            <v>-0.71191068565072557</v>
          </cell>
          <cell r="K1372">
            <v>-0.69190747112889084</v>
          </cell>
          <cell r="L1372">
            <v>-0.68022134217879859</v>
          </cell>
          <cell r="M1372">
            <v>-0.67533967600157818</v>
          </cell>
          <cell r="N1372">
            <v>-0.67662762538387211</v>
          </cell>
          <cell r="O1372">
            <v>-0.68356435578025887</v>
          </cell>
          <cell r="P1372">
            <v>-0.76155081625124699</v>
          </cell>
          <cell r="Q1372">
            <v>-0.72548337544394204</v>
          </cell>
          <cell r="R1372">
            <v>-0.70562580499412442</v>
          </cell>
          <cell r="S1372">
            <v>-0.6976496678331563</v>
          </cell>
          <cell r="T1372">
            <v>-0.70012135974598166</v>
          </cell>
          <cell r="U1372">
            <v>-0.7119786538875732</v>
          </cell>
          <cell r="V1372">
            <v>-0.73519927211288927</v>
          </cell>
          <cell r="W1372">
            <v>-0.76520845443353736</v>
          </cell>
          <cell r="X1372">
            <v>-0.80111977810716972</v>
          </cell>
          <cell r="Y1372">
            <v>-0.84200894468374088</v>
          </cell>
          <cell r="Z1372">
            <v>-0.88601203290618025</v>
          </cell>
          <cell r="AA1372">
            <v>-0.93477770196652132</v>
          </cell>
          <cell r="AB1372">
            <v>-0.98596118078897144</v>
          </cell>
          <cell r="AC1372">
            <v>-1.0389641656587449</v>
          </cell>
          <cell r="AD1372">
            <v>-1.0932294444328301</v>
          </cell>
          <cell r="AE1372">
            <v>-1.1453633175416118</v>
          </cell>
          <cell r="AF1372">
            <v>-1.1996936223461909</v>
          </cell>
          <cell r="AG1372">
            <v>-1.254706916103447</v>
          </cell>
          <cell r="AH1372">
            <v>-1.310019721568255</v>
          </cell>
          <cell r="AI1372">
            <v>-1.3653153752856091</v>
          </cell>
          <cell r="AJ1372">
            <v>-1.4203589266595644</v>
          </cell>
          <cell r="AK1372">
            <v>-1.4742655562229601</v>
          </cell>
          <cell r="AL1372">
            <v>-1.5277510247998092</v>
          </cell>
          <cell r="AM1372">
            <v>-1.58071105308021</v>
          </cell>
          <cell r="AN1372">
            <v>-1.6331006687140834</v>
          </cell>
          <cell r="AO1372">
            <v>-1.6849112375189121</v>
          </cell>
          <cell r="AP1372">
            <v>-1.7290667041026904</v>
          </cell>
          <cell r="AQ1372">
            <v>-1.7740510617559466</v>
          </cell>
          <cell r="AR1372">
            <v>-1.8194179684081004</v>
          </cell>
          <cell r="AS1372">
            <v>-1.8649911528153051</v>
          </cell>
          <cell r="AT1372">
            <v>-1.9106870281884061</v>
          </cell>
          <cell r="AU1372">
            <v>-1.9554460844778627</v>
          </cell>
          <cell r="AV1372">
            <v>-2.0003985834340172</v>
          </cell>
          <cell r="AW1372">
            <v>-2.0454653609366327</v>
          </cell>
          <cell r="AX1372">
            <v>-2.0906009614281338</v>
          </cell>
          <cell r="AY1372">
            <v>-2.1357685968379521</v>
          </cell>
          <cell r="AZ1372">
            <v>-2.1775690047726166</v>
          </cell>
          <cell r="BA1372">
            <v>-2.2197264932485905</v>
          </cell>
          <cell r="BB1372">
            <v>-2.2620146062032211</v>
          </cell>
          <cell r="BC1372">
            <v>-2.3043080399575824</v>
          </cell>
          <cell r="BD1372">
            <v>-2.3465300093050678</v>
          </cell>
          <cell r="BE1372">
            <v>-0.19320109391079338</v>
          </cell>
          <cell r="BF1372">
            <v>-0.20237502709255517</v>
          </cell>
          <cell r="BG1372">
            <v>-0.21158891458899307</v>
          </cell>
          <cell r="BH1372">
            <v>-0.22082829874555396</v>
          </cell>
          <cell r="BI1372">
            <v>-0.23008438738529277</v>
          </cell>
        </row>
        <row r="1373">
          <cell r="C1373" t="str">
            <v>Consommation des ménages</v>
          </cell>
          <cell r="E1373" t="str">
            <v>100*((CH_2-CH_ccon_2-(CH_0-CH_ccon_0))/GDP_0)</v>
          </cell>
          <cell r="F1373">
            <v>-0.2565840148053854</v>
          </cell>
          <cell r="G1373">
            <v>-0.56138758795093913</v>
          </cell>
          <cell r="H1373">
            <v>-0.84356646584836725</v>
          </cell>
          <cell r="I1373">
            <v>-1.0866668379100277</v>
          </cell>
          <cell r="J1373">
            <v>-1.2912144503867986</v>
          </cell>
          <cell r="K1373">
            <v>-1.4623215234482336</v>
          </cell>
          <cell r="L1373">
            <v>-1.6066665011070347</v>
          </cell>
          <cell r="M1373">
            <v>-1.7286421805154211</v>
          </cell>
          <cell r="N1373">
            <v>-1.8326321719524239</v>
          </cell>
          <cell r="O1373">
            <v>-1.9224076601103079</v>
          </cell>
          <cell r="P1373">
            <v>-2.0158235027629057</v>
          </cell>
          <cell r="Q1373">
            <v>-2.0950964468566093</v>
          </cell>
          <cell r="R1373">
            <v>-2.1543099837759123</v>
          </cell>
          <cell r="S1373">
            <v>-2.1945112381299348</v>
          </cell>
          <cell r="T1373">
            <v>-2.218396372045758</v>
          </cell>
          <cell r="U1373">
            <v>-2.2290916316589615</v>
          </cell>
          <cell r="V1373">
            <v>-2.2306485145688351</v>
          </cell>
          <cell r="W1373">
            <v>-2.2260370021464424</v>
          </cell>
          <cell r="X1373">
            <v>-2.2176217096343804</v>
          </cell>
          <cell r="Y1373">
            <v>-2.2073394243034263</v>
          </cell>
          <cell r="Z1373">
            <v>-2.1974600682324827</v>
          </cell>
          <cell r="AA1373">
            <v>-2.1873192061187363</v>
          </cell>
          <cell r="AB1373">
            <v>-2.1789995699801019</v>
          </cell>
          <cell r="AC1373">
            <v>-2.1732138768441054</v>
          </cell>
          <cell r="AD1373">
            <v>-2.1704052796534001</v>
          </cell>
          <cell r="AE1373">
            <v>-2.1726383151140904</v>
          </cell>
          <cell r="AF1373">
            <v>-2.1755027818297723</v>
          </cell>
          <cell r="AG1373">
            <v>-2.1806322341485029</v>
          </cell>
          <cell r="AH1373">
            <v>-2.1882616859071549</v>
          </cell>
          <cell r="AI1373">
            <v>-2.198524757978376</v>
          </cell>
          <cell r="AJ1373">
            <v>-2.2114275349112438</v>
          </cell>
          <cell r="AK1373">
            <v>-2.2266524719445959</v>
          </cell>
          <cell r="AL1373">
            <v>-2.2440457965438498</v>
          </cell>
          <cell r="AM1373">
            <v>-2.2634880620134115</v>
          </cell>
          <cell r="AN1373">
            <v>-2.2848476585589435</v>
          </cell>
          <cell r="AO1373">
            <v>-2.3079760966834515</v>
          </cell>
          <cell r="AP1373">
            <v>-2.3310751156189813</v>
          </cell>
          <cell r="AQ1373">
            <v>-2.3532687867504567</v>
          </cell>
          <cell r="AR1373">
            <v>-2.3749532865583123</v>
          </cell>
          <cell r="AS1373">
            <v>-2.3965779404550158</v>
          </cell>
          <cell r="AT1373">
            <v>-2.4184686548286414</v>
          </cell>
          <cell r="AU1373">
            <v>-2.4405052784607713</v>
          </cell>
          <cell r="AV1373">
            <v>-2.4628081179415413</v>
          </cell>
          <cell r="AW1373">
            <v>-2.4855493656150069</v>
          </cell>
          <cell r="AX1373">
            <v>-2.508880775944998</v>
          </cell>
          <cell r="AY1373">
            <v>-2.53291946863142</v>
          </cell>
          <cell r="AZ1373">
            <v>-2.5566379319854771</v>
          </cell>
          <cell r="BA1373">
            <v>-2.5801562632187105</v>
          </cell>
          <cell r="BB1373">
            <v>-2.6038288049068439</v>
          </cell>
          <cell r="BC1373">
            <v>-2.6279753900862981</v>
          </cell>
          <cell r="BD1373">
            <v>-2.6528035228588558</v>
          </cell>
          <cell r="BE1373">
            <v>2.6026198978007193E-2</v>
          </cell>
          <cell r="BF1373">
            <v>2.8054577078108104E-2</v>
          </cell>
          <cell r="BG1373">
            <v>2.9998808361020476E-2</v>
          </cell>
          <cell r="BH1373">
            <v>3.1809355117782684E-2</v>
          </cell>
          <cell r="BI1373">
            <v>3.3456583928692905E-2</v>
          </cell>
        </row>
        <row r="1374">
          <cell r="E1374" t="str">
            <v>100*((I_2+CH_ccon_2-(I_0+CH_ccon_0))/GDP_0)</v>
          </cell>
          <cell r="F1374">
            <v>-0.21146419716800793</v>
          </cell>
          <cell r="G1374">
            <v>-0.35823670590439244</v>
          </cell>
          <cell r="H1374">
            <v>-0.46746282270245088</v>
          </cell>
          <cell r="I1374">
            <v>-0.55760941013618326</v>
          </cell>
          <cell r="J1374">
            <v>-0.63795520043872345</v>
          </cell>
          <cell r="K1374">
            <v>-0.71321288272454342</v>
          </cell>
          <cell r="L1374">
            <v>-0.78631706738756002</v>
          </cell>
          <cell r="M1374">
            <v>-0.85806781218194184</v>
          </cell>
          <cell r="N1374">
            <v>-0.92898502909957581</v>
          </cell>
          <cell r="O1374">
            <v>-0.99933716180818499</v>
          </cell>
          <cell r="P1374">
            <v>-1.0831589768672685</v>
          </cell>
          <cell r="Q1374">
            <v>-1.1524133487957406</v>
          </cell>
          <cell r="R1374">
            <v>-1.2131288080930791</v>
          </cell>
          <cell r="S1374">
            <v>-1.2691233822616241</v>
          </cell>
          <cell r="T1374">
            <v>-1.3220713186564341</v>
          </cell>
          <cell r="U1374">
            <v>-1.3726832994892584</v>
          </cell>
          <cell r="V1374">
            <v>-1.4219618139227561</v>
          </cell>
          <cell r="W1374">
            <v>-1.4698608451151827</v>
          </cell>
          <cell r="X1374">
            <v>-1.5163670846092514</v>
          </cell>
          <cell r="Y1374">
            <v>-1.5615009975796825</v>
          </cell>
          <cell r="Z1374">
            <v>-1.6058017086537826</v>
          </cell>
          <cell r="AA1374">
            <v>-1.6481131386252845</v>
          </cell>
          <cell r="AB1374">
            <v>-1.6891543227154588</v>
          </cell>
          <cell r="AC1374">
            <v>-1.7289121644963128</v>
          </cell>
          <cell r="AD1374">
            <v>-1.7673805845979058</v>
          </cell>
          <cell r="AE1374">
            <v>-1.8060618145708034</v>
          </cell>
          <cell r="AF1374">
            <v>-1.8418110937515313</v>
          </cell>
          <cell r="AG1374">
            <v>-1.8758596337337792</v>
          </cell>
          <cell r="AH1374">
            <v>-1.9082157471727805</v>
          </cell>
          <cell r="AI1374">
            <v>-1.9389027910860741</v>
          </cell>
          <cell r="AJ1374">
            <v>-1.9679479225863648</v>
          </cell>
          <cell r="AK1374">
            <v>-1.9952108182649884</v>
          </cell>
          <cell r="AL1374">
            <v>-2.0207733384034934</v>
          </cell>
          <cell r="AM1374">
            <v>-2.0447070532723108</v>
          </cell>
          <cell r="AN1374">
            <v>-2.0670790846780434</v>
          </cell>
          <cell r="AO1374">
            <v>-2.0879566420167226</v>
          </cell>
          <cell r="AP1374">
            <v>-2.1062643631924671</v>
          </cell>
          <cell r="AQ1374">
            <v>-2.1220524997464252</v>
          </cell>
          <cell r="AR1374">
            <v>-2.1357523045987059</v>
          </cell>
          <cell r="AS1374">
            <v>-2.1476778765466507</v>
          </cell>
          <cell r="AT1374">
            <v>-2.1580720054336644</v>
          </cell>
          <cell r="AU1374">
            <v>-2.1668838537343147</v>
          </cell>
          <cell r="AV1374">
            <v>-2.174340852305253</v>
          </cell>
          <cell r="AW1374">
            <v>-2.1806306809190557</v>
          </cell>
          <cell r="AX1374">
            <v>-2.1859154010344448</v>
          </cell>
          <cell r="AY1374">
            <v>-2.1903416545408865</v>
          </cell>
          <cell r="AZ1374">
            <v>-2.1932018154065323</v>
          </cell>
          <cell r="BA1374">
            <v>-2.1949088554351617</v>
          </cell>
          <cell r="BB1374">
            <v>-2.1957675818437448</v>
          </cell>
          <cell r="BC1374">
            <v>-2.1960184134020255</v>
          </cell>
          <cell r="BD1374">
            <v>-2.1958544165384462</v>
          </cell>
          <cell r="BE1374">
            <v>-5.9201745623804168E-3</v>
          </cell>
          <cell r="BF1374">
            <v>-7.2690977721502409E-4</v>
          </cell>
          <cell r="BG1374">
            <v>4.8729519274250564E-3</v>
          </cell>
          <cell r="BH1374">
            <v>1.0844828951787504E-2</v>
          </cell>
          <cell r="BI1374">
            <v>1.7152317286497642E-2</v>
          </cell>
        </row>
        <row r="1375">
          <cell r="C1375" t="str">
            <v>Investissement entreprises</v>
          </cell>
          <cell r="E1375" t="str">
            <v>100*((I_2-IA_spub_2-(I_0-IA_spub_0))/GDP_0)</v>
          </cell>
          <cell r="F1375">
            <v>-0.20425670856551326</v>
          </cell>
          <cell r="G1375">
            <v>-0.34492669328188086</v>
          </cell>
          <cell r="H1375">
            <v>-0.44978337658837408</v>
          </cell>
          <cell r="I1375">
            <v>-0.53663441773000298</v>
          </cell>
          <cell r="J1375">
            <v>-0.61415179214079851</v>
          </cell>
          <cell r="K1375">
            <v>-0.68671859609667707</v>
          </cell>
          <cell r="L1375">
            <v>-0.7571203609650522</v>
          </cell>
          <cell r="M1375">
            <v>-0.82615791405748917</v>
          </cell>
          <cell r="N1375">
            <v>-0.89438007434953415</v>
          </cell>
          <cell r="O1375">
            <v>-0.96208840469664203</v>
          </cell>
          <cell r="P1375">
            <v>-1.0429906895596495</v>
          </cell>
          <cell r="Q1375">
            <v>-1.1096787613168366</v>
          </cell>
          <cell r="R1375">
            <v>-1.1681533354867517</v>
          </cell>
          <cell r="S1375">
            <v>-1.2221473191726699</v>
          </cell>
          <cell r="T1375">
            <v>-1.2732922666391562</v>
          </cell>
          <cell r="U1375">
            <v>-1.3222826275184372</v>
          </cell>
          <cell r="V1375">
            <v>-1.3700863631888933</v>
          </cell>
          <cell r="W1375">
            <v>-1.4166462527325869</v>
          </cell>
          <cell r="X1375">
            <v>-1.461939329888885</v>
          </cell>
          <cell r="Y1375">
            <v>-1.5059726304303636</v>
          </cell>
          <cell r="Z1375">
            <v>-1.549252556001776</v>
          </cell>
          <cell r="AA1375">
            <v>-1.5906485090295055</v>
          </cell>
          <cell r="AB1375">
            <v>-1.6308356218081386</v>
          </cell>
          <cell r="AC1375">
            <v>-1.6697859961596073</v>
          </cell>
          <cell r="AD1375">
            <v>-1.7074815281358406</v>
          </cell>
          <cell r="AE1375">
            <v>-1.7453711583359117</v>
          </cell>
          <cell r="AF1375">
            <v>-1.7804093752513868</v>
          </cell>
          <cell r="AG1375">
            <v>-1.8137759182124231</v>
          </cell>
          <cell r="AH1375">
            <v>-1.8454648965246738</v>
          </cell>
          <cell r="AI1375">
            <v>-1.8754869953385309</v>
          </cell>
          <cell r="AJ1375">
            <v>-1.9038602519914076</v>
          </cell>
          <cell r="AK1375">
            <v>-1.9304450468773333</v>
          </cell>
          <cell r="AL1375">
            <v>-1.9553189549192038</v>
          </cell>
          <cell r="AM1375">
            <v>-1.9785486368957945</v>
          </cell>
          <cell r="AN1375">
            <v>-2.0001971924998143</v>
          </cell>
          <cell r="AO1375">
            <v>-2.020328985917839</v>
          </cell>
          <cell r="AP1375">
            <v>-2.0379174913527454</v>
          </cell>
          <cell r="AQ1375">
            <v>-2.0530235794557461</v>
          </cell>
          <cell r="AR1375">
            <v>-2.0660545319103178</v>
          </cell>
          <cell r="AS1375">
            <v>-2.0773029190106436</v>
          </cell>
          <cell r="AT1375">
            <v>-2.0869983321442569</v>
          </cell>
          <cell r="AU1375">
            <v>-2.0950944223979238</v>
          </cell>
          <cell r="AV1375">
            <v>-2.1018175536741284</v>
          </cell>
          <cell r="AW1375">
            <v>-2.1073539141084741</v>
          </cell>
          <cell r="AX1375">
            <v>-2.1118650587917118</v>
          </cell>
          <cell r="AY1375">
            <v>-2.1154980579711951</v>
          </cell>
          <cell r="AZ1375">
            <v>-2.1175801296344532</v>
          </cell>
          <cell r="BA1375">
            <v>-2.1185194444762598</v>
          </cell>
          <cell r="BB1375">
            <v>-2.1186084333089559</v>
          </cell>
          <cell r="BC1375">
            <v>-2.1180799945368776</v>
          </cell>
          <cell r="BD1375">
            <v>-2.1171240623051926</v>
          </cell>
          <cell r="BE1375">
            <v>-3.6374125724455979E-3</v>
          </cell>
          <cell r="BF1375">
            <v>1.4909450650637188E-3</v>
          </cell>
          <cell r="BG1375">
            <v>7.0179858722023399E-3</v>
          </cell>
          <cell r="BH1375">
            <v>1.2911954943280624E-2</v>
          </cell>
          <cell r="BI1375">
            <v>1.9138570094063296E-2</v>
          </cell>
        </row>
        <row r="1376">
          <cell r="C1376" t="str">
            <v>Investissement ménages</v>
          </cell>
          <cell r="E1376" t="str">
            <v>100*((CH_ccon_2-CH_ccon_0)/GDP_0)</v>
          </cell>
          <cell r="F1376">
            <v>-4.2564988073786805E-3</v>
          </cell>
          <cell r="G1376">
            <v>-8.4789589578084159E-3</v>
          </cell>
          <cell r="H1376">
            <v>-1.1785340450745512E-2</v>
          </cell>
          <cell r="I1376">
            <v>-1.4374705684197988E-2</v>
          </cell>
          <cell r="J1376">
            <v>-1.6556176115710898E-2</v>
          </cell>
          <cell r="K1376">
            <v>-1.8513293813353263E-2</v>
          </cell>
          <cell r="L1376">
            <v>-2.0336721644764428E-2</v>
          </cell>
          <cell r="M1376">
            <v>-2.2031721706995296E-2</v>
          </cell>
          <cell r="N1376">
            <v>-2.3589590616620536E-2</v>
          </cell>
          <cell r="O1376">
            <v>-2.5000724576675747E-2</v>
          </cell>
          <cell r="P1376">
            <v>-2.6454811434886639E-2</v>
          </cell>
          <cell r="Q1376">
            <v>-2.7684377203824148E-2</v>
          </cell>
          <cell r="R1376">
            <v>-2.8632914115181429E-2</v>
          </cell>
          <cell r="S1376">
            <v>-2.9336963973521101E-2</v>
          </cell>
          <cell r="T1376">
            <v>-2.9837464950469537E-2</v>
          </cell>
          <cell r="U1376">
            <v>-3.0168025408360472E-2</v>
          </cell>
          <cell r="V1376">
            <v>-3.0371237863746597E-2</v>
          </cell>
          <cell r="W1376">
            <v>-3.0478380337149693E-2</v>
          </cell>
          <cell r="X1376">
            <v>-3.051533533787814E-2</v>
          </cell>
          <cell r="Y1376">
            <v>-3.0506554808326512E-2</v>
          </cell>
          <cell r="Z1376">
            <v>-3.0485323399512557E-2</v>
          </cell>
          <cell r="AA1376">
            <v>-3.0445711957076241E-2</v>
          </cell>
          <cell r="AB1376">
            <v>-3.0421738823522393E-2</v>
          </cell>
          <cell r="AC1376">
            <v>-3.0428122359791979E-2</v>
          </cell>
          <cell r="AD1376">
            <v>-3.0475090539041134E-2</v>
          </cell>
          <cell r="AE1376">
            <v>-3.0595540316806929E-2</v>
          </cell>
          <cell r="AF1376">
            <v>-3.0729534762715581E-2</v>
          </cell>
          <cell r="AG1376">
            <v>-3.0902992657096666E-2</v>
          </cell>
          <cell r="AH1376">
            <v>-3.1122511804870658E-2</v>
          </cell>
          <cell r="AI1376">
            <v>-3.1392422404038084E-2</v>
          </cell>
          <cell r="AJ1376">
            <v>-3.1713908847499528E-2</v>
          </cell>
          <cell r="AK1376">
            <v>-3.2082210733616848E-2</v>
          </cell>
          <cell r="AL1376">
            <v>-3.2494228511966421E-2</v>
          </cell>
          <cell r="AM1376">
            <v>-3.2947497301278099E-2</v>
          </cell>
          <cell r="AN1376">
            <v>-3.3439278598790236E-2</v>
          </cell>
          <cell r="AO1376">
            <v>-3.3966404425011115E-2</v>
          </cell>
          <cell r="AP1376">
            <v>-3.4499892692230825E-2</v>
          </cell>
          <cell r="AQ1376">
            <v>-3.5024921715895455E-2</v>
          </cell>
          <cell r="AR1376">
            <v>-3.5549955228447269E-2</v>
          </cell>
          <cell r="AS1376">
            <v>-3.608426841809978E-2</v>
          </cell>
          <cell r="AT1376">
            <v>-3.6633000089184881E-2</v>
          </cell>
          <cell r="AU1376">
            <v>-3.7191976244523098E-2</v>
          </cell>
          <cell r="AV1376">
            <v>-3.7759359481329566E-2</v>
          </cell>
          <cell r="AW1376">
            <v>-3.8334443547230188E-2</v>
          </cell>
          <cell r="AX1376">
            <v>-3.8916623453913148E-2</v>
          </cell>
          <cell r="AY1376">
            <v>-3.9505264446312478E-2</v>
          </cell>
          <cell r="AZ1376">
            <v>-4.0082454991615099E-2</v>
          </cell>
          <cell r="BA1376">
            <v>-4.0649694446134831E-2</v>
          </cell>
          <cell r="BB1376">
            <v>-4.1214138429311646E-2</v>
          </cell>
          <cell r="BC1376">
            <v>-4.1779735301034897E-2</v>
          </cell>
          <cell r="BD1376">
            <v>-4.2348174835809486E-2</v>
          </cell>
          <cell r="BE1376">
            <v>-1.3989381314381863E-3</v>
          </cell>
          <cell r="BF1376">
            <v>-1.4564053653442521E-3</v>
          </cell>
          <cell r="BG1376">
            <v>-1.5144837212395438E-3</v>
          </cell>
          <cell r="BH1376">
            <v>-1.5743736762150961E-3</v>
          </cell>
          <cell r="BI1376">
            <v>-1.6368618378615565E-3</v>
          </cell>
        </row>
        <row r="1377">
          <cell r="C1377" t="str">
            <v>Investissement public</v>
          </cell>
          <cell r="E1377" t="str">
            <v>100*((IA_spub_2-IA_spub_0)/GDP_0)</v>
          </cell>
          <cell r="F1377">
            <v>-2.9509897951158189E-3</v>
          </cell>
          <cell r="G1377">
            <v>-4.8310536647043004E-3</v>
          </cell>
          <cell r="H1377">
            <v>-5.8941056633296709E-3</v>
          </cell>
          <cell r="I1377">
            <v>-6.6002867219827057E-3</v>
          </cell>
          <cell r="J1377">
            <v>-7.2472321822132897E-3</v>
          </cell>
          <cell r="K1377">
            <v>-7.9809928145129529E-3</v>
          </cell>
          <cell r="L1377">
            <v>-8.8599847777473782E-3</v>
          </cell>
          <cell r="M1377">
            <v>-9.878176417459127E-3</v>
          </cell>
          <cell r="N1377">
            <v>-1.101536413341906E-2</v>
          </cell>
          <cell r="O1377">
            <v>-1.2248032534870338E-2</v>
          </cell>
          <cell r="P1377">
            <v>-1.3713475872735513E-2</v>
          </cell>
          <cell r="Q1377">
            <v>-1.505021027507863E-2</v>
          </cell>
          <cell r="R1377">
            <v>-1.6342558491145343E-2</v>
          </cell>
          <cell r="S1377">
            <v>-1.7639099115433078E-2</v>
          </cell>
          <cell r="T1377">
            <v>-1.8941587066808215E-2</v>
          </cell>
          <cell r="U1377">
            <v>-2.0232646562459732E-2</v>
          </cell>
          <cell r="V1377">
            <v>-2.1504212870116248E-2</v>
          </cell>
          <cell r="W1377">
            <v>-2.2736212045445296E-2</v>
          </cell>
          <cell r="X1377">
            <v>-2.3912419382491484E-2</v>
          </cell>
          <cell r="Y1377">
            <v>-2.5021812340993682E-2</v>
          </cell>
          <cell r="Z1377">
            <v>-2.6063829252491399E-2</v>
          </cell>
          <cell r="AA1377">
            <v>-2.701891763870426E-2</v>
          </cell>
          <cell r="AB1377">
            <v>-2.7896962083799524E-2</v>
          </cell>
          <cell r="AC1377">
            <v>-2.8698045976915464E-2</v>
          </cell>
          <cell r="AD1377">
            <v>-2.9423965923022728E-2</v>
          </cell>
          <cell r="AE1377">
            <v>-3.0095115918085419E-2</v>
          </cell>
          <cell r="AF1377">
            <v>-3.0672183737427167E-2</v>
          </cell>
          <cell r="AG1377">
            <v>-3.1180722864260463E-2</v>
          </cell>
          <cell r="AH1377">
            <v>-3.162833884323657E-2</v>
          </cell>
          <cell r="AI1377">
            <v>-3.2023373343505523E-2</v>
          </cell>
          <cell r="AJ1377">
            <v>-3.237376174745657E-2</v>
          </cell>
          <cell r="AK1377">
            <v>-3.2683560654036103E-2</v>
          </cell>
          <cell r="AL1377">
            <v>-3.2960154972319473E-2</v>
          </cell>
          <cell r="AM1377">
            <v>-3.3210919075238779E-2</v>
          </cell>
          <cell r="AN1377">
            <v>-3.3442613579437362E-2</v>
          </cell>
          <cell r="AO1377">
            <v>-3.3661251673872225E-2</v>
          </cell>
          <cell r="AP1377">
            <v>-3.3846979147491171E-2</v>
          </cell>
          <cell r="AQ1377">
            <v>-3.4003998574783666E-2</v>
          </cell>
          <cell r="AR1377">
            <v>-3.4147817459940159E-2</v>
          </cell>
          <cell r="AS1377">
            <v>-3.4290689117905254E-2</v>
          </cell>
          <cell r="AT1377">
            <v>-3.444067320022387E-2</v>
          </cell>
          <cell r="AU1377">
            <v>-3.4597455091867069E-2</v>
          </cell>
          <cell r="AV1377">
            <v>-3.4763939149793636E-2</v>
          </cell>
          <cell r="AW1377">
            <v>-3.4942323263351428E-2</v>
          </cell>
          <cell r="AX1377">
            <v>-3.5133718788818852E-2</v>
          </cell>
          <cell r="AY1377">
            <v>-3.5338332123380979E-2</v>
          </cell>
          <cell r="AZ1377">
            <v>-3.5539230780462394E-2</v>
          </cell>
          <cell r="BA1377">
            <v>-3.5739716512766702E-2</v>
          </cell>
          <cell r="BB1377">
            <v>-3.5945010105475801E-2</v>
          </cell>
          <cell r="BC1377">
            <v>-3.6158683564112809E-2</v>
          </cell>
          <cell r="BD1377">
            <v>-3.6382179397447485E-2</v>
          </cell>
          <cell r="BE1377">
            <v>-8.8382385850016597E-4</v>
          </cell>
          <cell r="BF1377">
            <v>-7.614494769360836E-4</v>
          </cell>
          <cell r="BG1377">
            <v>-6.3055022354030314E-4</v>
          </cell>
          <cell r="BH1377">
            <v>-4.9275231527942524E-4</v>
          </cell>
          <cell r="BI1377">
            <v>-3.4939096970396073E-4</v>
          </cell>
        </row>
        <row r="1378">
          <cell r="C1378" t="str">
            <v>Consommation des ménages</v>
          </cell>
          <cell r="E1378" t="str">
            <v>100*(CH_2/CH_0-1)</v>
          </cell>
          <cell r="F1378">
            <v>-0.47715759989498396</v>
          </cell>
          <cell r="G1378">
            <v>-1.0422660407104156</v>
          </cell>
          <cell r="H1378">
            <v>-1.5647346627913006</v>
          </cell>
          <cell r="I1378">
            <v>-2.0148661227611053</v>
          </cell>
          <cell r="J1378">
            <v>-2.3942642362072997</v>
          </cell>
          <cell r="K1378">
            <v>-2.7124052037153734</v>
          </cell>
          <cell r="L1378">
            <v>-2.9807546052346368</v>
          </cell>
          <cell r="M1378">
            <v>-3.2081077545878078</v>
          </cell>
          <cell r="N1378">
            <v>-3.4022409988403446</v>
          </cell>
          <cell r="O1378">
            <v>-3.5699133401360772</v>
          </cell>
          <cell r="P1378">
            <v>-3.7453685337526244</v>
          </cell>
          <cell r="Q1378">
            <v>-3.8920548695111079</v>
          </cell>
          <cell r="R1378">
            <v>-4.0015835366038814</v>
          </cell>
          <cell r="S1378">
            <v>-4.0759862692612892</v>
          </cell>
          <cell r="T1378">
            <v>-4.1203501706712498</v>
          </cell>
          <cell r="U1378">
            <v>-4.1405166224989687</v>
          </cell>
          <cell r="V1378">
            <v>-4.1440166868508932</v>
          </cell>
          <cell r="W1378">
            <v>-4.1363633266145001</v>
          </cell>
          <cell r="X1378">
            <v>-4.1219416095790828</v>
          </cell>
          <cell r="Y1378">
            <v>-4.1043457037175379</v>
          </cell>
          <cell r="Z1378">
            <v>-4.0869536815169472</v>
          </cell>
          <cell r="AA1378">
            <v>-4.0709492909492662</v>
          </cell>
          <cell r="AB1378">
            <v>-4.0584174620906914</v>
          </cell>
          <cell r="AC1378">
            <v>-4.0507403619873816</v>
          </cell>
          <cell r="AD1378">
            <v>-4.0487738929734558</v>
          </cell>
          <cell r="AE1378">
            <v>-4.0541648105572374</v>
          </cell>
          <cell r="AF1378">
            <v>-4.0640896241938336</v>
          </cell>
          <cell r="AG1378">
            <v>-4.0788269158455792</v>
          </cell>
          <cell r="AH1378">
            <v>-4.0987002751596835</v>
          </cell>
          <cell r="AI1378">
            <v>-4.1238394610992319</v>
          </cell>
          <cell r="AJ1378">
            <v>-4.1541645397162874</v>
          </cell>
          <cell r="AK1378">
            <v>-4.1890158888346907</v>
          </cell>
          <cell r="AL1378">
            <v>-4.228062193708249</v>
          </cell>
          <cell r="AM1378">
            <v>-4.2710522745947666</v>
          </cell>
          <cell r="AN1378">
            <v>-4.3177209158549834</v>
          </cell>
          <cell r="AO1378">
            <v>-4.3677750549190097</v>
          </cell>
          <cell r="AP1378">
            <v>-4.4172869731474718</v>
          </cell>
          <cell r="AQ1378">
            <v>-4.4655219515420619</v>
          </cell>
          <cell r="AR1378">
            <v>-4.5130942592638164</v>
          </cell>
          <cell r="AS1378">
            <v>-4.5607485243181696</v>
          </cell>
          <cell r="AT1378">
            <v>-4.6090080594559657</v>
          </cell>
          <cell r="AU1378">
            <v>-4.6575593016401466</v>
          </cell>
          <cell r="AV1378">
            <v>-4.7065618670624527</v>
          </cell>
          <cell r="AW1378">
            <v>-4.7562930692828349</v>
          </cell>
          <cell r="AX1378">
            <v>-4.8070076754580304</v>
          </cell>
          <cell r="AY1378">
            <v>-4.8589074732268696</v>
          </cell>
          <cell r="AZ1378">
            <v>-4.910051287899253</v>
          </cell>
          <cell r="BA1378">
            <v>-4.9605745593935824</v>
          </cell>
          <cell r="BB1378">
            <v>-5.0111679835244676</v>
          </cell>
          <cell r="BC1378">
            <v>-5.0624533219535639</v>
          </cell>
          <cell r="BD1378">
            <v>-5.1148383596207214</v>
          </cell>
          <cell r="BE1378">
            <v>4.7232767887850358E-2</v>
          </cell>
          <cell r="BF1378">
            <v>5.1108035496394422E-2</v>
          </cell>
          <cell r="BG1378">
            <v>5.4834125176528303E-2</v>
          </cell>
          <cell r="BH1378">
            <v>5.8312033652341277E-2</v>
          </cell>
          <cell r="BI1378">
            <v>6.1481245551497921E-2</v>
          </cell>
        </row>
        <row r="1379">
          <cell r="C1379" t="str">
            <v>Consommation des ménages automobile</v>
          </cell>
          <cell r="E1379" t="str">
            <v>100*(CH_cveh_2/CH_cveh_0-1)</v>
          </cell>
          <cell r="F1379">
            <v>-7.9560849392756872E-3</v>
          </cell>
          <cell r="G1379">
            <v>-0.68261134746305796</v>
          </cell>
          <cell r="H1379">
            <v>-1.4017423992506384</v>
          </cell>
          <cell r="I1379">
            <v>-1.9500833847166277</v>
          </cell>
          <cell r="J1379">
            <v>-2.3167489182352563</v>
          </cell>
          <cell r="K1379">
            <v>-2.5403296424190258</v>
          </cell>
          <cell r="L1379">
            <v>-2.6662235921870225</v>
          </cell>
          <cell r="M1379">
            <v>-2.7280669677257174</v>
          </cell>
          <cell r="N1379">
            <v>-2.7511652412669618</v>
          </cell>
          <cell r="O1379">
            <v>-2.7532136435527765</v>
          </cell>
          <cell r="P1379">
            <v>-2.8008088949622256</v>
          </cell>
          <cell r="Q1379">
            <v>-2.8050231840572315</v>
          </cell>
          <cell r="R1379">
            <v>-2.7611071572650858</v>
          </cell>
          <cell r="S1379">
            <v>-2.681986345040055</v>
          </cell>
          <cell r="T1379">
            <v>-2.5809262464110305</v>
          </cell>
          <cell r="U1379">
            <v>-2.4689254487817447</v>
          </cell>
          <cell r="V1379">
            <v>-2.3572370096069495</v>
          </cell>
          <cell r="W1379">
            <v>-2.2520487941879441</v>
          </cell>
          <cell r="X1379">
            <v>-2.1566888471080015</v>
          </cell>
          <cell r="Y1379">
            <v>-2.0730260413012291</v>
          </cell>
          <cell r="Z1379">
            <v>-2.0027229658250212</v>
          </cell>
          <cell r="AA1379">
            <v>-1.9436539363306249</v>
          </cell>
          <cell r="AB1379">
            <v>-1.8965169659219128</v>
          </cell>
          <cell r="AC1379">
            <v>-1.8608054160844878</v>
          </cell>
          <cell r="AD1379">
            <v>-1.8354880187520628</v>
          </cell>
          <cell r="AE1379">
            <v>-1.8214909825913339</v>
          </cell>
          <cell r="AF1379">
            <v>-1.8115987055015159</v>
          </cell>
          <cell r="AG1379">
            <v>-1.8064874518343155</v>
          </cell>
          <cell r="AH1379">
            <v>-1.8065146766413687</v>
          </cell>
          <cell r="AI1379">
            <v>-1.8113855147287472</v>
          </cell>
          <cell r="AJ1379">
            <v>-1.8203759330897129</v>
          </cell>
          <cell r="AK1379">
            <v>-1.8319608501437656</v>
          </cell>
          <cell r="AL1379">
            <v>-1.8453779257098457</v>
          </cell>
          <cell r="AM1379">
            <v>-1.8601530705205427</v>
          </cell>
          <cell r="AN1379">
            <v>-1.8757913246298386</v>
          </cell>
          <cell r="AO1379">
            <v>-1.8917582512609554</v>
          </cell>
          <cell r="AP1379">
            <v>-1.9022925948107505</v>
          </cell>
          <cell r="AQ1379">
            <v>-1.9070225450860123</v>
          </cell>
          <cell r="AR1379">
            <v>-1.9083166402923957</v>
          </cell>
          <cell r="AS1379">
            <v>-1.9077702672716024</v>
          </cell>
          <cell r="AT1379">
            <v>-1.9058859852890131</v>
          </cell>
          <cell r="AU1379">
            <v>-1.9016346311294341</v>
          </cell>
          <cell r="AV1379">
            <v>-1.8948889851350903</v>
          </cell>
          <cell r="AW1379">
            <v>-1.8858543427973995</v>
          </cell>
          <cell r="AX1379">
            <v>-1.8746313025834849</v>
          </cell>
          <cell r="AY1379">
            <v>-1.8611788600187085</v>
          </cell>
          <cell r="AZ1379">
            <v>-1.8422347429685404</v>
          </cell>
          <cell r="BA1379">
            <v>-1.8182805277365155</v>
          </cell>
          <cell r="BB1379">
            <v>-1.7907375474768172</v>
          </cell>
          <cell r="BC1379">
            <v>-1.7602871969386036</v>
          </cell>
          <cell r="BD1379">
            <v>-1.7268786118516566</v>
          </cell>
          <cell r="BE1379">
            <v>0.26267238400008441</v>
          </cell>
          <cell r="BF1379">
            <v>0.27538704170322337</v>
          </cell>
          <cell r="BG1379">
            <v>0.28836276144614814</v>
          </cell>
          <cell r="BH1379">
            <v>0.30153980159357552</v>
          </cell>
          <cell r="BI1379">
            <v>0.31496987515489128</v>
          </cell>
        </row>
        <row r="1380">
          <cell r="C1380" t="str">
            <v>Dépenses publiques</v>
          </cell>
          <cell r="E1380" t="str">
            <v>100*(G_2/G_0-1)</v>
          </cell>
          <cell r="F1380">
            <v>0</v>
          </cell>
          <cell r="G1380">
            <v>0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0</v>
          </cell>
          <cell r="M1380">
            <v>0</v>
          </cell>
          <cell r="N1380">
            <v>0</v>
          </cell>
          <cell r="O1380">
            <v>0</v>
          </cell>
          <cell r="P1380">
            <v>0</v>
          </cell>
          <cell r="Q1380">
            <v>0</v>
          </cell>
          <cell r="R1380">
            <v>0</v>
          </cell>
          <cell r="S1380">
            <v>0</v>
          </cell>
          <cell r="T1380">
            <v>0</v>
          </cell>
          <cell r="U1380">
            <v>0</v>
          </cell>
          <cell r="V1380">
            <v>0</v>
          </cell>
          <cell r="W1380">
            <v>0</v>
          </cell>
          <cell r="X1380">
            <v>0</v>
          </cell>
          <cell r="Y1380">
            <v>0</v>
          </cell>
          <cell r="Z1380">
            <v>0</v>
          </cell>
          <cell r="AA1380">
            <v>0</v>
          </cell>
          <cell r="AB1380">
            <v>0</v>
          </cell>
          <cell r="AC1380">
            <v>0</v>
          </cell>
          <cell r="AD1380">
            <v>0</v>
          </cell>
          <cell r="AE1380">
            <v>0</v>
          </cell>
          <cell r="AF1380">
            <v>0</v>
          </cell>
          <cell r="AG1380">
            <v>0</v>
          </cell>
          <cell r="AH1380">
            <v>0</v>
          </cell>
          <cell r="AI1380">
            <v>0</v>
          </cell>
          <cell r="AJ1380">
            <v>0</v>
          </cell>
          <cell r="AK1380">
            <v>0</v>
          </cell>
          <cell r="AL1380">
            <v>0</v>
          </cell>
          <cell r="AM1380">
            <v>0</v>
          </cell>
          <cell r="AN1380">
            <v>0</v>
          </cell>
          <cell r="AO1380">
            <v>0</v>
          </cell>
          <cell r="AP1380">
            <v>0</v>
          </cell>
          <cell r="AQ1380">
            <v>0</v>
          </cell>
          <cell r="AR1380">
            <v>0</v>
          </cell>
          <cell r="AS1380">
            <v>0</v>
          </cell>
          <cell r="AT1380">
            <v>0</v>
          </cell>
          <cell r="AU1380">
            <v>0</v>
          </cell>
          <cell r="AV1380">
            <v>0</v>
          </cell>
          <cell r="AW1380">
            <v>0</v>
          </cell>
          <cell r="AX1380">
            <v>0</v>
          </cell>
          <cell r="AY1380">
            <v>0</v>
          </cell>
          <cell r="AZ1380">
            <v>0</v>
          </cell>
          <cell r="BA1380">
            <v>0</v>
          </cell>
          <cell r="BB1380">
            <v>0</v>
          </cell>
          <cell r="BC1380">
            <v>0</v>
          </cell>
          <cell r="BD1380">
            <v>0</v>
          </cell>
          <cell r="BE1380">
            <v>0</v>
          </cell>
          <cell r="BF1380">
            <v>0</v>
          </cell>
          <cell r="BG1380">
            <v>0</v>
          </cell>
          <cell r="BH1380">
            <v>0</v>
          </cell>
          <cell r="BI1380">
            <v>0</v>
          </cell>
        </row>
        <row r="1381">
          <cell r="C1381" t="str">
            <v>Investissement</v>
          </cell>
          <cell r="E1381" t="str">
            <v>100*(I_2/I_0-1)</v>
          </cell>
          <cell r="F1381">
            <v>-0.96357995390724538</v>
          </cell>
          <cell r="G1381">
            <v>-1.6253693953199977</v>
          </cell>
          <cell r="H1381">
            <v>-2.1165218674352504</v>
          </cell>
          <cell r="I1381">
            <v>-2.5216140949151145</v>
          </cell>
          <cell r="J1381">
            <v>-2.8824879608132181</v>
          </cell>
          <cell r="K1381">
            <v>-3.2202463408982585</v>
          </cell>
          <cell r="L1381">
            <v>-3.5470674886206033</v>
          </cell>
          <cell r="M1381">
            <v>-3.8677437724950248</v>
          </cell>
          <cell r="N1381">
            <v>-4.1844903868996308</v>
          </cell>
          <cell r="O1381">
            <v>-4.4983863758569553</v>
          </cell>
          <cell r="P1381">
            <v>-4.8752962000263249</v>
          </cell>
          <cell r="Q1381">
            <v>-5.18168057563887</v>
          </cell>
          <cell r="R1381">
            <v>-5.4488446606256176</v>
          </cell>
          <cell r="S1381">
            <v>-5.6940351885367058</v>
          </cell>
          <cell r="T1381">
            <v>-5.9246950587140574</v>
          </cell>
          <cell r="U1381">
            <v>-6.1439268219539596</v>
          </cell>
          <cell r="V1381">
            <v>-6.3561515506416093</v>
          </cell>
          <cell r="W1381">
            <v>-6.561056942555421</v>
          </cell>
          <cell r="X1381">
            <v>-6.7585254259177603</v>
          </cell>
          <cell r="Y1381">
            <v>-6.9486151385575674</v>
          </cell>
          <cell r="Z1381">
            <v>-7.1316359754677983</v>
          </cell>
          <cell r="AA1381">
            <v>-7.3074149243761095</v>
          </cell>
          <cell r="AB1381">
            <v>-7.4760832441576834</v>
          </cell>
          <cell r="AC1381">
            <v>-7.6378037199213438</v>
          </cell>
          <cell r="AD1381">
            <v>-7.7926850454158592</v>
          </cell>
          <cell r="AE1381">
            <v>-7.941221505675844</v>
          </cell>
          <cell r="AF1381">
            <v>-8.0815916592065111</v>
          </cell>
          <cell r="AG1381">
            <v>-8.2141287811601789</v>
          </cell>
          <cell r="AH1381">
            <v>-8.3391926428693086</v>
          </cell>
          <cell r="AI1381">
            <v>-8.4571098601624044</v>
          </cell>
          <cell r="AJ1381">
            <v>-8.5681682119749922</v>
          </cell>
          <cell r="AK1381">
            <v>-8.671897003005169</v>
          </cell>
          <cell r="AL1381">
            <v>-8.7687739740552217</v>
          </cell>
          <cell r="AM1381">
            <v>-8.8592079601712665</v>
          </cell>
          <cell r="AN1381">
            <v>-8.9435749293507172</v>
          </cell>
          <cell r="AO1381">
            <v>-9.0222416277301107</v>
          </cell>
          <cell r="AP1381">
            <v>-9.0891605152171309</v>
          </cell>
          <cell r="AQ1381">
            <v>-9.1467421553627517</v>
          </cell>
          <cell r="AR1381">
            <v>-9.1967193304159363</v>
          </cell>
          <cell r="AS1381">
            <v>-9.240406953344305</v>
          </cell>
          <cell r="AT1381">
            <v>-9.2788464169005209</v>
          </cell>
          <cell r="AU1381">
            <v>-9.3118261610742774</v>
          </cell>
          <cell r="AV1381">
            <v>-9.3403232702818695</v>
          </cell>
          <cell r="AW1381">
            <v>-9.3651173145687707</v>
          </cell>
          <cell r="AX1381">
            <v>-9.3868607665051123</v>
          </cell>
          <cell r="AY1381">
            <v>-9.4061284877186786</v>
          </cell>
          <cell r="AZ1381">
            <v>-9.4199508213438818</v>
          </cell>
          <cell r="BA1381">
            <v>-9.4298690991985517</v>
          </cell>
          <cell r="BB1381">
            <v>-9.4371123514713879</v>
          </cell>
          <cell r="BC1381">
            <v>-9.4426322907991906</v>
          </cell>
          <cell r="BD1381">
            <v>-9.4471818889643835</v>
          </cell>
          <cell r="BE1381">
            <v>-1.8968324761670097E-2</v>
          </cell>
          <cell r="BF1381">
            <v>3.056175197979627E-3</v>
          </cell>
          <cell r="BG1381">
            <v>2.6725331404020558E-2</v>
          </cell>
          <cell r="BH1381">
            <v>5.1902589871888338E-2</v>
          </cell>
          <cell r="BI1381">
            <v>7.8444032673608E-2</v>
          </cell>
        </row>
        <row r="1382">
          <cell r="C1382" t="str">
            <v>Investissement entreprises</v>
          </cell>
          <cell r="E1382" t="str">
            <v>100*((I_2-IA_spub_2)/(I_0-IA_spub_0)-1)</v>
          </cell>
          <cell r="F1382">
            <v>-1.036541047788464</v>
          </cell>
          <cell r="G1382">
            <v>-1.7494072456975207</v>
          </cell>
          <cell r="H1382">
            <v>-2.2803726763127696</v>
          </cell>
          <cell r="I1382">
            <v>-2.7192869382147933</v>
          </cell>
          <cell r="J1382">
            <v>-3.1102335999156017</v>
          </cell>
          <cell r="K1382">
            <v>-3.4754661044280932</v>
          </cell>
          <cell r="L1382">
            <v>-3.8278995212550959</v>
          </cell>
          <cell r="M1382">
            <v>-4.1728374879245305</v>
          </cell>
          <cell r="N1382">
            <v>-4.5128167684405867</v>
          </cell>
          <cell r="O1382">
            <v>-4.8491361199059728</v>
          </cell>
          <cell r="P1382">
            <v>-5.2531327730203303</v>
          </cell>
          <cell r="Q1382">
            <v>-5.5805799658833148</v>
          </cell>
          <cell r="R1382">
            <v>-5.8653222513646019</v>
          </cell>
          <cell r="S1382">
            <v>-6.1259995318658778</v>
          </cell>
          <cell r="T1382">
            <v>-6.3707498645392491</v>
          </cell>
          <cell r="U1382">
            <v>-6.6030575170254675</v>
          </cell>
          <cell r="V1382">
            <v>-6.8277932865618896</v>
          </cell>
          <cell r="W1382">
            <v>-7.0447197837047337</v>
          </cell>
          <cell r="X1382">
            <v>-7.2537911326137845</v>
          </cell>
          <cell r="Y1382">
            <v>-7.4551259496079219</v>
          </cell>
          <cell r="Z1382">
            <v>-7.6489528621221599</v>
          </cell>
          <cell r="AA1382">
            <v>-7.8354125676894366</v>
          </cell>
          <cell r="AB1382">
            <v>-8.014524141995949</v>
          </cell>
          <cell r="AC1382">
            <v>-8.1864197055926731</v>
          </cell>
          <cell r="AD1382">
            <v>-8.351197168744239</v>
          </cell>
          <cell r="AE1382">
            <v>-8.5089617200356127</v>
          </cell>
          <cell r="AF1382">
            <v>-8.6584563339692</v>
          </cell>
          <cell r="AG1382">
            <v>-8.7998725031885776</v>
          </cell>
          <cell r="AH1382">
            <v>-8.9335041566008915</v>
          </cell>
          <cell r="AI1382">
            <v>-9.0596428137766907</v>
          </cell>
          <cell r="AJ1382">
            <v>-9.1785528869145807</v>
          </cell>
          <cell r="AK1382">
            <v>-9.2896972436755547</v>
          </cell>
          <cell r="AL1382">
            <v>-9.3935596916319355</v>
          </cell>
          <cell r="AM1382">
            <v>-9.4905516310490938</v>
          </cell>
          <cell r="AN1382">
            <v>-9.5810535277017994</v>
          </cell>
          <cell r="AO1382">
            <v>-9.6654406836806039</v>
          </cell>
          <cell r="AP1382">
            <v>-9.7371465854388166</v>
          </cell>
          <cell r="AQ1382">
            <v>-9.7988697212780131</v>
          </cell>
          <cell r="AR1382">
            <v>-9.8524617011722437</v>
          </cell>
          <cell r="AS1382">
            <v>-9.8993024632268103</v>
          </cell>
          <cell r="AT1382">
            <v>-9.9404854578913788</v>
          </cell>
          <cell r="AU1382">
            <v>-9.9757776576762218</v>
          </cell>
          <cell r="AV1382">
            <v>-10.006225025930748</v>
          </cell>
          <cell r="AW1382">
            <v>-10.032662193284736</v>
          </cell>
          <cell r="AX1382">
            <v>-10.055790998320902</v>
          </cell>
          <cell r="AY1382">
            <v>-10.076233417630664</v>
          </cell>
          <cell r="AZ1382">
            <v>-10.090839189994172</v>
          </cell>
          <cell r="BA1382">
            <v>-10.10126077111082</v>
          </cell>
          <cell r="BB1382">
            <v>-10.108805879581773</v>
          </cell>
          <cell r="BC1382">
            <v>-10.114490655023534</v>
          </cell>
          <cell r="BD1382">
            <v>-10.119125479343506</v>
          </cell>
          <cell r="BE1382">
            <v>-1.6590830803153711E-2</v>
          </cell>
          <cell r="BF1382">
            <v>6.790661820388344E-3</v>
          </cell>
          <cell r="BG1382">
            <v>3.1922676942941486E-2</v>
          </cell>
          <cell r="BH1382">
            <v>5.8664753424508831E-2</v>
          </cell>
          <cell r="BI1382">
            <v>8.686713636258947E-2</v>
          </cell>
        </row>
        <row r="1383">
          <cell r="E1383" t="str">
            <v>100*(X_2/X_0-1)</v>
          </cell>
          <cell r="F1383">
            <v>-4.8444711240031468</v>
          </cell>
          <cell r="G1383">
            <v>-5.1860825043559604</v>
          </cell>
          <cell r="H1383">
            <v>-5.494845264894666</v>
          </cell>
          <cell r="I1383">
            <v>-5.7827537471925039</v>
          </cell>
          <cell r="J1383">
            <v>-6.0595933288823183</v>
          </cell>
          <cell r="K1383">
            <v>-6.3324710328010454</v>
          </cell>
          <cell r="L1383">
            <v>-6.613855412427494</v>
          </cell>
          <cell r="M1383">
            <v>-6.8994779652994609</v>
          </cell>
          <cell r="N1383">
            <v>-7.1917244440154899</v>
          </cell>
          <cell r="O1383">
            <v>-7.4923892876880611</v>
          </cell>
          <cell r="P1383">
            <v>-8.1435150190685697</v>
          </cell>
          <cell r="Q1383">
            <v>-8.2448977088214299</v>
          </cell>
          <cell r="R1383">
            <v>-8.3605084731596779</v>
          </cell>
          <cell r="S1383">
            <v>-8.4931679047477999</v>
          </cell>
          <cell r="T1383">
            <v>-8.643975743924436</v>
          </cell>
          <cell r="U1383">
            <v>-8.8128254095590997</v>
          </cell>
          <cell r="V1383">
            <v>-9.0144611489910265</v>
          </cell>
          <cell r="W1383">
            <v>-9.2321154040271978</v>
          </cell>
          <cell r="X1383">
            <v>-9.4642542062634014</v>
          </cell>
          <cell r="Y1383">
            <v>-9.7092150661861822</v>
          </cell>
          <cell r="Z1383">
            <v>-9.965251312138701</v>
          </cell>
          <cell r="AA1383">
            <v>-10.229918228439761</v>
          </cell>
          <cell r="AB1383">
            <v>-10.502278002805088</v>
          </cell>
          <cell r="AC1383">
            <v>-10.780735791258056</v>
          </cell>
          <cell r="AD1383">
            <v>-11.063786273644682</v>
          </cell>
          <cell r="AE1383">
            <v>-11.349960296615723</v>
          </cell>
          <cell r="AF1383">
            <v>-11.62972802428791</v>
          </cell>
          <cell r="AG1383">
            <v>-11.910208058961713</v>
          </cell>
          <cell r="AH1383">
            <v>-12.190541943724931</v>
          </cell>
          <cell r="AI1383">
            <v>-12.470047536820783</v>
          </cell>
          <cell r="AJ1383">
            <v>-12.748186427989861</v>
          </cell>
          <cell r="AK1383">
            <v>-13.020817282450425</v>
          </cell>
          <cell r="AL1383">
            <v>-13.291334896905449</v>
          </cell>
          <cell r="AM1383">
            <v>-13.5595486171883</v>
          </cell>
          <cell r="AN1383">
            <v>-13.825362238161675</v>
          </cell>
          <cell r="AO1383">
            <v>-14.088756144497495</v>
          </cell>
          <cell r="AP1383">
            <v>-14.31699263195263</v>
          </cell>
          <cell r="AQ1383">
            <v>-14.542643663145183</v>
          </cell>
          <cell r="AR1383">
            <v>-14.765978787484757</v>
          </cell>
          <cell r="AS1383">
            <v>-14.987350657243992</v>
          </cell>
          <cell r="AT1383">
            <v>-15.207111471787449</v>
          </cell>
          <cell r="AU1383">
            <v>-15.420356587386141</v>
          </cell>
          <cell r="AV1383">
            <v>-15.632498721405453</v>
          </cell>
          <cell r="AW1383">
            <v>-15.843756789567642</v>
          </cell>
          <cell r="AX1383">
            <v>-16.054310595976329</v>
          </cell>
          <cell r="AY1383">
            <v>-16.264297712312757</v>
          </cell>
          <cell r="AZ1383">
            <v>-16.456385843786137</v>
          </cell>
          <cell r="BA1383">
            <v>-16.647881580986656</v>
          </cell>
          <cell r="BB1383">
            <v>-16.838897995089365</v>
          </cell>
          <cell r="BC1383">
            <v>-17.029553477402469</v>
          </cell>
          <cell r="BD1383">
            <v>-17.219935687060982</v>
          </cell>
          <cell r="BE1383">
            <v>-0.54398262451842427</v>
          </cell>
          <cell r="BF1383">
            <v>-0.56541867023395254</v>
          </cell>
          <cell r="BG1383">
            <v>-0.5866946144340468</v>
          </cell>
          <cell r="BH1383">
            <v>-0.60781986002279575</v>
          </cell>
          <cell r="BI1383">
            <v>-0.62881021150971161</v>
          </cell>
        </row>
        <row r="1384">
          <cell r="E1384" t="str">
            <v>100*(M_2/M_0-1)</v>
          </cell>
          <cell r="F1384">
            <v>-1.6155209071262888</v>
          </cell>
          <cell r="G1384">
            <v>-2.2455090689553869</v>
          </cell>
          <cell r="H1384">
            <v>-2.7319585976311123</v>
          </cell>
          <cell r="I1384">
            <v>-3.155588881900806</v>
          </cell>
          <cell r="J1384">
            <v>-3.536135945532437</v>
          </cell>
          <cell r="K1384">
            <v>-3.8836244096916994</v>
          </cell>
          <cell r="L1384">
            <v>-4.2077763035457849</v>
          </cell>
          <cell r="M1384">
            <v>-4.5123352251699611</v>
          </cell>
          <cell r="N1384">
            <v>-4.8010562804485453</v>
          </cell>
          <cell r="O1384">
            <v>-5.0770462880267537</v>
          </cell>
          <cell r="P1384">
            <v>-5.4604794837322164</v>
          </cell>
          <cell r="Q1384">
            <v>-5.6778784885945015</v>
          </cell>
          <cell r="R1384">
            <v>-5.8533847329318434</v>
          </cell>
          <cell r="S1384">
            <v>-6.0043318111923982</v>
          </cell>
          <cell r="T1384">
            <v>-6.1367892508166761</v>
          </cell>
          <cell r="U1384">
            <v>-6.2544257969074479</v>
          </cell>
          <cell r="V1384">
            <v>-6.3652088571578558</v>
          </cell>
          <cell r="W1384">
            <v>-6.4683050532790221</v>
          </cell>
          <cell r="X1384">
            <v>-6.5653868579559678</v>
          </cell>
          <cell r="Y1384">
            <v>-6.6581276192289707</v>
          </cell>
          <cell r="Z1384">
            <v>-6.7480153054687246</v>
          </cell>
          <cell r="AA1384">
            <v>-6.8362288997403597</v>
          </cell>
          <cell r="AB1384">
            <v>-6.9236133564369862</v>
          </cell>
          <cell r="AC1384">
            <v>-7.0110094667052874</v>
          </cell>
          <cell r="AD1384">
            <v>-7.099035105469687</v>
          </cell>
          <cell r="AE1384">
            <v>-7.1879387772839642</v>
          </cell>
          <cell r="AF1384">
            <v>-7.2763846655368276</v>
          </cell>
          <cell r="AG1384">
            <v>-7.3656140303164364</v>
          </cell>
          <cell r="AH1384">
            <v>-7.4560347193803223</v>
          </cell>
          <cell r="AI1384">
            <v>-7.5478404947210258</v>
          </cell>
          <cell r="AJ1384">
            <v>-7.6410925646116956</v>
          </cell>
          <cell r="AK1384">
            <v>-7.7345690877948297</v>
          </cell>
          <cell r="AL1384">
            <v>-7.829018222172146</v>
          </cell>
          <cell r="AM1384">
            <v>-7.9244929045077184</v>
          </cell>
          <cell r="AN1384">
            <v>-8.0209524143236557</v>
          </cell>
          <cell r="AO1384">
            <v>-8.11831488828172</v>
          </cell>
          <cell r="AP1384">
            <v>-8.2057336741551019</v>
          </cell>
          <cell r="AQ1384">
            <v>-8.2907272702785413</v>
          </cell>
          <cell r="AR1384">
            <v>-8.3745315314580182</v>
          </cell>
          <cell r="AS1384">
            <v>-8.4577019200700256</v>
          </cell>
          <cell r="AT1384">
            <v>-8.5405382696846175</v>
          </cell>
          <cell r="AU1384">
            <v>-8.6215041663866501</v>
          </cell>
          <cell r="AV1384">
            <v>-8.7018543560126833</v>
          </cell>
          <cell r="AW1384">
            <v>-8.7818761394570011</v>
          </cell>
          <cell r="AX1384">
            <v>-8.8617411083416915</v>
          </cell>
          <cell r="AY1384">
            <v>-8.9415801420241419</v>
          </cell>
          <cell r="AZ1384">
            <v>-9.0158143185868909</v>
          </cell>
          <cell r="BA1384">
            <v>-9.0884580762773393</v>
          </cell>
          <cell r="BB1384">
            <v>-9.1603597203742222</v>
          </cell>
          <cell r="BC1384">
            <v>-9.232021499621279</v>
          </cell>
          <cell r="BD1384">
            <v>-9.303753964241535</v>
          </cell>
          <cell r="BE1384">
            <v>0.12102451906113032</v>
          </cell>
          <cell r="BF1384">
            <v>0.1305828611516846</v>
          </cell>
          <cell r="BG1384">
            <v>0.14036785952271646</v>
          </cell>
          <cell r="BH1384">
            <v>0.15031976500954336</v>
          </cell>
          <cell r="BI1384">
            <v>0.1603921557421506</v>
          </cell>
        </row>
        <row r="1385">
          <cell r="C1385" t="str">
            <v>Consommation des ménages</v>
          </cell>
          <cell r="E1385" t="str">
            <v>100*((CH_2-CH_ccon_2)/(CH_0-CH_ccon_0)-1)</v>
          </cell>
          <cell r="F1385">
            <v>-0.47647014917812092</v>
          </cell>
          <cell r="G1385">
            <v>-1.0422585504559656</v>
          </cell>
          <cell r="H1385">
            <v>-1.566429830002769</v>
          </cell>
          <cell r="I1385">
            <v>-2.0184925050423796</v>
          </cell>
          <cell r="J1385">
            <v>-2.3995142711934703</v>
          </cell>
          <cell r="K1385">
            <v>-2.7187776798477725</v>
          </cell>
          <cell r="L1385">
            <v>-2.9877618205762735</v>
          </cell>
          <cell r="M1385">
            <v>-3.2153724853917209</v>
          </cell>
          <cell r="N1385">
            <v>-3.4095217768749353</v>
          </cell>
          <cell r="O1385">
            <v>-3.5770908218529573</v>
          </cell>
          <cell r="P1385">
            <v>-3.7524692576790031</v>
          </cell>
          <cell r="Q1385">
            <v>-3.8991021676071491</v>
          </cell>
          <cell r="R1385">
            <v>-4.0085456418462506</v>
          </cell>
          <cell r="S1385">
            <v>-4.0827932652792276</v>
          </cell>
          <cell r="T1385">
            <v>-4.1269313318351379</v>
          </cell>
          <cell r="U1385">
            <v>-4.1468253718222492</v>
          </cell>
          <cell r="V1385">
            <v>-4.1500394818750568</v>
          </cell>
          <cell r="W1385">
            <v>-4.1421105043156548</v>
          </cell>
          <cell r="X1385">
            <v>-4.1274406320002228</v>
          </cell>
          <cell r="Y1385">
            <v>-4.1096320991157338</v>
          </cell>
          <cell r="Z1385">
            <v>-4.0920649150173354</v>
          </cell>
          <cell r="AA1385">
            <v>-4.0759158595460088</v>
          </cell>
          <cell r="AB1385">
            <v>-4.0632632869158858</v>
          </cell>
          <cell r="AC1385">
            <v>-4.0554818996509585</v>
          </cell>
          <cell r="AD1385">
            <v>-4.0534208351650562</v>
          </cell>
          <cell r="AE1385">
            <v>-4.0587260358722066</v>
          </cell>
          <cell r="AF1385">
            <v>-4.0685638179768997</v>
          </cell>
          <cell r="AG1385">
            <v>-4.0832088539123905</v>
          </cell>
          <cell r="AH1385">
            <v>-4.1029790773576273</v>
          </cell>
          <cell r="AI1385">
            <v>-4.1279994228894274</v>
          </cell>
          <cell r="AJ1385">
            <v>-4.1581872829544952</v>
          </cell>
          <cell r="AK1385">
            <v>-4.1928822824806922</v>
          </cell>
          <cell r="AL1385">
            <v>-4.2317540511269343</v>
          </cell>
          <cell r="AM1385">
            <v>-4.2745522955760062</v>
          </cell>
          <cell r="AN1385">
            <v>-4.321012975760552</v>
          </cell>
          <cell r="AO1385">
            <v>-4.3708446278014517</v>
          </cell>
          <cell r="AP1385">
            <v>-4.4201225792534053</v>
          </cell>
          <cell r="AQ1385">
            <v>-4.4681149633167161</v>
          </cell>
          <cell r="AR1385">
            <v>-4.5154316717929799</v>
          </cell>
          <cell r="AS1385">
            <v>-4.562812957482687</v>
          </cell>
          <cell r="AT1385">
            <v>-4.6107818025722391</v>
          </cell>
          <cell r="AU1385">
            <v>-4.65902869989403</v>
          </cell>
          <cell r="AV1385">
            <v>-4.7077199176415068</v>
          </cell>
          <cell r="AW1385">
            <v>-4.7571388560124213</v>
          </cell>
          <cell r="AX1385">
            <v>-4.8075456488203105</v>
          </cell>
          <cell r="AY1385">
            <v>-4.8591465704232668</v>
          </cell>
          <cell r="AZ1385">
            <v>-4.9100037209641512</v>
          </cell>
          <cell r="BA1385">
            <v>-4.9602532088820261</v>
          </cell>
          <cell r="BB1385">
            <v>-5.0105826196923164</v>
          </cell>
          <cell r="BC1385">
            <v>-5.0616154391458164</v>
          </cell>
          <cell r="BD1385">
            <v>-5.1137622154314055</v>
          </cell>
          <cell r="BE1385">
            <v>5.0694879674284543E-2</v>
          </cell>
          <cell r="BF1385">
            <v>5.4749036903967152E-2</v>
          </cell>
          <cell r="BG1385">
            <v>5.8653461274560392E-2</v>
          </cell>
          <cell r="BH1385">
            <v>6.230993204430213E-2</v>
          </cell>
          <cell r="BI1385">
            <v>6.5658514727173767E-2</v>
          </cell>
        </row>
        <row r="1386">
          <cell r="C1386" t="str">
            <v>Investissement</v>
          </cell>
          <cell r="E1386" t="str">
            <v>100*((I_2+CH_ccon_2)/(I_0+CH_ccon_0)-1)</v>
          </cell>
          <cell r="F1386">
            <v>-0.9474875959576412</v>
          </cell>
          <cell r="G1386">
            <v>-1.6041560278660216</v>
          </cell>
          <cell r="H1386">
            <v>-2.092392340829341</v>
          </cell>
          <cell r="I1386">
            <v>-2.494510482626866</v>
          </cell>
          <cell r="J1386">
            <v>-2.8521880938589872</v>
          </cell>
          <cell r="K1386">
            <v>-3.1865785305671523</v>
          </cell>
          <cell r="L1386">
            <v>-3.5098062404083863</v>
          </cell>
          <cell r="M1386">
            <v>-3.8265435812349979</v>
          </cell>
          <cell r="N1386">
            <v>-4.1388817724588023</v>
          </cell>
          <cell r="O1386">
            <v>-4.4478131420531923</v>
          </cell>
          <cell r="P1386">
            <v>-4.8177129592883672</v>
          </cell>
          <cell r="Q1386">
            <v>-5.1185451769081407</v>
          </cell>
          <cell r="R1386">
            <v>-5.3803200009670977</v>
          </cell>
          <cell r="S1386">
            <v>-5.6198325643544429</v>
          </cell>
          <cell r="T1386">
            <v>-5.8444467323243483</v>
          </cell>
          <cell r="U1386">
            <v>-6.0573088247357525</v>
          </cell>
          <cell r="V1386">
            <v>-6.2628755990437597</v>
          </cell>
          <cell r="W1386">
            <v>-6.4609889049608853</v>
          </cell>
          <cell r="X1386">
            <v>-6.6516534423032736</v>
          </cell>
          <cell r="Y1386">
            <v>-6.8350358859165183</v>
          </cell>
          <cell r="Z1386">
            <v>-7.0115585918349543</v>
          </cell>
          <cell r="AA1386">
            <v>-7.1811049084201883</v>
          </cell>
          <cell r="AB1386">
            <v>-7.3438890922038258</v>
          </cell>
          <cell r="AC1386">
            <v>-7.5001311140360123</v>
          </cell>
          <cell r="AD1386">
            <v>-7.6499791714899734</v>
          </cell>
          <cell r="AE1386">
            <v>-7.7939907306091349</v>
          </cell>
          <cell r="AF1386">
            <v>-7.9303119240193398</v>
          </cell>
          <cell r="AG1386">
            <v>-8.0592742644084776</v>
          </cell>
          <cell r="AH1386">
            <v>-8.1812363579380936</v>
          </cell>
          <cell r="AI1386">
            <v>-8.2965185527860363</v>
          </cell>
          <cell r="AJ1386">
            <v>-8.405393998286236</v>
          </cell>
          <cell r="AK1386">
            <v>-8.5073812111753249</v>
          </cell>
          <cell r="AL1386">
            <v>-8.6029232136340497</v>
          </cell>
          <cell r="AM1386">
            <v>-8.6924005483412827</v>
          </cell>
          <cell r="AN1386">
            <v>-8.7761616464807073</v>
          </cell>
          <cell r="AO1386">
            <v>-8.8545446688111937</v>
          </cell>
          <cell r="AP1386">
            <v>-8.9215723830356133</v>
          </cell>
          <cell r="AQ1386">
            <v>-8.9795370058574626</v>
          </cell>
          <cell r="AR1386">
            <v>-9.0301392626917725</v>
          </cell>
          <cell r="AS1386">
            <v>-9.0746804790620921</v>
          </cell>
          <cell r="AT1386">
            <v>-9.1141820795484936</v>
          </cell>
          <cell r="AU1386">
            <v>-9.1484185024757974</v>
          </cell>
          <cell r="AV1386">
            <v>-9.1783238834406191</v>
          </cell>
          <cell r="AW1386">
            <v>-9.2046481432370051</v>
          </cell>
          <cell r="AX1386">
            <v>-9.2280201584871602</v>
          </cell>
          <cell r="AY1386">
            <v>-9.2489945272237861</v>
          </cell>
          <cell r="AZ1386">
            <v>-9.2646320901642589</v>
          </cell>
          <cell r="BA1386">
            <v>-9.2764271688550828</v>
          </cell>
          <cell r="BB1386">
            <v>-9.2856001039235974</v>
          </cell>
          <cell r="BC1386">
            <v>-9.2930909739531771</v>
          </cell>
          <cell r="BD1386">
            <v>-9.2996381015451597</v>
          </cell>
          <cell r="BE1386">
            <v>-2.4029598338692892E-2</v>
          </cell>
          <cell r="BF1386">
            <v>-2.9464789680022641E-3</v>
          </cell>
          <cell r="BG1386">
            <v>1.9727906363664616E-2</v>
          </cell>
          <cell r="BH1386">
            <v>4.3856441714518191E-2</v>
          </cell>
          <cell r="BI1386">
            <v>6.9296504480398369E-2</v>
          </cell>
        </row>
        <row r="1387">
          <cell r="C1387" t="str">
            <v>Investissement ménages</v>
          </cell>
          <cell r="E1387" t="str">
            <v>100*((CH_ccon_2)/(CH_ccon_0)-1)</v>
          </cell>
          <cell r="F1387">
            <v>-0.52261044094290554</v>
          </cell>
          <cell r="G1387">
            <v>-1.0427622063214126</v>
          </cell>
          <cell r="H1387">
            <v>-1.452243546134091</v>
          </cell>
          <cell r="I1387">
            <v>-1.7739405224704741</v>
          </cell>
          <cell r="J1387">
            <v>-2.0452634139584314</v>
          </cell>
          <cell r="K1387">
            <v>-2.2886845462416039</v>
          </cell>
          <cell r="L1387">
            <v>-2.5147962628620624</v>
          </cell>
          <cell r="M1387">
            <v>-2.725030800627315</v>
          </cell>
          <cell r="N1387">
            <v>-2.9181310417248363</v>
          </cell>
          <cell r="O1387">
            <v>-3.0927378483655787</v>
          </cell>
          <cell r="P1387">
            <v>-3.2733816192203724</v>
          </cell>
          <cell r="Q1387">
            <v>-3.4237493728670354</v>
          </cell>
          <cell r="R1387">
            <v>-3.539106638618017</v>
          </cell>
          <cell r="S1387">
            <v>-3.6240150865358367</v>
          </cell>
          <cell r="T1387">
            <v>-3.6836072922579288</v>
          </cell>
          <cell r="U1387">
            <v>-3.7221106804948056</v>
          </cell>
          <cell r="V1387">
            <v>-3.7448544500740644</v>
          </cell>
          <cell r="W1387">
            <v>-3.7557610409107878</v>
          </cell>
          <cell r="X1387">
            <v>-3.7580771297983873</v>
          </cell>
          <cell r="Y1387">
            <v>-3.7548622172652535</v>
          </cell>
          <cell r="Z1387">
            <v>-3.7493769545519307</v>
          </cell>
          <cell r="AA1387">
            <v>-3.7432565275542062</v>
          </cell>
          <cell r="AB1387">
            <v>-3.739025295367282</v>
          </cell>
          <cell r="AC1387">
            <v>-3.7385581238937537</v>
          </cell>
          <cell r="AD1387">
            <v>-3.7431556376554376</v>
          </cell>
          <cell r="AE1387">
            <v>-3.7545399625298126</v>
          </cell>
          <cell r="AF1387">
            <v>-3.7705404145883414</v>
          </cell>
          <cell r="AG1387">
            <v>-3.7916959485524204</v>
          </cell>
          <cell r="AH1387">
            <v>-3.8186972326451851</v>
          </cell>
          <cell r="AI1387">
            <v>-3.85198244597319</v>
          </cell>
          <cell r="AJ1387">
            <v>-3.8916377576645789</v>
          </cell>
          <cell r="AK1387">
            <v>-3.9370441484338103</v>
          </cell>
          <cell r="AL1387">
            <v>-3.9878010864439428</v>
          </cell>
          <cell r="AM1387">
            <v>-4.043593209946506</v>
          </cell>
          <cell r="AN1387">
            <v>-4.1040735027923709</v>
          </cell>
          <cell r="AO1387">
            <v>-4.1688407781338865</v>
          </cell>
          <cell r="AP1387">
            <v>-4.2337695394461416</v>
          </cell>
          <cell r="AQ1387">
            <v>-4.2979371714768844</v>
          </cell>
          <cell r="AR1387">
            <v>-4.3622386282937349</v>
          </cell>
          <cell r="AS1387">
            <v>-4.4276970438397401</v>
          </cell>
          <cell r="AT1387">
            <v>-4.4948518574700946</v>
          </cell>
          <cell r="AU1387">
            <v>-4.5631234614470717</v>
          </cell>
          <cell r="AV1387">
            <v>-4.6322404530413364</v>
          </cell>
          <cell r="AW1387">
            <v>-4.7020881089528954</v>
          </cell>
          <cell r="AX1387">
            <v>-4.7725778163730919</v>
          </cell>
          <cell r="AY1387">
            <v>-4.8436264815833407</v>
          </cell>
          <cell r="AZ1387">
            <v>-4.9130872247733937</v>
          </cell>
          <cell r="BA1387">
            <v>-4.9810571742712195</v>
          </cell>
          <cell r="BB1387">
            <v>-5.048429467942162</v>
          </cell>
          <cell r="BC1387">
            <v>-5.1157201110579198</v>
          </cell>
          <cell r="BD1387">
            <v>-5.1831658434890793</v>
          </cell>
          <cell r="BE1387">
            <v>-0.17458533209651073</v>
          </cell>
          <cell r="BF1387">
            <v>-0.18184727266860046</v>
          </cell>
          <cell r="BG1387">
            <v>-0.18919186420462974</v>
          </cell>
          <cell r="BH1387">
            <v>-0.19676894095761455</v>
          </cell>
          <cell r="BI1387">
            <v>-0.20467680295104262</v>
          </cell>
        </row>
        <row r="1388">
          <cell r="C1388" t="str">
            <v>Investissement public</v>
          </cell>
          <cell r="E1388" t="str">
            <v>100*((IA_spub_2)/(IA_spub_0)-1)</v>
          </cell>
          <cell r="F1388">
            <v>-0.16409546821187782</v>
          </cell>
          <cell r="G1388">
            <v>-0.26811081998033837</v>
          </cell>
          <cell r="H1388">
            <v>-0.3264662434966592</v>
          </cell>
          <cell r="I1388">
            <v>-0.36490791899709274</v>
          </cell>
          <cell r="J1388">
            <v>-0.4000527921672159</v>
          </cell>
          <cell r="K1388">
            <v>-0.44000653269710144</v>
          </cell>
          <cell r="L1388">
            <v>-0.48795268472652253</v>
          </cell>
          <cell r="M1388">
            <v>-0.54361320117292111</v>
          </cell>
          <cell r="N1388">
            <v>-0.60581612996252199</v>
          </cell>
          <cell r="O1388">
            <v>-0.67323540078273458</v>
          </cell>
          <cell r="P1388">
            <v>-0.75347764149051866</v>
          </cell>
          <cell r="Q1388">
            <v>-0.82637934717105788</v>
          </cell>
          <cell r="R1388">
            <v>-0.8968540812684167</v>
          </cell>
          <cell r="S1388">
            <v>-0.96745159371407485</v>
          </cell>
          <cell r="T1388">
            <v>-1.0382138674854269</v>
          </cell>
          <cell r="U1388">
            <v>-1.1081606214225603</v>
          </cell>
          <cell r="V1388">
            <v>-1.1768363708139939</v>
          </cell>
          <cell r="W1388">
            <v>-1.2431381516514461</v>
          </cell>
          <cell r="X1388">
            <v>-1.3061831306134253</v>
          </cell>
          <cell r="Y1388">
            <v>-1.3653808352920627</v>
          </cell>
          <cell r="Z1388">
            <v>-1.420611566071972</v>
          </cell>
          <cell r="AA1388">
            <v>-1.4711544664705367</v>
          </cell>
          <cell r="AB1388">
            <v>-1.5172235763817987</v>
          </cell>
          <cell r="AC1388">
            <v>-1.5589687629800508</v>
          </cell>
          <cell r="AD1388">
            <v>-1.5965490593023213</v>
          </cell>
          <cell r="AE1388">
            <v>-1.6307785277831499</v>
          </cell>
          <cell r="AF1388">
            <v>-1.6603825599790789</v>
          </cell>
          <cell r="AG1388">
            <v>-1.6860074915921563</v>
          </cell>
          <cell r="AH1388">
            <v>-1.7082566803299448</v>
          </cell>
          <cell r="AI1388">
            <v>-1.7276744853147674</v>
          </cell>
          <cell r="AJ1388">
            <v>-1.7447419251751528</v>
          </cell>
          <cell r="AK1388">
            <v>-1.7597093051577639</v>
          </cell>
          <cell r="AL1388">
            <v>-1.7729927524852362</v>
          </cell>
          <cell r="AM1388">
            <v>-1.7849980013763478</v>
          </cell>
          <cell r="AN1388">
            <v>-1.7960906882111938</v>
          </cell>
          <cell r="AO1388">
            <v>-1.8065912745044654</v>
          </cell>
          <cell r="AP1388">
            <v>-1.8153532411845696</v>
          </cell>
          <cell r="AQ1388">
            <v>-1.8227508085048472</v>
          </cell>
          <cell r="AR1388">
            <v>-1.8295130444673235</v>
          </cell>
          <cell r="AS1388">
            <v>-1.8362778995988371</v>
          </cell>
          <cell r="AT1388">
            <v>-1.8434798161548915</v>
          </cell>
          <cell r="AU1388">
            <v>-1.8511074428839924</v>
          </cell>
          <cell r="AV1388">
            <v>-1.8593192299254713</v>
          </cell>
          <cell r="AW1388">
            <v>-1.8682322776620963</v>
          </cell>
          <cell r="AX1388">
            <v>-1.8779025722368781</v>
          </cell>
          <cell r="AY1388">
            <v>-1.888335598775337</v>
          </cell>
          <cell r="AZ1388">
            <v>-1.8986263986733198</v>
          </cell>
          <cell r="BA1388">
            <v>-1.9089312294184313</v>
          </cell>
          <cell r="BB1388">
            <v>-1.9195296360205782</v>
          </cell>
          <cell r="BC1388">
            <v>-1.9306059620005867</v>
          </cell>
          <cell r="BD1388">
            <v>-1.9422293711806815</v>
          </cell>
          <cell r="BE1388">
            <v>-4.6237572208673861E-2</v>
          </cell>
          <cell r="BF1388">
            <v>-3.9788414709518438E-2</v>
          </cell>
          <cell r="BG1388">
            <v>-3.2910111721817792E-2</v>
          </cell>
          <cell r="BH1388">
            <v>-2.5688620004793439E-2</v>
          </cell>
          <cell r="BI1388">
            <v>-1.8194280593819556E-2</v>
          </cell>
        </row>
        <row r="1389">
          <cell r="C1389" t="str">
            <v>Revenu disponible des ménages</v>
          </cell>
          <cell r="E1389" t="str">
            <v>100*(DISPINC_AT_VAL_2/DISPINC_AT_VAL_0-1)</v>
          </cell>
          <cell r="F1389">
            <v>-0.78476000156448844</v>
          </cell>
          <cell r="G1389">
            <v>-1.5202373610628039</v>
          </cell>
          <cell r="H1389">
            <v>-2.2030412633712415</v>
          </cell>
          <cell r="I1389">
            <v>-2.8323578112496972</v>
          </cell>
          <cell r="J1389">
            <v>-3.4069154215186193</v>
          </cell>
          <cell r="K1389">
            <v>-3.9272337778605171</v>
          </cell>
          <cell r="L1389">
            <v>-4.3978960516400045</v>
          </cell>
          <cell r="M1389">
            <v>-4.8214947191027253</v>
          </cell>
          <cell r="N1389">
            <v>-5.2021840282157399</v>
          </cell>
          <cell r="O1389">
            <v>-5.5440357584603301</v>
          </cell>
          <cell r="P1389">
            <v>-5.9051891689981932</v>
          </cell>
          <cell r="Q1389">
            <v>-6.1946551890247221</v>
          </cell>
          <cell r="R1389">
            <v>-6.4166870863549335</v>
          </cell>
          <cell r="S1389">
            <v>-6.5782647298280539</v>
          </cell>
          <cell r="T1389">
            <v>-6.6868095404103656</v>
          </cell>
          <cell r="U1389">
            <v>-6.7499758657033171</v>
          </cell>
          <cell r="V1389">
            <v>-6.7771132372072547</v>
          </cell>
          <cell r="W1389">
            <v>-6.7749690352897574</v>
          </cell>
          <cell r="X1389">
            <v>-6.7498478952238479</v>
          </cell>
          <cell r="Y1389">
            <v>-6.7074816581644274</v>
          </cell>
          <cell r="Z1389">
            <v>-6.6538097035170889</v>
          </cell>
          <cell r="AA1389">
            <v>-6.5912381069619492</v>
          </cell>
          <cell r="AB1389">
            <v>-6.5247919163731289</v>
          </cell>
          <cell r="AC1389">
            <v>-6.4576858901338579</v>
          </cell>
          <cell r="AD1389">
            <v>-6.3925906263788246</v>
          </cell>
          <cell r="AE1389">
            <v>-6.3337948953792971</v>
          </cell>
          <cell r="AF1389">
            <v>-6.2780082519024898</v>
          </cell>
          <cell r="AG1389">
            <v>-6.2283869909386169</v>
          </cell>
          <cell r="AH1389">
            <v>-6.1859515611123346</v>
          </cell>
          <cell r="AI1389">
            <v>-6.1513111332467947</v>
          </cell>
          <cell r="AJ1389">
            <v>-6.1247740189804167</v>
          </cell>
          <cell r="AK1389">
            <v>-6.1060100327150586</v>
          </cell>
          <cell r="AL1389">
            <v>-6.0950106348436117</v>
          </cell>
          <cell r="AM1389">
            <v>-6.0915702182528957</v>
          </cell>
          <cell r="AN1389">
            <v>-6.0953361808040114</v>
          </cell>
          <cell r="AO1389">
            <v>-6.1058572183347763</v>
          </cell>
          <cell r="AP1389">
            <v>-6.1194797821207629</v>
          </cell>
          <cell r="AQ1389">
            <v>-6.1358789930420983</v>
          </cell>
          <cell r="AR1389">
            <v>-6.1549832324060088</v>
          </cell>
          <cell r="AS1389">
            <v>-6.1765153430530795</v>
          </cell>
          <cell r="AT1389">
            <v>-6.2001740220588246</v>
          </cell>
          <cell r="AU1389">
            <v>-6.2251767550960402</v>
          </cell>
          <cell r="AV1389">
            <v>-6.2515211636379409</v>
          </cell>
          <cell r="AW1389">
            <v>-6.2792148439922757</v>
          </cell>
          <cell r="AX1389">
            <v>-6.3082865518718112</v>
          </cell>
          <cell r="AY1389">
            <v>-6.3387981740744674</v>
          </cell>
          <cell r="AZ1389">
            <v>-6.3690137575683092</v>
          </cell>
          <cell r="BA1389">
            <v>-6.3995836592185888</v>
          </cell>
          <cell r="BB1389">
            <v>-6.4308855333764399</v>
          </cell>
          <cell r="BC1389">
            <v>-6.463143318153131</v>
          </cell>
          <cell r="BD1389">
            <v>-6.4965353273153887</v>
          </cell>
          <cell r="BE1389">
            <v>0.8125431429759411</v>
          </cell>
          <cell r="BF1389">
            <v>0.84413600174433334</v>
          </cell>
          <cell r="BG1389">
            <v>0.87530829797670684</v>
          </cell>
          <cell r="BH1389">
            <v>0.90604525289521565</v>
          </cell>
          <cell r="BI1389">
            <v>0.93634214291802298</v>
          </cell>
        </row>
        <row r="1390">
          <cell r="C1390" t="str">
            <v>Revenu disponible réel des ménages</v>
          </cell>
          <cell r="E1390" t="str">
            <v>100*(DISPINC_AT_VAL_2/DISPINC_AT_VAL_0-1)-100*(PCH_2/PCH_0-1)</v>
          </cell>
          <cell r="F1390">
            <v>-0.70015622675820843</v>
          </cell>
          <cell r="G1390">
            <v>-1.2456903309656542</v>
          </cell>
          <cell r="H1390">
            <v>-1.689062117941087</v>
          </cell>
          <cell r="I1390">
            <v>-2.0631202333672327</v>
          </cell>
          <cell r="J1390">
            <v>-2.3841368026242704</v>
          </cell>
          <cell r="K1390">
            <v>-2.6607489451691224</v>
          </cell>
          <cell r="L1390">
            <v>-2.9009559923477091</v>
          </cell>
          <cell r="M1390">
            <v>-3.1088820429281401</v>
          </cell>
          <cell r="N1390">
            <v>-3.2897205770814235</v>
          </cell>
          <cell r="O1390">
            <v>-3.448367091344839</v>
          </cell>
          <cell r="P1390">
            <v>-3.6296513029884352</v>
          </cell>
          <cell r="Q1390">
            <v>-3.7620278034374839</v>
          </cell>
          <cell r="R1390">
            <v>-3.8563226897822549</v>
          </cell>
          <cell r="S1390">
            <v>-3.9202632758612133</v>
          </cell>
          <cell r="T1390">
            <v>-3.9595406994493487</v>
          </cell>
          <cell r="U1390">
            <v>-3.9792470340686448</v>
          </cell>
          <cell r="V1390">
            <v>-3.9866679917800125</v>
          </cell>
          <cell r="W1390">
            <v>-3.98534004390666</v>
          </cell>
          <cell r="X1390">
            <v>-3.9785537841348968</v>
          </cell>
          <cell r="Y1390">
            <v>-3.9692113845347214</v>
          </cell>
          <cell r="Z1390">
            <v>-3.9604027507151867</v>
          </cell>
          <cell r="AA1390">
            <v>-3.9521643785922485</v>
          </cell>
          <cell r="AB1390">
            <v>-3.947195384645918</v>
          </cell>
          <cell r="AC1390">
            <v>-3.9465299032890648</v>
          </cell>
          <cell r="AD1390">
            <v>-3.9508474712994568</v>
          </cell>
          <cell r="AE1390">
            <v>-3.9622516123122735</v>
          </cell>
          <cell r="AF1390">
            <v>-3.9758137440598311</v>
          </cell>
          <cell r="AG1390">
            <v>-3.9938816824458212</v>
          </cell>
          <cell r="AH1390">
            <v>-4.0168104049459465</v>
          </cell>
          <cell r="AI1390">
            <v>-4.0446448263163122</v>
          </cell>
          <cell r="AJ1390">
            <v>-4.0772392444801913</v>
          </cell>
          <cell r="AK1390">
            <v>-4.1137165033026992</v>
          </cell>
          <cell r="AL1390">
            <v>-4.1540177342999973</v>
          </cell>
          <cell r="AM1390">
            <v>-4.197978984071705</v>
          </cell>
          <cell r="AN1390">
            <v>-4.2453606784849551</v>
          </cell>
          <cell r="AO1390">
            <v>-4.2958866757958463</v>
          </cell>
          <cell r="AP1390">
            <v>-4.3439420409003509</v>
          </cell>
          <cell r="AQ1390">
            <v>-4.3907990450889667</v>
          </cell>
          <cell r="AR1390">
            <v>-4.4376901804607742</v>
          </cell>
          <cell r="AS1390">
            <v>-4.4852425505474969</v>
          </cell>
          <cell r="AT1390">
            <v>-4.5337259715714016</v>
          </cell>
          <cell r="AU1390">
            <v>-4.582344397687665</v>
          </cell>
          <cell r="AV1390">
            <v>-4.6315264748483909</v>
          </cell>
          <cell r="AW1390">
            <v>-4.681577216970223</v>
          </cell>
          <cell r="AX1390">
            <v>-4.7327047944067058</v>
          </cell>
          <cell r="AY1390">
            <v>-4.7850609275923999</v>
          </cell>
          <cell r="AZ1390">
            <v>-4.8356600768547082</v>
          </cell>
          <cell r="BA1390">
            <v>-4.885894568623284</v>
          </cell>
          <cell r="BB1390">
            <v>-4.9366545582136707</v>
          </cell>
          <cell r="BC1390">
            <v>-4.9884134626950853</v>
          </cell>
          <cell r="BD1390">
            <v>-5.0414002125514497</v>
          </cell>
          <cell r="BE1390">
            <v>4.7498446736571331E-2</v>
          </cell>
          <cell r="BF1390">
            <v>5.1407209653087094E-2</v>
          </cell>
          <cell r="BG1390">
            <v>5.5114852930970848E-2</v>
          </cell>
          <cell r="BH1390">
            <v>5.8544590700004839E-2</v>
          </cell>
          <cell r="BI1390">
            <v>6.1660941499108723E-2</v>
          </cell>
        </row>
        <row r="1391">
          <cell r="C1391" t="str">
            <v>Revenu disponible par emploi en valeur</v>
          </cell>
          <cell r="E1391" t="str">
            <v>100*(DISPINC_AT_VAL_2/DISPINC_AT_VAL_0-1)-100*((F_L_2/F_L_0)-1)</v>
          </cell>
          <cell r="F1391">
            <v>-0.12828467911576436</v>
          </cell>
          <cell r="G1391">
            <v>-0.27281093628623854</v>
          </cell>
          <cell r="H1391">
            <v>-0.47682771068855434</v>
          </cell>
          <cell r="I1391">
            <v>-0.73061372038817352</v>
          </cell>
          <cell r="J1391">
            <v>-1.0131808084447802</v>
          </cell>
          <cell r="K1391">
            <v>-1.3054111619745123</v>
          </cell>
          <cell r="L1391">
            <v>-1.5940279653614997</v>
          </cell>
          <cell r="M1391">
            <v>-1.8682850379676315</v>
          </cell>
          <cell r="N1391">
            <v>-2.1221392270821542</v>
          </cell>
          <cell r="O1391">
            <v>-2.3520151368016546</v>
          </cell>
          <cell r="P1391">
            <v>-2.5596026197900916</v>
          </cell>
          <cell r="Q1391">
            <v>-2.7451945127007322</v>
          </cell>
          <cell r="R1391">
            <v>-2.9025077401718451</v>
          </cell>
          <cell r="S1391">
            <v>-3.0258057269059613</v>
          </cell>
          <cell r="T1391">
            <v>-3.1125129483606684</v>
          </cell>
          <cell r="U1391">
            <v>-3.1630487445740818</v>
          </cell>
          <cell r="V1391">
            <v>-3.1806595732482896</v>
          </cell>
          <cell r="W1391">
            <v>-3.1683714740177615</v>
          </cell>
          <cell r="X1391">
            <v>-3.1302077159964576</v>
          </cell>
          <cell r="Y1391">
            <v>-3.0705512066927736</v>
          </cell>
          <cell r="Z1391">
            <v>-2.9944523084135981</v>
          </cell>
          <cell r="AA1391">
            <v>-2.9044260983148158</v>
          </cell>
          <cell r="AB1391">
            <v>-2.8055980902881523</v>
          </cell>
          <cell r="AC1391">
            <v>-2.701499091149973</v>
          </cell>
          <cell r="AD1391">
            <v>-2.5952874127980974</v>
          </cell>
          <cell r="AE1391">
            <v>-2.4914312051206648</v>
          </cell>
          <cell r="AF1391">
            <v>-2.3881222986842703</v>
          </cell>
          <cell r="AG1391">
            <v>-2.2894928021182204</v>
          </cell>
          <cell r="AH1391">
            <v>-2.1972423669959102</v>
          </cell>
          <cell r="AI1391">
            <v>-2.1124938849138459</v>
          </cell>
          <cell r="AJ1391">
            <v>-2.0359807284039961</v>
          </cell>
          <cell r="AK1391">
            <v>-1.9678622267275117</v>
          </cell>
          <cell r="AL1391">
            <v>-1.9085684745757776</v>
          </cell>
          <cell r="AM1391">
            <v>-1.8581817725888961</v>
          </cell>
          <cell r="AN1391">
            <v>-1.8165511287604126</v>
          </cell>
          <cell r="AO1391">
            <v>-1.7833669851391125</v>
          </cell>
          <cell r="AP1391">
            <v>-1.7557213919329744</v>
          </cell>
          <cell r="AQ1391">
            <v>-1.7344962092812883</v>
          </cell>
          <cell r="AR1391">
            <v>-1.7197242438270148</v>
          </cell>
          <cell r="AS1391">
            <v>-1.7107699933008647</v>
          </cell>
          <cell r="AT1391">
            <v>-1.7068106018736655</v>
          </cell>
          <cell r="AU1391">
            <v>-1.7066049167437818</v>
          </cell>
          <cell r="AV1391">
            <v>-1.7098861449316942</v>
          </cell>
          <cell r="AW1391">
            <v>-1.716289158411322</v>
          </cell>
          <cell r="AX1391">
            <v>-1.725463467099198</v>
          </cell>
          <cell r="AY1391">
            <v>-1.7371220096163995</v>
          </cell>
          <cell r="AZ1391">
            <v>-1.7493138600505613</v>
          </cell>
          <cell r="BA1391">
            <v>-1.7631654629045483</v>
          </cell>
          <cell r="BB1391">
            <v>-1.7789132641826235</v>
          </cell>
          <cell r="BC1391">
            <v>-1.7964652047582685</v>
          </cell>
          <cell r="BD1391">
            <v>-1.8156644791815992</v>
          </cell>
          <cell r="BE1391">
            <v>0.67226973873200091</v>
          </cell>
          <cell r="BF1391">
            <v>0.69672447596293985</v>
          </cell>
          <cell r="BG1391">
            <v>0.72048719210395795</v>
          </cell>
          <cell r="BH1391">
            <v>0.74351876459619604</v>
          </cell>
          <cell r="BI1391">
            <v>0.76583071177447337</v>
          </cell>
        </row>
        <row r="1392">
          <cell r="C1392" t="str">
            <v>Revenu disponible réel par emploi</v>
          </cell>
          <cell r="E1392" t="str">
            <v>100*(DISPINC_AT_VAL_2/DISPINC_AT_VAL_0-1)-100*((F_L_2/F_L_0)-1)-100*(PCH_2/PCH_0-1)</v>
          </cell>
          <cell r="F1392">
            <v>-4.3680904309484347E-2</v>
          </cell>
          <cell r="G1392">
            <v>1.7360938109112212E-3</v>
          </cell>
          <cell r="H1392">
            <v>3.7151434741600209E-2</v>
          </cell>
          <cell r="I1392">
            <v>3.8623857494290981E-2</v>
          </cell>
          <cell r="J1392">
            <v>9.5978104495686445E-3</v>
          </cell>
          <cell r="K1392">
            <v>-3.8926329283117678E-2</v>
          </cell>
          <cell r="L1392">
            <v>-9.7087906069204255E-2</v>
          </cell>
          <cell r="M1392">
            <v>-0.15567236179304622</v>
          </cell>
          <cell r="N1392">
            <v>-0.20967577594783782</v>
          </cell>
          <cell r="O1392">
            <v>-0.25634646968616348</v>
          </cell>
          <cell r="P1392">
            <v>-0.28406475378033358</v>
          </cell>
          <cell r="Q1392">
            <v>-0.31256712711349399</v>
          </cell>
          <cell r="R1392">
            <v>-0.34214334359916654</v>
          </cell>
          <cell r="S1392">
            <v>-0.36780427293912066</v>
          </cell>
          <cell r="T1392">
            <v>-0.38524410739965154</v>
          </cell>
          <cell r="U1392">
            <v>-0.39231991293940949</v>
          </cell>
          <cell r="V1392">
            <v>-0.39021432782104748</v>
          </cell>
          <cell r="W1392">
            <v>-0.37874248263466415</v>
          </cell>
          <cell r="X1392">
            <v>-0.35891360490750657</v>
          </cell>
          <cell r="Y1392">
            <v>-0.33228093306306761</v>
          </cell>
          <cell r="Z1392">
            <v>-0.30104535561169588</v>
          </cell>
          <cell r="AA1392">
            <v>-0.26535236994511502</v>
          </cell>
          <cell r="AB1392">
            <v>-0.2280015585609414</v>
          </cell>
          <cell r="AC1392">
            <v>-0.19034310430517998</v>
          </cell>
          <cell r="AD1392">
            <v>-0.15354425771872959</v>
          </cell>
          <cell r="AE1392">
            <v>-0.11988792205364129</v>
          </cell>
          <cell r="AF1392">
            <v>-8.5927790841611618E-2</v>
          </cell>
          <cell r="AG1392">
            <v>-5.4987493625424655E-2</v>
          </cell>
          <cell r="AH1392">
            <v>-2.810121082952266E-2</v>
          </cell>
          <cell r="AI1392">
            <v>-5.8275779833634189E-3</v>
          </cell>
          <cell r="AJ1392">
            <v>1.1554046096229786E-2</v>
          </cell>
          <cell r="AK1392">
            <v>2.4431302684847278E-2</v>
          </cell>
          <cell r="AL1392">
            <v>3.242442596783679E-2</v>
          </cell>
          <cell r="AM1392">
            <v>3.5409461592295077E-2</v>
          </cell>
          <cell r="AN1392">
            <v>3.3424373558644138E-2</v>
          </cell>
          <cell r="AO1392">
            <v>2.6603557399817568E-2</v>
          </cell>
          <cell r="AP1392">
            <v>1.9816349287437696E-2</v>
          </cell>
          <cell r="AQ1392">
            <v>1.0583738671843701E-2</v>
          </cell>
          <cell r="AR1392">
            <v>-2.4311918817803146E-3</v>
          </cell>
          <cell r="AS1392">
            <v>-1.9497200795282055E-2</v>
          </cell>
          <cell r="AT1392">
            <v>-4.0362551386242007E-2</v>
          </cell>
          <cell r="AU1392">
            <v>-6.3772559335407042E-2</v>
          </cell>
          <cell r="AV1392">
            <v>-8.9891456142144222E-2</v>
          </cell>
          <cell r="AW1392">
            <v>-0.11865153138926932</v>
          </cell>
          <cell r="AX1392">
            <v>-0.14988170963409253</v>
          </cell>
          <cell r="AY1392">
            <v>-0.18338476313433194</v>
          </cell>
          <cell r="AZ1392">
            <v>-0.21596017933696077</v>
          </cell>
          <cell r="BA1392">
            <v>-0.24947637230924347</v>
          </cell>
          <cell r="BB1392">
            <v>-0.28468228901985437</v>
          </cell>
          <cell r="BC1392">
            <v>-0.32173534930022285</v>
          </cell>
          <cell r="BD1392">
            <v>-0.36052936441766015</v>
          </cell>
          <cell r="BE1392">
            <v>-9.277495750736886E-2</v>
          </cell>
          <cell r="BF1392">
            <v>-9.6004316128306399E-2</v>
          </cell>
          <cell r="BG1392">
            <v>-9.970625294177804E-2</v>
          </cell>
          <cell r="BH1392">
            <v>-0.10398189759901477</v>
          </cell>
          <cell r="BI1392">
            <v>-0.10885048964444088</v>
          </cell>
        </row>
        <row r="1393">
          <cell r="C1393" t="str">
            <v>Taux d'épargne</v>
          </cell>
          <cell r="E1393" t="str">
            <v>100*(MPS_n_2-MPS_n_0)</v>
          </cell>
          <cell r="F1393">
            <v>0</v>
          </cell>
          <cell r="G1393">
            <v>0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0</v>
          </cell>
          <cell r="M1393">
            <v>0</v>
          </cell>
          <cell r="N1393">
            <v>0</v>
          </cell>
          <cell r="O1393">
            <v>0</v>
          </cell>
          <cell r="P1393">
            <v>0</v>
          </cell>
          <cell r="Q1393">
            <v>0</v>
          </cell>
          <cell r="R1393">
            <v>0</v>
          </cell>
          <cell r="S1393">
            <v>0</v>
          </cell>
          <cell r="T1393">
            <v>0</v>
          </cell>
          <cell r="U1393">
            <v>0</v>
          </cell>
          <cell r="V1393">
            <v>0</v>
          </cell>
          <cell r="W1393">
            <v>0</v>
          </cell>
          <cell r="X1393">
            <v>0</v>
          </cell>
          <cell r="Y1393">
            <v>0</v>
          </cell>
          <cell r="Z1393">
            <v>0</v>
          </cell>
          <cell r="AA1393">
            <v>0</v>
          </cell>
          <cell r="AB1393">
            <v>0</v>
          </cell>
          <cell r="AC1393">
            <v>0</v>
          </cell>
          <cell r="AD1393">
            <v>0</v>
          </cell>
          <cell r="AE1393">
            <v>0</v>
          </cell>
          <cell r="AF1393">
            <v>0</v>
          </cell>
          <cell r="AG1393">
            <v>0</v>
          </cell>
          <cell r="AH1393">
            <v>0</v>
          </cell>
          <cell r="AI1393">
            <v>0</v>
          </cell>
          <cell r="AJ1393">
            <v>0</v>
          </cell>
          <cell r="AK1393">
            <v>0</v>
          </cell>
          <cell r="AL1393">
            <v>0</v>
          </cell>
          <cell r="AM1393">
            <v>0</v>
          </cell>
          <cell r="AN1393">
            <v>0</v>
          </cell>
          <cell r="AO1393">
            <v>0</v>
          </cell>
          <cell r="AP1393">
            <v>0</v>
          </cell>
          <cell r="AQ1393">
            <v>0</v>
          </cell>
          <cell r="AR1393">
            <v>0</v>
          </cell>
          <cell r="AS1393">
            <v>0</v>
          </cell>
          <cell r="AT1393">
            <v>0</v>
          </cell>
          <cell r="AU1393">
            <v>0</v>
          </cell>
          <cell r="AV1393">
            <v>0</v>
          </cell>
          <cell r="AW1393">
            <v>0</v>
          </cell>
          <cell r="AX1393">
            <v>0</v>
          </cell>
          <cell r="AY1393">
            <v>0</v>
          </cell>
          <cell r="AZ1393">
            <v>0</v>
          </cell>
          <cell r="BA1393">
            <v>0</v>
          </cell>
          <cell r="BB1393">
            <v>0</v>
          </cell>
          <cell r="BC1393">
            <v>0</v>
          </cell>
          <cell r="BD1393">
            <v>0</v>
          </cell>
          <cell r="BE1393">
            <v>0</v>
          </cell>
          <cell r="BF1393">
            <v>0</v>
          </cell>
          <cell r="BG1393">
            <v>0</v>
          </cell>
          <cell r="BH1393">
            <v>0</v>
          </cell>
          <cell r="BI1393">
            <v>0</v>
          </cell>
        </row>
        <row r="1394">
          <cell r="C1394" t="str">
            <v>Prix à la consommation des ménages</v>
          </cell>
          <cell r="E1394" t="str">
            <v>100*(PCH_2/PCH_0-1)</v>
          </cell>
          <cell r="F1394">
            <v>-0.70015622675820843</v>
          </cell>
          <cell r="G1394">
            <v>-1.2456903309656542</v>
          </cell>
          <cell r="H1394">
            <v>-1.689062117941087</v>
          </cell>
          <cell r="I1394">
            <v>-2.0631202333672327</v>
          </cell>
          <cell r="J1394">
            <v>-2.3841368026242704</v>
          </cell>
          <cell r="K1394">
            <v>-2.6607489451691224</v>
          </cell>
          <cell r="L1394">
            <v>-2.9009559923477091</v>
          </cell>
          <cell r="M1394">
            <v>-3.1088820429281401</v>
          </cell>
          <cell r="N1394">
            <v>-3.2897205770814235</v>
          </cell>
          <cell r="O1394">
            <v>-3.448367091344839</v>
          </cell>
          <cell r="P1394">
            <v>-3.6296513029884352</v>
          </cell>
          <cell r="Q1394">
            <v>-3.7620278034374839</v>
          </cell>
          <cell r="R1394">
            <v>-3.8563226897822549</v>
          </cell>
          <cell r="S1394">
            <v>-3.9202632758612133</v>
          </cell>
          <cell r="T1394">
            <v>-3.9595406994493487</v>
          </cell>
          <cell r="U1394">
            <v>-3.9792470340686448</v>
          </cell>
          <cell r="V1394">
            <v>-3.9866679917800125</v>
          </cell>
          <cell r="W1394">
            <v>-3.98534004390666</v>
          </cell>
          <cell r="X1394">
            <v>-3.9785537841348968</v>
          </cell>
          <cell r="Y1394">
            <v>-3.9692113845347214</v>
          </cell>
          <cell r="Z1394">
            <v>-3.9604027507151867</v>
          </cell>
          <cell r="AA1394">
            <v>-3.9521643785922485</v>
          </cell>
          <cell r="AB1394">
            <v>-3.947195384645918</v>
          </cell>
          <cell r="AC1394">
            <v>-3.9465299032890648</v>
          </cell>
          <cell r="AD1394">
            <v>-3.9508474712994568</v>
          </cell>
          <cell r="AE1394">
            <v>-3.9622516123122735</v>
          </cell>
          <cell r="AF1394">
            <v>-3.9758137440598311</v>
          </cell>
          <cell r="AG1394">
            <v>-3.9938816824458212</v>
          </cell>
          <cell r="AH1394">
            <v>-4.0168104049459465</v>
          </cell>
          <cell r="AI1394">
            <v>-4.0446448263163122</v>
          </cell>
          <cell r="AJ1394">
            <v>-4.0772392444801913</v>
          </cell>
          <cell r="AK1394">
            <v>-4.1137165033026992</v>
          </cell>
          <cell r="AL1394">
            <v>-4.1540177342999973</v>
          </cell>
          <cell r="AM1394">
            <v>-4.197978984071705</v>
          </cell>
          <cell r="AN1394">
            <v>-4.2453606784849551</v>
          </cell>
          <cell r="AO1394">
            <v>-4.2958866757958463</v>
          </cell>
          <cell r="AP1394">
            <v>-4.3439420409003509</v>
          </cell>
          <cell r="AQ1394">
            <v>-4.3907990450889667</v>
          </cell>
          <cell r="AR1394">
            <v>-4.4376901804607742</v>
          </cell>
          <cell r="AS1394">
            <v>-4.4852425505474969</v>
          </cell>
          <cell r="AT1394">
            <v>-4.5337259715714016</v>
          </cell>
          <cell r="AU1394">
            <v>-4.582344397687665</v>
          </cell>
          <cell r="AV1394">
            <v>-4.6315264748483909</v>
          </cell>
          <cell r="AW1394">
            <v>-4.681577216970223</v>
          </cell>
          <cell r="AX1394">
            <v>-4.7327047944067058</v>
          </cell>
          <cell r="AY1394">
            <v>-4.7850609275923999</v>
          </cell>
          <cell r="AZ1394">
            <v>-4.8356600768547082</v>
          </cell>
          <cell r="BA1394">
            <v>-4.885894568623284</v>
          </cell>
          <cell r="BB1394">
            <v>-4.9366545582136707</v>
          </cell>
          <cell r="BC1394">
            <v>-4.9884134626950853</v>
          </cell>
          <cell r="BD1394">
            <v>-5.0414002125514497</v>
          </cell>
          <cell r="BE1394">
            <v>4.7498446736571331E-2</v>
          </cell>
          <cell r="BF1394">
            <v>5.1407209653087094E-2</v>
          </cell>
          <cell r="BG1394">
            <v>5.5114852930970848E-2</v>
          </cell>
          <cell r="BH1394">
            <v>5.8544590700004839E-2</v>
          </cell>
          <cell r="BI1394">
            <v>6.1660941499108723E-2</v>
          </cell>
        </row>
        <row r="1395">
          <cell r="C1395" t="str">
            <v>Prix à la production marchande</v>
          </cell>
          <cell r="E1395" t="str">
            <v>100*(PY_2/PY_0-1)</v>
          </cell>
          <cell r="F1395">
            <v>-0.1328750344048113</v>
          </cell>
          <cell r="G1395">
            <v>-0.38320927925398207</v>
          </cell>
          <cell r="H1395">
            <v>-0.68614311160321018</v>
          </cell>
          <cell r="I1395">
            <v>-1.002893527274884</v>
          </cell>
          <cell r="J1395">
            <v>-1.313542249326427</v>
          </cell>
          <cell r="K1395">
            <v>-1.6093222509161675</v>
          </cell>
          <cell r="L1395">
            <v>-1.8870542905959908</v>
          </cell>
          <cell r="M1395">
            <v>-2.1455762112948196</v>
          </cell>
          <cell r="N1395">
            <v>-2.3841686869873202</v>
          </cell>
          <cell r="O1395">
            <v>-2.6022249957678545</v>
          </cell>
          <cell r="P1395">
            <v>-2.8168024443581241</v>
          </cell>
          <cell r="Q1395">
            <v>-3.0033640108317994</v>
          </cell>
          <cell r="R1395">
            <v>-3.1542492014626444</v>
          </cell>
          <cell r="S1395">
            <v>-3.2687634643634111</v>
          </cell>
          <cell r="T1395">
            <v>-3.349292695094308</v>
          </cell>
          <cell r="U1395">
            <v>-3.399188563541089</v>
          </cell>
          <cell r="V1395">
            <v>-3.4212522577342419</v>
          </cell>
          <cell r="W1395">
            <v>-3.4193672578197387</v>
          </cell>
          <cell r="X1395">
            <v>-3.3971299845438563</v>
          </cell>
          <cell r="Y1395">
            <v>-3.3578735774085877</v>
          </cell>
          <cell r="Z1395">
            <v>-3.3049063180036309</v>
          </cell>
          <cell r="AA1395">
            <v>-3.2410295107317078</v>
          </cell>
          <cell r="AB1395">
            <v>-3.1689046916877128</v>
          </cell>
          <cell r="AC1395">
            <v>-3.0910521155389836</v>
          </cell>
          <cell r="AD1395">
            <v>-3.0097732899262875</v>
          </cell>
          <cell r="AE1395">
            <v>-2.9275297425196523</v>
          </cell>
          <cell r="AF1395">
            <v>-2.8463080758262649</v>
          </cell>
          <cell r="AG1395">
            <v>-2.7669635346541321</v>
          </cell>
          <cell r="AH1395">
            <v>-2.6902449688968044</v>
          </cell>
          <cell r="AI1395">
            <v>-2.6167996143782846</v>
          </cell>
          <cell r="AJ1395">
            <v>-2.5471566276924595</v>
          </cell>
          <cell r="AK1395">
            <v>-2.48194331188345</v>
          </cell>
          <cell r="AL1395">
            <v>-2.4212233252263404</v>
          </cell>
          <cell r="AM1395">
            <v>-2.3649540097989363</v>
          </cell>
          <cell r="AN1395">
            <v>-2.3130132355777877</v>
          </cell>
          <cell r="AO1395">
            <v>-2.265209519904654</v>
          </cell>
          <cell r="AP1395">
            <v>-2.2237197677563492</v>
          </cell>
          <cell r="AQ1395">
            <v>-2.1866806814988204</v>
          </cell>
          <cell r="AR1395">
            <v>-2.1525551140221144</v>
          </cell>
          <cell r="AS1395">
            <v>-2.1203146908054138</v>
          </cell>
          <cell r="AT1395">
            <v>-2.0893541772908919</v>
          </cell>
          <cell r="AU1395">
            <v>-2.059751139287036</v>
          </cell>
          <cell r="AV1395">
            <v>-2.0310654347596935</v>
          </cell>
          <cell r="AW1395">
            <v>-2.0030038847986931</v>
          </cell>
          <cell r="AX1395">
            <v>-1.9754033458967646</v>
          </cell>
          <cell r="AY1395">
            <v>-1.9481972635158384</v>
          </cell>
          <cell r="AZ1395">
            <v>-1.9228417183527857</v>
          </cell>
          <cell r="BA1395">
            <v>-1.8984487345466095</v>
          </cell>
          <cell r="BB1395">
            <v>-1.8744059403636104</v>
          </cell>
          <cell r="BC1395">
            <v>-1.8504321318667971</v>
          </cell>
          <cell r="BD1395">
            <v>-1.8264960194048885</v>
          </cell>
          <cell r="BE1395">
            <v>0.92349145427912394</v>
          </cell>
          <cell r="BF1395">
            <v>0.95712879840108567</v>
          </cell>
          <cell r="BG1395">
            <v>0.99049300470144264</v>
          </cell>
          <cell r="BH1395">
            <v>1.0236628073144516</v>
          </cell>
          <cell r="BI1395">
            <v>1.0566729836185118</v>
          </cell>
        </row>
        <row r="1396">
          <cell r="C1396" t="str">
            <v>Prix des exportations</v>
          </cell>
          <cell r="E1396" t="str">
            <v>100*(PX_2/PX_0-1)</v>
          </cell>
          <cell r="F1396">
            <v>-0.1890766332683147</v>
          </cell>
          <cell r="G1396">
            <v>-0.44183865086671048</v>
          </cell>
          <cell r="H1396">
            <v>-0.70683850833191952</v>
          </cell>
          <cell r="I1396">
            <v>-0.96464932250777125</v>
          </cell>
          <cell r="J1396">
            <v>-1.2084714095754068</v>
          </cell>
          <cell r="K1396">
            <v>-1.4367662801533898</v>
          </cell>
          <cell r="L1396">
            <v>-1.6498745788633862</v>
          </cell>
          <cell r="M1396">
            <v>-1.8480190623304193</v>
          </cell>
          <cell r="N1396">
            <v>-2.0308973172479816</v>
          </cell>
          <cell r="O1396">
            <v>-2.1979232329400245</v>
          </cell>
          <cell r="P1396">
            <v>-2.3683931431568883</v>
          </cell>
          <cell r="Q1396">
            <v>-2.5108691812769757</v>
          </cell>
          <cell r="R1396">
            <v>-2.6199352395721687</v>
          </cell>
          <cell r="S1396">
            <v>-2.6975122104096916</v>
          </cell>
          <cell r="T1396">
            <v>-2.7474205430253695</v>
          </cell>
          <cell r="U1396">
            <v>-2.7734621951781224</v>
          </cell>
          <cell r="V1396">
            <v>-2.7785994579965445</v>
          </cell>
          <cell r="W1396">
            <v>-2.7659623122053389</v>
          </cell>
          <cell r="X1396">
            <v>-2.7383138192513257</v>
          </cell>
          <cell r="Y1396">
            <v>-2.6981905434791731</v>
          </cell>
          <cell r="Z1396">
            <v>-2.6481271838440956</v>
          </cell>
          <cell r="AA1396">
            <v>-2.590299150360087</v>
          </cell>
          <cell r="AB1396">
            <v>-2.5267451271850372</v>
          </cell>
          <cell r="AC1396">
            <v>-2.4593973171981864</v>
          </cell>
          <cell r="AD1396">
            <v>-2.3900269740150137</v>
          </cell>
          <cell r="AE1396">
            <v>-2.3205526196091397</v>
          </cell>
          <cell r="AF1396">
            <v>-2.252461132335426</v>
          </cell>
          <cell r="AG1396">
            <v>-2.1864378937225704</v>
          </cell>
          <cell r="AH1396">
            <v>-2.1230061525579269</v>
          </cell>
          <cell r="AI1396">
            <v>-2.062589738191356</v>
          </cell>
          <cell r="AJ1396">
            <v>-2.0055216595705638</v>
          </cell>
          <cell r="AK1396">
            <v>-1.9521741456397623</v>
          </cell>
          <cell r="AL1396">
            <v>-1.9025670413505114</v>
          </cell>
          <cell r="AM1396">
            <v>-1.8566310948192055</v>
          </cell>
          <cell r="AN1396">
            <v>-1.8142288681002983</v>
          </cell>
          <cell r="AO1396">
            <v>-1.7751687334295441</v>
          </cell>
          <cell r="AP1396">
            <v>-1.7407102755193526</v>
          </cell>
          <cell r="AQ1396">
            <v>-1.7096605903588746</v>
          </cell>
          <cell r="AR1396">
            <v>-1.6809478100325403</v>
          </cell>
          <cell r="AS1396">
            <v>-1.6537774975891595</v>
          </cell>
          <cell r="AT1396">
            <v>-1.6276401652975281</v>
          </cell>
          <cell r="AU1396">
            <v>-1.6024919987737696</v>
          </cell>
          <cell r="AV1396">
            <v>-1.5780064264130922</v>
          </cell>
          <cell r="AW1396">
            <v>-1.5539606128099126</v>
          </cell>
          <cell r="AX1396">
            <v>-1.5302243150313144</v>
          </cell>
          <cell r="AY1396">
            <v>-1.5067411357491678</v>
          </cell>
          <cell r="AZ1396">
            <v>-1.4844306812712538</v>
          </cell>
          <cell r="BA1396">
            <v>-1.4627555156511596</v>
          </cell>
          <cell r="BB1396">
            <v>-1.4413150160027977</v>
          </cell>
          <cell r="BC1396">
            <v>-1.4199083459456974</v>
          </cell>
          <cell r="BD1396">
            <v>-1.3985084712312967</v>
          </cell>
          <cell r="BE1396">
            <v>0.76004335846093785</v>
          </cell>
          <cell r="BF1396">
            <v>0.7871795426503958</v>
          </cell>
          <cell r="BG1396">
            <v>0.81408310092607739</v>
          </cell>
          <cell r="BH1396">
            <v>0.8408317434181356</v>
          </cell>
          <cell r="BI1396">
            <v>0.86746467176475051</v>
          </cell>
        </row>
        <row r="1397">
          <cell r="C1397" t="str">
            <v>Prix des importations</v>
          </cell>
          <cell r="E1397" t="str">
            <v>100*(PM_2/PM_0-1)</v>
          </cell>
          <cell r="F1397">
            <v>0</v>
          </cell>
          <cell r="G1397">
            <v>0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0</v>
          </cell>
          <cell r="M1397">
            <v>0</v>
          </cell>
          <cell r="N1397">
            <v>0</v>
          </cell>
          <cell r="O1397">
            <v>0</v>
          </cell>
          <cell r="P1397">
            <v>0</v>
          </cell>
          <cell r="Q1397">
            <v>0</v>
          </cell>
          <cell r="R1397">
            <v>0</v>
          </cell>
          <cell r="S1397">
            <v>0</v>
          </cell>
          <cell r="T1397">
            <v>0</v>
          </cell>
          <cell r="U1397">
            <v>0</v>
          </cell>
          <cell r="V1397">
            <v>0</v>
          </cell>
          <cell r="W1397">
            <v>0</v>
          </cell>
          <cell r="X1397">
            <v>0</v>
          </cell>
          <cell r="Y1397">
            <v>0</v>
          </cell>
          <cell r="Z1397">
            <v>0</v>
          </cell>
          <cell r="AA1397">
            <v>0</v>
          </cell>
          <cell r="AB1397">
            <v>0</v>
          </cell>
          <cell r="AC1397">
            <v>0</v>
          </cell>
          <cell r="AD1397">
            <v>0</v>
          </cell>
          <cell r="AE1397">
            <v>0</v>
          </cell>
          <cell r="AF1397">
            <v>0</v>
          </cell>
          <cell r="AG1397">
            <v>0</v>
          </cell>
          <cell r="AH1397">
            <v>0</v>
          </cell>
          <cell r="AI1397">
            <v>0</v>
          </cell>
          <cell r="AJ1397">
            <v>0</v>
          </cell>
          <cell r="AK1397">
            <v>0</v>
          </cell>
          <cell r="AL1397">
            <v>0</v>
          </cell>
          <cell r="AM1397">
            <v>0</v>
          </cell>
          <cell r="AN1397">
            <v>0</v>
          </cell>
          <cell r="AO1397">
            <v>0</v>
          </cell>
          <cell r="AP1397">
            <v>0</v>
          </cell>
          <cell r="AQ1397">
            <v>0</v>
          </cell>
          <cell r="AR1397">
            <v>0</v>
          </cell>
          <cell r="AS1397">
            <v>0</v>
          </cell>
          <cell r="AT1397">
            <v>0</v>
          </cell>
          <cell r="AU1397">
            <v>0</v>
          </cell>
          <cell r="AV1397">
            <v>0</v>
          </cell>
          <cell r="AW1397">
            <v>0</v>
          </cell>
          <cell r="AX1397">
            <v>0</v>
          </cell>
          <cell r="AY1397">
            <v>0</v>
          </cell>
          <cell r="AZ1397">
            <v>0</v>
          </cell>
          <cell r="BA1397">
            <v>0</v>
          </cell>
          <cell r="BB1397">
            <v>0</v>
          </cell>
          <cell r="BC1397">
            <v>0</v>
          </cell>
          <cell r="BD1397">
            <v>0</v>
          </cell>
          <cell r="BE1397">
            <v>0</v>
          </cell>
          <cell r="BF1397">
            <v>0</v>
          </cell>
          <cell r="BG1397">
            <v>0</v>
          </cell>
          <cell r="BH1397">
            <v>0</v>
          </cell>
          <cell r="BI1397">
            <v>0</v>
          </cell>
        </row>
        <row r="1398">
          <cell r="C1398" t="str">
            <v>Salaire net nominal (hors cotisations employeurs et employés, unitaire)</v>
          </cell>
          <cell r="E1398" t="str">
            <v>100*(W_2/W_0-1)</v>
          </cell>
          <cell r="F1398">
            <v>-0.1882926492270065</v>
          </cell>
          <cell r="G1398">
            <v>-0.43080567665593206</v>
          </cell>
          <cell r="H1398">
            <v>-0.72517020783350317</v>
          </cell>
          <cell r="I1398">
            <v>-1.0615774418075152</v>
          </cell>
          <cell r="J1398">
            <v>-1.4241868234395771</v>
          </cell>
          <cell r="K1398">
            <v>-1.7967494356209368</v>
          </cell>
          <cell r="L1398">
            <v>-2.1666067268884759</v>
          </cell>
          <cell r="M1398">
            <v>-2.5244038705275362</v>
          </cell>
          <cell r="N1398">
            <v>-2.8644052571261569</v>
          </cell>
          <cell r="O1398">
            <v>-3.1834940225241914</v>
          </cell>
          <cell r="P1398">
            <v>-3.490013747878562</v>
          </cell>
          <cell r="Q1398">
            <v>-3.7742535892167473</v>
          </cell>
          <cell r="R1398">
            <v>-4.0304913926523023</v>
          </cell>
          <cell r="S1398">
            <v>-4.2542798198886178</v>
          </cell>
          <cell r="T1398">
            <v>-4.4433026110495932</v>
          </cell>
          <cell r="U1398">
            <v>-4.5974203196120778</v>
          </cell>
          <cell r="V1398">
            <v>-4.7193049779624126</v>
          </cell>
          <cell r="W1398">
            <v>-4.8112933462507002</v>
          </cell>
          <cell r="X1398">
            <v>-4.8765380685746651</v>
          </cell>
          <cell r="Y1398">
            <v>-4.9186239572583945</v>
          </cell>
          <cell r="Z1398">
            <v>-4.9415404326746293</v>
          </cell>
          <cell r="AA1398">
            <v>-4.9483952171329832</v>
          </cell>
          <cell r="AB1398">
            <v>-4.9427869980545829</v>
          </cell>
          <cell r="AC1398">
            <v>-4.9279722325367032</v>
          </cell>
          <cell r="AD1398">
            <v>-4.9068830239636814</v>
          </cell>
          <cell r="AE1398">
            <v>-4.8829068417508337</v>
          </cell>
          <cell r="AF1398">
            <v>-4.8566728378272472</v>
          </cell>
          <cell r="AG1398">
            <v>-4.8304925490012636</v>
          </cell>
          <cell r="AH1398">
            <v>-4.8061555372747256</v>
          </cell>
          <cell r="AI1398">
            <v>-4.7849992044175726</v>
          </cell>
          <cell r="AJ1398">
            <v>-4.7680029165583893</v>
          </cell>
          <cell r="AK1398">
            <v>-4.7555348345220345</v>
          </cell>
          <cell r="AL1398">
            <v>-4.7481934452684111</v>
          </cell>
          <cell r="AM1398">
            <v>-4.7463153464252006</v>
          </cell>
          <cell r="AN1398">
            <v>-4.7500152551641079</v>
          </cell>
          <cell r="AO1398">
            <v>-4.7592353314838682</v>
          </cell>
          <cell r="AP1398">
            <v>-4.7708934594575698</v>
          </cell>
          <cell r="AQ1398">
            <v>-4.7858833302276915</v>
          </cell>
          <cell r="AR1398">
            <v>-4.8044984854646255</v>
          </cell>
          <cell r="AS1398">
            <v>-4.8265234009840174</v>
          </cell>
          <cell r="AT1398">
            <v>-4.8514830836001943</v>
          </cell>
          <cell r="AU1398">
            <v>-4.8783274801666998</v>
          </cell>
          <cell r="AV1398">
            <v>-4.9068002495753387</v>
          </cell>
          <cell r="AW1398">
            <v>-4.9366318053104541</v>
          </cell>
          <cell r="AX1398">
            <v>-4.9675656135153234</v>
          </cell>
          <cell r="AY1398">
            <v>-4.9993907658976156</v>
          </cell>
          <cell r="AZ1398">
            <v>-5.0301373870841655</v>
          </cell>
          <cell r="BA1398">
            <v>-5.0605543236648121</v>
          </cell>
          <cell r="BB1398">
            <v>-5.0910578313271504</v>
          </cell>
          <cell r="BC1398">
            <v>-5.1218075401221697</v>
          </cell>
          <cell r="BD1398">
            <v>-5.1528419959554483</v>
          </cell>
          <cell r="BE1398">
            <v>0.52299662863573015</v>
          </cell>
          <cell r="BF1398">
            <v>0.54651107442689195</v>
          </cell>
          <cell r="BG1398">
            <v>0.5699060909814424</v>
          </cell>
          <cell r="BH1398">
            <v>0.5931206808498013</v>
          </cell>
          <cell r="BI1398">
            <v>0.61613815686294426</v>
          </cell>
        </row>
        <row r="1399">
          <cell r="C1399" t="str">
            <v>Salaire net réel (hors cotisations employeurs et employés, unitaire)</v>
          </cell>
          <cell r="E1399" t="str">
            <v>100*((W_2/PCH_2)/(W_0/PCH_0)-1)</v>
          </cell>
          <cell r="F1399">
            <v>-0.10377667340379926</v>
          </cell>
          <cell r="G1399">
            <v>-0.15668883109103415</v>
          </cell>
          <cell r="H1399">
            <v>-0.21228214837547554</v>
          </cell>
          <cell r="I1399">
            <v>-0.29460608463477422</v>
          </cell>
          <cell r="J1399">
            <v>-0.40555614609510959</v>
          </cell>
          <cell r="K1399">
            <v>-0.53706646829193572</v>
          </cell>
          <cell r="L1399">
            <v>-0.67984351755090433</v>
          </cell>
          <cell r="M1399">
            <v>-0.82593628384722839</v>
          </cell>
          <cell r="N1399">
            <v>-0.97050230792328218</v>
          </cell>
          <cell r="O1399">
            <v>-1.111110551084793</v>
          </cell>
          <cell r="P1399">
            <v>-1.2427552481216297</v>
          </cell>
          <cell r="Q1399">
            <v>-1.3750766959069627</v>
          </cell>
          <cell r="R1399">
            <v>-1.5087566645496708</v>
          </cell>
          <cell r="S1399">
            <v>-1.6398660288106548</v>
          </cell>
          <cell r="T1399">
            <v>-1.7641467959636947</v>
          </cell>
          <cell r="U1399">
            <v>-1.8787464577557644</v>
          </cell>
          <cell r="V1399">
            <v>-1.9842285435881291</v>
          </cell>
          <cell r="W1399">
            <v>-2.0796797027843872</v>
          </cell>
          <cell r="X1399">
            <v>-2.1652493862163169</v>
          </cell>
          <cell r="Y1399">
            <v>-2.2417385437856652</v>
          </cell>
          <cell r="Z1399">
            <v>-2.3103609010154957</v>
          </cell>
          <cell r="AA1399">
            <v>-2.3719181577221526</v>
          </cell>
          <cell r="AB1399">
            <v>-2.4277685441189578</v>
          </cell>
          <cell r="AC1399">
            <v>-2.4790695490919612</v>
          </cell>
          <cell r="AD1399">
            <v>-2.5268387818807914</v>
          </cell>
          <cell r="AE1399">
            <v>-2.5723683884149806</v>
          </cell>
          <cell r="AF1399">
            <v>-2.6146731926231959</v>
          </cell>
          <cell r="AG1399">
            <v>-2.6553205184507434</v>
          </cell>
          <cell r="AH1399">
            <v>-2.6954832169241993</v>
          </cell>
          <cell r="AI1399">
            <v>-2.7359706697542951</v>
          </cell>
          <cell r="AJ1399">
            <v>-2.7773350428652144</v>
          </cell>
          <cell r="AK1399">
            <v>-2.8194122734000793</v>
          </cell>
          <cell r="AL1399">
            <v>-2.8627666420052433</v>
          </cell>
          <cell r="AM1399">
            <v>-2.9077856871241758</v>
          </cell>
          <cell r="AN1399">
            <v>-2.9547009974649208</v>
          </cell>
          <cell r="AO1399">
            <v>-3.0036295999102958</v>
          </cell>
          <cell r="AP1399">
            <v>-3.0495007550620845</v>
          </cell>
          <cell r="AQ1399">
            <v>-3.0948102961803947</v>
          </cell>
          <cell r="AR1399">
            <v>-3.1411481524934559</v>
          </cell>
          <cell r="AS1399">
            <v>-3.1891884856377506</v>
          </cell>
          <cell r="AT1399">
            <v>-3.2390114767216649</v>
          </cell>
          <cell r="AU1399">
            <v>-3.2895366960091876</v>
          </cell>
          <cell r="AV1399">
            <v>-3.3409284238077319</v>
          </cell>
          <cell r="AW1399">
            <v>-3.3932053029707809</v>
          </cell>
          <cell r="AX1399">
            <v>-3.4462828601046658</v>
          </cell>
          <cell r="AY1399">
            <v>-3.5000348647490132</v>
          </cell>
          <cell r="AZ1399">
            <v>-3.5512367254105004</v>
          </cell>
          <cell r="BA1399">
            <v>-3.6013789127832929</v>
          </cell>
          <cell r="BB1399">
            <v>-3.6513870119195602</v>
          </cell>
          <cell r="BC1399">
            <v>-3.7016672771499781</v>
          </cell>
          <cell r="BD1399">
            <v>-3.7523080329937009</v>
          </cell>
          <cell r="BE1399">
            <v>-0.24021035105309396</v>
          </cell>
          <cell r="BF1399">
            <v>-0.24428123002031565</v>
          </cell>
          <cell r="BG1399">
            <v>-0.24825121388079019</v>
          </cell>
          <cell r="BH1399">
            <v>-0.25224222680291231</v>
          </cell>
          <cell r="BI1399">
            <v>-0.25630122591391302</v>
          </cell>
        </row>
        <row r="1400">
          <cell r="C1400" t="str">
            <v>Coût du travail nominal (yc. Cotisations employeurs et employés, unitaire)</v>
          </cell>
          <cell r="E1400" t="str">
            <v>100*(C_L_2/C_L_0-1)</v>
          </cell>
          <cell r="F1400">
            <v>-0.18829263948321184</v>
          </cell>
          <cell r="G1400">
            <v>-0.43080569740383545</v>
          </cell>
          <cell r="H1400">
            <v>-0.72517021279321359</v>
          </cell>
          <cell r="I1400">
            <v>-1.0615774475234874</v>
          </cell>
          <cell r="J1400">
            <v>-1.4241868442718464</v>
          </cell>
          <cell r="K1400">
            <v>-1.7967494390158878</v>
          </cell>
          <cell r="L1400">
            <v>-2.1666067101028252</v>
          </cell>
          <cell r="M1400">
            <v>-2.5244038717943562</v>
          </cell>
          <cell r="N1400">
            <v>-2.864405269583481</v>
          </cell>
          <cell r="O1400">
            <v>-3.1834940237134957</v>
          </cell>
          <cell r="P1400">
            <v>-3.4900137462845704</v>
          </cell>
          <cell r="Q1400">
            <v>-3.7742535785051934</v>
          </cell>
          <cell r="R1400">
            <v>-4.0304913944032688</v>
          </cell>
          <cell r="S1400">
            <v>-4.2542798032132012</v>
          </cell>
          <cell r="T1400">
            <v>-4.4433026015945902</v>
          </cell>
          <cell r="U1400">
            <v>-4.5974203267143299</v>
          </cell>
          <cell r="V1400">
            <v>-4.7193049903656137</v>
          </cell>
          <cell r="W1400">
            <v>-4.8112933374206186</v>
          </cell>
          <cell r="X1400">
            <v>-4.8765380680585118</v>
          </cell>
          <cell r="Y1400">
            <v>-4.9186239610079401</v>
          </cell>
          <cell r="Z1400">
            <v>-4.9415404262831419</v>
          </cell>
          <cell r="AA1400">
            <v>-4.9483952597579766</v>
          </cell>
          <cell r="AB1400">
            <v>-4.9427870751412417</v>
          </cell>
          <cell r="AC1400">
            <v>-4.9279722118349749</v>
          </cell>
          <cell r="AD1400">
            <v>-4.9068829629844934</v>
          </cell>
          <cell r="AE1400">
            <v>-4.8829068485536364</v>
          </cell>
          <cell r="AF1400">
            <v>-4.8566728804227637</v>
          </cell>
          <cell r="AG1400">
            <v>-4.8304925128336951</v>
          </cell>
          <cell r="AH1400">
            <v>-4.8061555670598111</v>
          </cell>
          <cell r="AI1400">
            <v>-4.7849992690188419</v>
          </cell>
          <cell r="AJ1400">
            <v>-4.7680028811777682</v>
          </cell>
          <cell r="AK1400">
            <v>-4.7555348848870356</v>
          </cell>
          <cell r="AL1400">
            <v>-4.748193431588577</v>
          </cell>
          <cell r="AM1400">
            <v>-4.7463154227504578</v>
          </cell>
          <cell r="AN1400">
            <v>-4.7500152225303127</v>
          </cell>
          <cell r="AO1400">
            <v>-4.7592353604831272</v>
          </cell>
          <cell r="AP1400">
            <v>-4.7708934545720556</v>
          </cell>
          <cell r="AQ1400">
            <v>-4.7858833148794027</v>
          </cell>
          <cell r="AR1400">
            <v>-4.8044984385210654</v>
          </cell>
          <cell r="AS1400">
            <v>-4.8265233721026419</v>
          </cell>
          <cell r="AT1400">
            <v>-4.8514831443877249</v>
          </cell>
          <cell r="AU1400">
            <v>-4.87832746350505</v>
          </cell>
          <cell r="AV1400">
            <v>-4.9068003143152623</v>
          </cell>
          <cell r="AW1400">
            <v>-4.9366317676593834</v>
          </cell>
          <cell r="AX1400">
            <v>-4.9675656653947904</v>
          </cell>
          <cell r="AY1400">
            <v>-4.9993907826626831</v>
          </cell>
          <cell r="AZ1400">
            <v>-5.0301373584933469</v>
          </cell>
          <cell r="BA1400">
            <v>-5.0605543264177992</v>
          </cell>
          <cell r="BB1400">
            <v>-5.0910578518993947</v>
          </cell>
          <cell r="BC1400">
            <v>-5.121807590422045</v>
          </cell>
          <cell r="BD1400">
            <v>-5.1528420059497311</v>
          </cell>
          <cell r="BE1400">
            <v>0.52299658260768211</v>
          </cell>
          <cell r="BF1400">
            <v>0.54651106337506583</v>
          </cell>
          <cell r="BG1400">
            <v>0.5699060494213759</v>
          </cell>
          <cell r="BH1400">
            <v>0.59312071470607464</v>
          </cell>
          <cell r="BI1400">
            <v>0.61613814107257525</v>
          </cell>
        </row>
        <row r="1401">
          <cell r="C1401" t="str">
            <v>Coût réel du travail (yc. Cotisations employeurs et employés, unitaire)</v>
          </cell>
          <cell r="E1401" t="str">
            <v>100*((C_L_2/PVA_2)/(C_L_0/PVA_0)-1)</v>
          </cell>
          <cell r="F1401">
            <v>-2.4597903204814919E-2</v>
          </cell>
          <cell r="G1401">
            <v>3.5888953011076197E-2</v>
          </cell>
          <cell r="H1401">
            <v>0.10783732733898876</v>
          </cell>
          <cell r="I1401">
            <v>0.1539486551043856</v>
          </cell>
          <cell r="J1401">
            <v>0.16531491677094223</v>
          </cell>
          <cell r="K1401">
            <v>0.14727831244192302</v>
          </cell>
          <cell r="L1401">
            <v>0.10881757619318755</v>
          </cell>
          <cell r="M1401">
            <v>5.8123236590179594E-2</v>
          </cell>
          <cell r="N1401">
            <v>4.551102062322343E-4</v>
          </cell>
          <cell r="O1401">
            <v>-6.1467669993620078E-2</v>
          </cell>
          <cell r="P1401">
            <v>-0.11535860138918164</v>
          </cell>
          <cell r="Q1401">
            <v>-0.18047352495839108</v>
          </cell>
          <cell r="R1401">
            <v>-0.2603504500751197</v>
          </cell>
          <cell r="S1401">
            <v>-0.35138665918945655</v>
          </cell>
          <cell r="T1401">
            <v>-0.44815533539178665</v>
          </cell>
          <cell r="U1401">
            <v>-0.5462178070276047</v>
          </cell>
          <cell r="V1401">
            <v>-0.64462738743168435</v>
          </cell>
          <cell r="W1401">
            <v>-0.74096588165689647</v>
          </cell>
          <cell r="X1401">
            <v>-0.83403070175441796</v>
          </cell>
          <cell r="Y1401">
            <v>-0.92343323421082424</v>
          </cell>
          <cell r="Z1401">
            <v>-1.0091982534267463</v>
          </cell>
          <cell r="AA1401">
            <v>-1.0913659489937833</v>
          </cell>
          <cell r="AB1401">
            <v>-1.1702878184309817</v>
          </cell>
          <cell r="AC1401">
            <v>-1.2463401507949667</v>
          </cell>
          <cell r="AD1401">
            <v>-1.319810384353326</v>
          </cell>
          <cell r="AE1401">
            <v>-1.3911067256213716</v>
          </cell>
          <cell r="AF1401">
            <v>-1.4590011473189279</v>
          </cell>
          <cell r="AG1401">
            <v>-1.5246104099995494</v>
          </cell>
          <cell r="AH1401">
            <v>-1.588922784910396</v>
          </cell>
          <cell r="AI1401">
            <v>-1.6525487972156361</v>
          </cell>
          <cell r="AJ1401">
            <v>-1.7158668057237536</v>
          </cell>
          <cell r="AK1401">
            <v>-1.7785369969454123</v>
          </cell>
          <cell r="AL1401">
            <v>-1.8410899982712281</v>
          </cell>
          <cell r="AM1401">
            <v>-1.9039209913602084</v>
          </cell>
          <cell r="AN1401">
            <v>-1.9672920173302466</v>
          </cell>
          <cell r="AO1401">
            <v>-2.0313700240278121</v>
          </cell>
          <cell r="AP1401">
            <v>-2.0906346804549725</v>
          </cell>
          <cell r="AQ1401">
            <v>-2.1481568094222525</v>
          </cell>
          <cell r="AR1401">
            <v>-2.2060030307652689</v>
          </cell>
          <cell r="AS1401">
            <v>-2.2651315139087358</v>
          </cell>
          <cell r="AT1401">
            <v>-2.3257363232128014</v>
          </cell>
          <cell r="AU1401">
            <v>-2.3866588010116208</v>
          </cell>
          <cell r="AV1401">
            <v>-2.4481114486358813</v>
          </cell>
          <cell r="AW1401">
            <v>-2.510137669557333</v>
          </cell>
          <cell r="AX1401">
            <v>-2.5726489626182625</v>
          </cell>
          <cell r="AY1401">
            <v>-2.6354948212115814</v>
          </cell>
          <cell r="AZ1401">
            <v>-2.6950809166867429</v>
          </cell>
          <cell r="BA1401">
            <v>-2.7531417357262056</v>
          </cell>
          <cell r="BB1401">
            <v>-2.8107978893516794</v>
          </cell>
          <cell r="BC1401">
            <v>-2.8685286185431091</v>
          </cell>
          <cell r="BD1401">
            <v>-2.9264009569033855</v>
          </cell>
          <cell r="BE1401">
            <v>-0.55346485136600343</v>
          </cell>
          <cell r="BF1401">
            <v>-0.56941968367145712</v>
          </cell>
          <cell r="BG1401">
            <v>-0.58518679972733301</v>
          </cell>
          <cell r="BH1401">
            <v>-0.60091463051668015</v>
          </cell>
          <cell r="BI1401">
            <v>-0.61665616465492734</v>
          </cell>
        </row>
        <row r="1402">
          <cell r="C1402" t="str">
            <v>Emploi en %</v>
          </cell>
          <cell r="E1402" t="str">
            <v>((F_L_2/F_L_0)-1)*100</v>
          </cell>
          <cell r="F1402">
            <v>-0.65647532244872409</v>
          </cell>
          <cell r="G1402">
            <v>-1.2474264247765654</v>
          </cell>
          <cell r="H1402">
            <v>-1.7262135526826872</v>
          </cell>
          <cell r="I1402">
            <v>-2.1017440908615237</v>
          </cell>
          <cell r="J1402">
            <v>-2.3937346130738391</v>
          </cell>
          <cell r="K1402">
            <v>-2.6218226158860047</v>
          </cell>
          <cell r="L1402">
            <v>-2.8038680862785048</v>
          </cell>
          <cell r="M1402">
            <v>-2.9532096811350939</v>
          </cell>
          <cell r="N1402">
            <v>-3.0800448011335857</v>
          </cell>
          <cell r="O1402">
            <v>-3.1920206216586755</v>
          </cell>
          <cell r="P1402">
            <v>-3.3455865492081016</v>
          </cell>
          <cell r="Q1402">
            <v>-3.4494606763239899</v>
          </cell>
          <cell r="R1402">
            <v>-3.5141793461830884</v>
          </cell>
          <cell r="S1402">
            <v>-3.5524590029220926</v>
          </cell>
          <cell r="T1402">
            <v>-3.5742965920496972</v>
          </cell>
          <cell r="U1402">
            <v>-3.5869271211292353</v>
          </cell>
          <cell r="V1402">
            <v>-3.596453663958965</v>
          </cell>
          <cell r="W1402">
            <v>-3.6065975612719958</v>
          </cell>
          <cell r="X1402">
            <v>-3.6196401792273902</v>
          </cell>
          <cell r="Y1402">
            <v>-3.6369304514716538</v>
          </cell>
          <cell r="Z1402">
            <v>-3.6593573951034908</v>
          </cell>
          <cell r="AA1402">
            <v>-3.6868120086471334</v>
          </cell>
          <cell r="AB1402">
            <v>-3.7191938260849766</v>
          </cell>
          <cell r="AC1402">
            <v>-3.7561867989838849</v>
          </cell>
          <cell r="AD1402">
            <v>-3.7973032135807272</v>
          </cell>
          <cell r="AE1402">
            <v>-3.8423636902586322</v>
          </cell>
          <cell r="AF1402">
            <v>-3.8898859532182195</v>
          </cell>
          <cell r="AG1402">
            <v>-3.9388941888203965</v>
          </cell>
          <cell r="AH1402">
            <v>-3.9887091941164243</v>
          </cell>
          <cell r="AI1402">
            <v>-4.0388172483329488</v>
          </cell>
          <cell r="AJ1402">
            <v>-4.0887932905764206</v>
          </cell>
          <cell r="AK1402">
            <v>-4.1381478059875469</v>
          </cell>
          <cell r="AL1402">
            <v>-4.1864421602678341</v>
          </cell>
          <cell r="AM1402">
            <v>-4.2333884456639996</v>
          </cell>
          <cell r="AN1402">
            <v>-4.2787850520435988</v>
          </cell>
          <cell r="AO1402">
            <v>-4.3224902331956638</v>
          </cell>
          <cell r="AP1402">
            <v>-4.3637583901877885</v>
          </cell>
          <cell r="AQ1402">
            <v>-4.4013827837608099</v>
          </cell>
          <cell r="AR1402">
            <v>-4.4352589885789939</v>
          </cell>
          <cell r="AS1402">
            <v>-4.4657453497522148</v>
          </cell>
          <cell r="AT1402">
            <v>-4.4933634201851591</v>
          </cell>
          <cell r="AU1402">
            <v>-4.5185718383522584</v>
          </cell>
          <cell r="AV1402">
            <v>-4.5416350187062466</v>
          </cell>
          <cell r="AW1402">
            <v>-4.5629256855809537</v>
          </cell>
          <cell r="AX1402">
            <v>-4.5828230847726132</v>
          </cell>
          <cell r="AY1402">
            <v>-4.6016761644580679</v>
          </cell>
          <cell r="AZ1402">
            <v>-4.6196998975177479</v>
          </cell>
          <cell r="BA1402">
            <v>-4.6364181963140405</v>
          </cell>
          <cell r="BB1402">
            <v>-4.6519722691938163</v>
          </cell>
          <cell r="BC1402">
            <v>-4.6666781133948625</v>
          </cell>
          <cell r="BD1402">
            <v>-4.6808708481337895</v>
          </cell>
          <cell r="BE1402">
            <v>0.14027340424394019</v>
          </cell>
          <cell r="BF1402">
            <v>0.14741152578139349</v>
          </cell>
          <cell r="BG1402">
            <v>0.15482110587274889</v>
          </cell>
          <cell r="BH1402">
            <v>0.16252648829901961</v>
          </cell>
          <cell r="BI1402">
            <v>0.17051143114354961</v>
          </cell>
        </row>
        <row r="1403">
          <cell r="C1403" t="str">
            <v>Emploi en millier</v>
          </cell>
          <cell r="E1403" t="str">
            <v>F_L_2-F_L_0</v>
          </cell>
          <cell r="F1403">
            <v>-179.68942000000243</v>
          </cell>
          <cell r="G1403">
            <v>-341.81471999999849</v>
          </cell>
          <cell r="H1403">
            <v>-473.66505999999936</v>
          </cell>
          <cell r="I1403">
            <v>-577.87051000000065</v>
          </cell>
          <cell r="J1403">
            <v>-659.95847999999751</v>
          </cell>
          <cell r="K1403">
            <v>-725.32477999999901</v>
          </cell>
          <cell r="L1403">
            <v>-778.50314000000071</v>
          </cell>
          <cell r="M1403">
            <v>-823.06374999999753</v>
          </cell>
          <cell r="N1403">
            <v>-861.74723000000085</v>
          </cell>
          <cell r="O1403">
            <v>-896.61260000000038</v>
          </cell>
          <cell r="P1403">
            <v>-944.10800000000017</v>
          </cell>
          <cell r="Q1403">
            <v>-977.83471999999892</v>
          </cell>
          <cell r="R1403">
            <v>-1000.551370000001</v>
          </cell>
          <cell r="S1403">
            <v>-1015.7387899999994</v>
          </cell>
          <cell r="T1403">
            <v>-1026.175470000002</v>
          </cell>
          <cell r="U1403">
            <v>-1033.8988900000004</v>
          </cell>
          <cell r="V1403">
            <v>-1040.6565300000002</v>
          </cell>
          <cell r="W1403">
            <v>-1047.5333800000008</v>
          </cell>
          <cell r="X1403">
            <v>-1055.2112300000008</v>
          </cell>
          <cell r="Y1403">
            <v>-1064.1080399999992</v>
          </cell>
          <cell r="Z1403">
            <v>-1074.0780500000001</v>
          </cell>
          <cell r="AA1403">
            <v>-1085.6213299999981</v>
          </cell>
          <cell r="AB1403">
            <v>-1098.7478699999992</v>
          </cell>
          <cell r="AC1403">
            <v>-1113.377120000001</v>
          </cell>
          <cell r="AD1403">
            <v>-1129.3708899999983</v>
          </cell>
          <cell r="AE1403">
            <v>-1145.4405000000006</v>
          </cell>
          <cell r="AF1403">
            <v>-1161.991280000002</v>
          </cell>
          <cell r="AG1403">
            <v>-1178.8626799999984</v>
          </cell>
          <cell r="AH1403">
            <v>-1195.9332899999972</v>
          </cell>
          <cell r="AI1403">
            <v>-1213.1076900000007</v>
          </cell>
          <cell r="AJ1403">
            <v>-1230.2998899999984</v>
          </cell>
          <cell r="AK1403">
            <v>-1247.3898000000008</v>
          </cell>
          <cell r="AL1403">
            <v>-1264.2599499999997</v>
          </cell>
          <cell r="AM1403">
            <v>-1280.8281400000014</v>
          </cell>
          <cell r="AN1403">
            <v>-1297.0307399999983</v>
          </cell>
          <cell r="AO1403">
            <v>-1312.8171900000016</v>
          </cell>
          <cell r="AP1403">
            <v>-1327.6502099999998</v>
          </cell>
          <cell r="AQ1403">
            <v>-1341.1956399999981</v>
          </cell>
          <cell r="AR1403">
            <v>-1353.4662399999979</v>
          </cell>
          <cell r="AS1403">
            <v>-1364.6117199999971</v>
          </cell>
          <cell r="AT1403">
            <v>-1374.82474</v>
          </cell>
          <cell r="AU1403">
            <v>-1384.2715800000005</v>
          </cell>
          <cell r="AV1403">
            <v>-1393.0521599999993</v>
          </cell>
          <cell r="AW1403">
            <v>-1401.2933899999989</v>
          </cell>
          <cell r="AX1403">
            <v>-1409.119160000002</v>
          </cell>
          <cell r="AY1403">
            <v>-1416.6402600000001</v>
          </cell>
          <cell r="AZ1403">
            <v>-1423.9493399999992</v>
          </cell>
          <cell r="BA1403">
            <v>-1430.8943899999977</v>
          </cell>
          <cell r="BB1403">
            <v>-1437.5114500000018</v>
          </cell>
          <cell r="BC1403">
            <v>-1443.8901699999988</v>
          </cell>
          <cell r="BD1403">
            <v>-1450.1270600000025</v>
          </cell>
          <cell r="BE1403">
            <v>43.635760000001028</v>
          </cell>
          <cell r="BF1403">
            <v>45.909630000001926</v>
          </cell>
          <cell r="BG1403">
            <v>48.272320000000036</v>
          </cell>
          <cell r="BH1403">
            <v>50.7316000000028</v>
          </cell>
          <cell r="BI1403">
            <v>53.282609999998385</v>
          </cell>
        </row>
        <row r="1404">
          <cell r="C1404" t="str">
            <v>Taux de chômage (en point)</v>
          </cell>
          <cell r="E1404" t="str">
            <v>100*(UnR_2-UnR_0)</v>
          </cell>
          <cell r="F1404">
            <v>0.47961236000000074</v>
          </cell>
          <cell r="G1404">
            <v>0.87518728999999851</v>
          </cell>
          <cell r="H1404">
            <v>1.1762830499999988</v>
          </cell>
          <cell r="I1404">
            <v>1.4032449899999992</v>
          </cell>
          <cell r="J1404">
            <v>1.5757424599999985</v>
          </cell>
          <cell r="K1404">
            <v>1.7092604299999981</v>
          </cell>
          <cell r="L1404">
            <v>1.8169853499999999</v>
          </cell>
          <cell r="M1404">
            <v>1.9060755900000004</v>
          </cell>
          <cell r="N1404">
            <v>1.9827916599999995</v>
          </cell>
          <cell r="O1404">
            <v>2.0516474400000013</v>
          </cell>
          <cell r="P1404">
            <v>2.1516408000000014</v>
          </cell>
          <cell r="Q1404">
            <v>2.216451929999999</v>
          </cell>
          <cell r="R1404">
            <v>2.2541983699999992</v>
          </cell>
          <cell r="S1404">
            <v>2.2752153999999996</v>
          </cell>
          <cell r="T1404">
            <v>2.2866104200000015</v>
          </cell>
          <cell r="U1404">
            <v>2.2930805800000007</v>
          </cell>
          <cell r="V1404">
            <v>2.2984778400000017</v>
          </cell>
          <cell r="W1404">
            <v>2.3049558400000003</v>
          </cell>
          <cell r="X1404">
            <v>2.3137575900000011</v>
          </cell>
          <cell r="Y1404">
            <v>2.3255789299999998</v>
          </cell>
          <cell r="Z1404">
            <v>2.341960970000001</v>
          </cell>
          <cell r="AA1404">
            <v>2.3598338499999985</v>
          </cell>
          <cell r="AB1404">
            <v>2.3811750800000002</v>
          </cell>
          <cell r="AC1404">
            <v>2.4056209800000006</v>
          </cell>
          <cell r="AD1404">
            <v>2.4327657800000013</v>
          </cell>
          <cell r="AE1404">
            <v>2.4655250399999993</v>
          </cell>
          <cell r="AF1404">
            <v>2.4961425100000016</v>
          </cell>
          <cell r="AG1404">
            <v>2.527484869999999</v>
          </cell>
          <cell r="AH1404">
            <v>2.5591718999999986</v>
          </cell>
          <cell r="AI1404">
            <v>2.5909377199999999</v>
          </cell>
          <cell r="AJ1404">
            <v>2.6225620799999989</v>
          </cell>
          <cell r="AK1404">
            <v>2.6537551299999991</v>
          </cell>
          <cell r="AL1404">
            <v>2.6842516700000014</v>
          </cell>
          <cell r="AM1404">
            <v>2.7138843399999999</v>
          </cell>
          <cell r="AN1404">
            <v>2.7425326599999993</v>
          </cell>
          <cell r="AO1404">
            <v>2.7701070200000011</v>
          </cell>
          <cell r="AP1404">
            <v>2.796784999999999</v>
          </cell>
          <cell r="AQ1404">
            <v>2.820514199999999</v>
          </cell>
          <cell r="AR1404">
            <v>2.8414846800000007</v>
          </cell>
          <cell r="AS1404">
            <v>2.8601075400000009</v>
          </cell>
          <cell r="AT1404">
            <v>2.8768310800000001</v>
          </cell>
          <cell r="AU1404">
            <v>2.892007319999998</v>
          </cell>
          <cell r="AV1404">
            <v>2.9058220500000012</v>
          </cell>
          <cell r="AW1404">
            <v>2.9185376799999996</v>
          </cell>
          <cell r="AX1404">
            <v>2.9304108100000006</v>
          </cell>
          <cell r="AY1404">
            <v>2.9416687999999995</v>
          </cell>
          <cell r="AZ1404">
            <v>2.9523772499999987</v>
          </cell>
          <cell r="BA1404">
            <v>2.9622589400000008</v>
          </cell>
          <cell r="BB1404">
            <v>2.9714143199999987</v>
          </cell>
          <cell r="BC1404">
            <v>2.9800620500000012</v>
          </cell>
          <cell r="BD1404">
            <v>2.9884222000000014</v>
          </cell>
          <cell r="BE1404">
            <v>-8.9909590000000761E-2</v>
          </cell>
          <cell r="BF1404">
            <v>-9.4422660000001435E-2</v>
          </cell>
          <cell r="BG1404">
            <v>-9.911473000000226E-2</v>
          </cell>
          <cell r="BH1404">
            <v>-0.10399653000000009</v>
          </cell>
          <cell r="BI1404">
            <v>-0.10905186999999872</v>
          </cell>
        </row>
        <row r="1405">
          <cell r="C1405" t="str">
            <v>Balance commerciale</v>
          </cell>
          <cell r="E1405" t="str">
            <v>100*(Bal_Trade_VAL_2/(GDP_2*PGDP_2)-Bal_Trade_VAL_0/(GDP_0*PGDP_0))</v>
          </cell>
          <cell r="F1405">
            <v>-0.99582083212433248</v>
          </cell>
          <cell r="G1405">
            <v>-0.99189624678783261</v>
          </cell>
          <cell r="H1405">
            <v>-1.0259070119999067</v>
          </cell>
          <cell r="I1405">
            <v>-1.0698094776548173</v>
          </cell>
          <cell r="J1405">
            <v>-1.1182459850634947</v>
          </cell>
          <cell r="K1405">
            <v>-1.1697704626715562</v>
          </cell>
          <cell r="L1405">
            <v>-1.2251329922565664</v>
          </cell>
          <cell r="M1405">
            <v>-1.2824378902362241</v>
          </cell>
          <cell r="N1405">
            <v>-1.341254376415596</v>
          </cell>
          <cell r="O1405">
            <v>-1.4010759677731923</v>
          </cell>
          <cell r="P1405">
            <v>-1.5368658798950849</v>
          </cell>
          <cell r="Q1405">
            <v>-1.5443362592699361</v>
          </cell>
          <cell r="R1405">
            <v>-1.5584732643674954</v>
          </cell>
          <cell r="S1405">
            <v>-1.5752610885438216</v>
          </cell>
          <cell r="T1405">
            <v>-1.5943990651538693</v>
          </cell>
          <cell r="U1405">
            <v>-1.6159868934163422</v>
          </cell>
          <cell r="V1405">
            <v>-1.643134079485949</v>
          </cell>
          <cell r="W1405">
            <v>-1.6719765328624971</v>
          </cell>
          <cell r="X1405">
            <v>-1.7024763281099069</v>
          </cell>
          <cell r="Y1405">
            <v>-1.7344705382172081</v>
          </cell>
          <cell r="Z1405">
            <v>-1.7675055511115529</v>
          </cell>
          <cell r="AA1405">
            <v>-1.802068881981941</v>
          </cell>
          <cell r="AB1405">
            <v>-1.8377423350402489</v>
          </cell>
          <cell r="AC1405">
            <v>-1.8743831802554713</v>
          </cell>
          <cell r="AD1405">
            <v>-1.9119089691466558</v>
          </cell>
          <cell r="AE1405">
            <v>-1.9492724231677183</v>
          </cell>
          <cell r="AF1405">
            <v>-1.9869762269519462</v>
          </cell>
          <cell r="AG1405">
            <v>-2.0260010286991066</v>
          </cell>
          <cell r="AH1405">
            <v>-2.0660566521070893</v>
          </cell>
          <cell r="AI1405">
            <v>-2.1069596825031982</v>
          </cell>
          <cell r="AJ1405">
            <v>-2.1485853584428902</v>
          </cell>
          <cell r="AK1405">
            <v>-2.1900935502573313</v>
          </cell>
          <cell r="AL1405">
            <v>-2.2322738723418065</v>
          </cell>
          <cell r="AM1405">
            <v>-2.2749932370726098</v>
          </cell>
          <cell r="AN1405">
            <v>-2.3181607200806567</v>
          </cell>
          <cell r="AO1405">
            <v>-2.3617082093555477</v>
          </cell>
          <cell r="AP1405">
            <v>-2.3986731062937254</v>
          </cell>
          <cell r="AQ1405">
            <v>-2.4371531184955697</v>
          </cell>
          <cell r="AR1405">
            <v>-2.4764720378423291</v>
          </cell>
          <cell r="AS1405">
            <v>-2.5162819531458891</v>
          </cell>
          <cell r="AT1405">
            <v>-2.5564030689873745</v>
          </cell>
          <cell r="AU1405">
            <v>-2.5956960913812575</v>
          </cell>
          <cell r="AV1405">
            <v>-2.6353458048070215</v>
          </cell>
          <cell r="AW1405">
            <v>-2.6752291695154291</v>
          </cell>
          <cell r="AX1405">
            <v>-2.715281740705739</v>
          </cell>
          <cell r="AY1405">
            <v>-2.7554654918046944</v>
          </cell>
          <cell r="AZ1405">
            <v>-2.7922309067425344</v>
          </cell>
          <cell r="BA1405">
            <v>-2.8296215014524133</v>
          </cell>
          <cell r="BB1405">
            <v>-2.867269024453091</v>
          </cell>
          <cell r="BC1405">
            <v>-2.9049861580115826</v>
          </cell>
          <cell r="BD1405">
            <v>-2.9426912372913661</v>
          </cell>
          <cell r="BE1405">
            <v>2.5088340241877227E-2</v>
          </cell>
          <cell r="BF1405">
            <v>2.3677838209086803E-2</v>
          </cell>
          <cell r="BG1405">
            <v>2.2157323216682578E-2</v>
          </cell>
          <cell r="BH1405">
            <v>2.0562063689133103E-2</v>
          </cell>
          <cell r="BI1405">
            <v>1.8911098973554932E-2</v>
          </cell>
        </row>
        <row r="1406">
          <cell r="C1406" t="str">
            <v>Facture énergétique</v>
          </cell>
          <cell r="E1406" t="str">
            <v>100*(ENER_BILL_2/(GDP_2*PGDP_2)-ENER_BILL_0/(GDP_0*PGDP_0))</v>
          </cell>
          <cell r="F1406">
            <v>3.3100144476335726E-2</v>
          </cell>
          <cell r="G1406">
            <v>3.6480611711544632E-2</v>
          </cell>
          <cell r="H1406">
            <v>4.3776364223556755E-2</v>
          </cell>
          <cell r="I1406">
            <v>5.1295079419653479E-2</v>
          </cell>
          <cell r="J1406">
            <v>5.8592472494959844E-2</v>
          </cell>
          <cell r="K1406">
            <v>6.54660698830134E-2</v>
          </cell>
          <cell r="L1406">
            <v>7.1942139401155208E-2</v>
          </cell>
          <cell r="M1406">
            <v>7.7972392493982565E-2</v>
          </cell>
          <cell r="N1406">
            <v>8.357036701105558E-2</v>
          </cell>
          <cell r="O1406">
            <v>8.8682659190854163E-2</v>
          </cell>
          <cell r="P1406">
            <v>9.5494159523805577E-2</v>
          </cell>
          <cell r="Q1406">
            <v>9.8044895005819199E-2</v>
          </cell>
          <cell r="R1406">
            <v>0.1005305188817798</v>
          </cell>
          <cell r="S1406">
            <v>0.10246887866065102</v>
          </cell>
          <cell r="T1406">
            <v>0.10386086891777183</v>
          </cell>
          <cell r="U1406">
            <v>0.10478007171261985</v>
          </cell>
          <cell r="V1406">
            <v>0.10539472628587031</v>
          </cell>
          <cell r="W1406">
            <v>0.10564661572133749</v>
          </cell>
          <cell r="X1406">
            <v>0.10561201771527012</v>
          </cell>
          <cell r="Y1406">
            <v>0.10534628553144093</v>
          </cell>
          <cell r="Z1406">
            <v>0.10491809075492425</v>
          </cell>
          <cell r="AA1406">
            <v>0.10433449407672504</v>
          </cell>
          <cell r="AB1406">
            <v>0.10365604993893968</v>
          </cell>
          <cell r="AC1406">
            <v>0.10292014276078784</v>
          </cell>
          <cell r="AD1406">
            <v>0.10216243443421177</v>
          </cell>
          <cell r="AE1406">
            <v>0.10145599185909689</v>
          </cell>
          <cell r="AF1406">
            <v>0.10073851982648849</v>
          </cell>
          <cell r="AG1406">
            <v>0.10010120513209812</v>
          </cell>
          <cell r="AH1406">
            <v>9.9548595603308337E-2</v>
          </cell>
          <cell r="AI1406">
            <v>9.9091091129514808E-2</v>
          </cell>
          <cell r="AJ1406">
            <v>9.8737809268969676E-2</v>
          </cell>
          <cell r="AK1406">
            <v>9.8472663884797446E-2</v>
          </cell>
          <cell r="AL1406">
            <v>9.8326699778263082E-2</v>
          </cell>
          <cell r="AM1406">
            <v>9.829432661170398E-2</v>
          </cell>
          <cell r="AN1406">
            <v>9.8371371106253935E-2</v>
          </cell>
          <cell r="AO1406">
            <v>9.8554177771189785E-2</v>
          </cell>
          <cell r="AP1406">
            <v>9.8648687034184723E-2</v>
          </cell>
          <cell r="AQ1406">
            <v>9.8896540258520099E-2</v>
          </cell>
          <cell r="AR1406">
            <v>9.9241617807924176E-2</v>
          </cell>
          <cell r="AS1406">
            <v>9.9662993119384313E-2</v>
          </cell>
          <cell r="AT1406">
            <v>0.10015094387350165</v>
          </cell>
          <cell r="AU1406">
            <v>0.100669199827607</v>
          </cell>
          <cell r="AV1406">
            <v>0.10125298264274299</v>
          </cell>
          <cell r="AW1406">
            <v>0.10189148319491564</v>
          </cell>
          <cell r="AX1406">
            <v>0.10258040263514487</v>
          </cell>
          <cell r="AY1406">
            <v>0.10331938587981732</v>
          </cell>
          <cell r="AZ1406">
            <v>0.10401337189069534</v>
          </cell>
          <cell r="BA1406">
            <v>0.10480534034572245</v>
          </cell>
          <cell r="BB1406">
            <v>0.10568603405895094</v>
          </cell>
          <cell r="BC1406">
            <v>0.10661895205784799</v>
          </cell>
          <cell r="BD1406">
            <v>0.10757962906588099</v>
          </cell>
          <cell r="BE1406">
            <v>-1.4290277810535823E-2</v>
          </cell>
          <cell r="BF1406">
            <v>-1.4575120011606733E-2</v>
          </cell>
          <cell r="BG1406">
            <v>-1.4850600843896618E-2</v>
          </cell>
          <cell r="BH1406">
            <v>-1.5118730917251105E-2</v>
          </cell>
          <cell r="BI1406">
            <v>-1.5380040732979224E-2</v>
          </cell>
        </row>
        <row r="1407">
          <cell r="C1407" t="str">
            <v>Solde public primaire</v>
          </cell>
          <cell r="E1407" t="str">
            <v>100*((-Bal_G_prim_VAL_2)/(GDP_2*PGDP_2)-(-Bal_G_prim_VAL_0)/(GDP_0*PGDP_0))</v>
          </cell>
          <cell r="F1407">
            <v>0.52531502611689496</v>
          </cell>
          <cell r="G1407">
            <v>0.90910351933478406</v>
          </cell>
          <cell r="H1407">
            <v>1.2218461935432114</v>
          </cell>
          <cell r="I1407">
            <v>1.4770450344478347</v>
          </cell>
          <cell r="J1407">
            <v>1.6855274222999177</v>
          </cell>
          <cell r="K1407">
            <v>1.8563194004569592</v>
          </cell>
          <cell r="L1407">
            <v>1.997715999239515</v>
          </cell>
          <cell r="M1407">
            <v>2.1165420441046328</v>
          </cell>
          <cell r="N1407">
            <v>2.2180525792946653</v>
          </cell>
          <cell r="O1407">
            <v>2.3065480968216843</v>
          </cell>
          <cell r="P1407">
            <v>2.4258031682379606</v>
          </cell>
          <cell r="Q1407">
            <v>2.4963235168063114</v>
          </cell>
          <cell r="R1407">
            <v>2.5395850644026878</v>
          </cell>
          <cell r="S1407">
            <v>2.5627298295415666</v>
          </cell>
          <cell r="T1407">
            <v>2.5712858429613412</v>
          </cell>
          <cell r="U1407">
            <v>2.5697215087873411</v>
          </cell>
          <cell r="V1407">
            <v>2.5633687086277201</v>
          </cell>
          <cell r="W1407">
            <v>2.5545682564668124</v>
          </cell>
          <cell r="X1407">
            <v>2.5453815809993294</v>
          </cell>
          <cell r="Y1407">
            <v>2.5374024968359836</v>
          </cell>
          <cell r="Z1407">
            <v>2.5312586096063634</v>
          </cell>
          <cell r="AA1407">
            <v>2.5293889044498865</v>
          </cell>
          <cell r="AB1407">
            <v>2.531044601655851</v>
          </cell>
          <cell r="AC1407">
            <v>2.5365176179729638</v>
          </cell>
          <cell r="AD1407">
            <v>2.5459065014755695</v>
          </cell>
          <cell r="AE1407">
            <v>2.5574592888925314</v>
          </cell>
          <cell r="AF1407">
            <v>2.5744413260305969</v>
          </cell>
          <cell r="AG1407">
            <v>2.5947243944895129</v>
          </cell>
          <cell r="AH1407">
            <v>2.6180347956336485</v>
          </cell>
          <cell r="AI1407">
            <v>2.6440511937217996</v>
          </cell>
          <cell r="AJ1407">
            <v>2.6724358976472264</v>
          </cell>
          <cell r="AK1407">
            <v>2.7024728273272491</v>
          </cell>
          <cell r="AL1407">
            <v>2.7340088618255769</v>
          </cell>
          <cell r="AM1407">
            <v>2.7668448563129546</v>
          </cell>
          <cell r="AN1407">
            <v>2.8007903431440129</v>
          </cell>
          <cell r="AO1407">
            <v>2.8356686795422172</v>
          </cell>
          <cell r="AP1407">
            <v>2.8674167521321925</v>
          </cell>
          <cell r="AQ1407">
            <v>2.8980779072784886</v>
          </cell>
          <cell r="AR1407">
            <v>2.9280989097722361</v>
          </cell>
          <cell r="AS1407">
            <v>2.9577682277256669</v>
          </cell>
          <cell r="AT1407">
            <v>2.9872694473024848</v>
          </cell>
          <cell r="AU1407">
            <v>3.0161890707049608</v>
          </cell>
          <cell r="AV1407">
            <v>3.0448618514147161</v>
          </cell>
          <cell r="AW1407">
            <v>3.0735094952051165</v>
          </cell>
          <cell r="AX1407">
            <v>3.1023212430694209</v>
          </cell>
          <cell r="AY1407">
            <v>3.1314589691589632</v>
          </cell>
          <cell r="AZ1407">
            <v>3.1592630699380981</v>
          </cell>
          <cell r="BA1407">
            <v>3.1865195982034202</v>
          </cell>
          <cell r="BB1407">
            <v>3.213696020836017</v>
          </cell>
          <cell r="BC1407">
            <v>3.2411276622301881</v>
          </cell>
          <cell r="BD1407">
            <v>3.2690371922030232</v>
          </cell>
          <cell r="BE1407">
            <v>-3.3322679994021893E-2</v>
          </cell>
          <cell r="BF1407">
            <v>-3.5692533237813295E-2</v>
          </cell>
          <cell r="BG1407">
            <v>-3.8023948859414007E-2</v>
          </cell>
          <cell r="BH1407">
            <v>-4.0292657603382964E-2</v>
          </cell>
          <cell r="BI1407">
            <v>-4.248222650924012E-2</v>
          </cell>
        </row>
        <row r="1408">
          <cell r="C1408" t="str">
            <v xml:space="preserve">Solde public </v>
          </cell>
          <cell r="E1408" t="str">
            <v>100*((-Bal_G_tot_VAL_2)/(GDP_2*PGDP_2)-(-Bal_G_tot_VAL_0)/(GDP_0*PGDP_0))</v>
          </cell>
          <cell r="F1408">
            <v>0.55681493693726791</v>
          </cell>
          <cell r="G1408">
            <v>0.92313083510481386</v>
          </cell>
          <cell r="H1408">
            <v>1.192341634766247</v>
          </cell>
          <cell r="I1408">
            <v>1.4167189048262239</v>
          </cell>
          <cell r="J1408">
            <v>1.6182137366792582</v>
          </cell>
          <cell r="K1408">
            <v>1.8046942438445783</v>
          </cell>
          <cell r="L1408">
            <v>1.9794701580923997</v>
          </cell>
          <cell r="M1408">
            <v>2.144195435754507</v>
          </cell>
          <cell r="N1408">
            <v>2.3002274945975643</v>
          </cell>
          <cell r="O1408">
            <v>2.4494029678785543</v>
          </cell>
          <cell r="P1408">
            <v>2.636328307227374</v>
          </cell>
          <cell r="Q1408">
            <v>2.7678138549530158</v>
          </cell>
          <cell r="R1408">
            <v>2.8809878581109669</v>
          </cell>
          <cell r="S1408">
            <v>2.9822714789797091</v>
          </cell>
          <cell r="T1408">
            <v>3.073366668820972</v>
          </cell>
          <cell r="U1408">
            <v>3.1551535742895696</v>
          </cell>
          <cell r="V1408">
            <v>3.2305744651264803</v>
          </cell>
          <cell r="W1408">
            <v>3.3008408698855964</v>
          </cell>
          <cell r="X1408">
            <v>3.3667027919121337</v>
          </cell>
          <cell r="Y1408">
            <v>3.4291774433010183</v>
          </cell>
          <cell r="Z1408">
            <v>3.4894468783420889</v>
          </cell>
          <cell r="AA1408">
            <v>3.5480837505765432</v>
          </cell>
          <cell r="AB1408">
            <v>3.605698157765326</v>
          </cell>
          <cell r="AC1408">
            <v>3.6630337729151683</v>
          </cell>
          <cell r="AD1408">
            <v>3.7205237735904255</v>
          </cell>
          <cell r="AE1408">
            <v>3.7792056877095388</v>
          </cell>
          <cell r="AF1408">
            <v>3.8374564501479345</v>
          </cell>
          <cell r="AG1408">
            <v>3.8953615342488144</v>
          </cell>
          <cell r="AH1408">
            <v>3.9539228255573642</v>
          </cell>
          <cell r="AI1408">
            <v>4.0136006676071654</v>
          </cell>
          <cell r="AJ1408">
            <v>4.0745841831469338</v>
          </cell>
          <cell r="AK1408">
            <v>4.1365569365810062</v>
          </cell>
          <cell r="AL1408">
            <v>4.1996190498847117</v>
          </cell>
          <cell r="AM1408">
            <v>4.2641073645395196</v>
          </cell>
          <cell r="AN1408">
            <v>4.3302305256067983</v>
          </cell>
          <cell r="AO1408">
            <v>4.3981049771930669</v>
          </cell>
          <cell r="AP1408">
            <v>4.4643023030862468</v>
          </cell>
          <cell r="AQ1408">
            <v>4.5284946827785246</v>
          </cell>
          <cell r="AR1408">
            <v>4.5928068285296124</v>
          </cell>
          <cell r="AS1408">
            <v>4.6583196476039515</v>
          </cell>
          <cell r="AT1408">
            <v>4.72539858909649</v>
          </cell>
          <cell r="AU1408">
            <v>4.7934707652993316</v>
          </cell>
          <cell r="AV1408">
            <v>4.8624048500394466</v>
          </cell>
          <cell r="AW1408">
            <v>4.9325162858644447</v>
          </cell>
          <cell r="AX1408">
            <v>5.0039600286961976</v>
          </cell>
          <cell r="AY1408">
            <v>5.0768036811556918</v>
          </cell>
          <cell r="AZ1408">
            <v>5.1490756568278675</v>
          </cell>
          <cell r="BA1408">
            <v>5.2205984785442139</v>
          </cell>
          <cell r="BB1408">
            <v>5.2928012999168415</v>
          </cell>
          <cell r="BC1408">
            <v>5.3663239627505552</v>
          </cell>
          <cell r="BD1408">
            <v>5.4413237738212983</v>
          </cell>
          <cell r="BE1408">
            <v>-2.889316514713032E-2</v>
          </cell>
          <cell r="BF1408">
            <v>-3.2486357194434073E-2</v>
          </cell>
          <cell r="BG1408">
            <v>-3.6087102957965168E-2</v>
          </cell>
          <cell r="BH1408">
            <v>-3.964266266881554E-2</v>
          </cell>
          <cell r="BI1408">
            <v>-4.3128238461639587E-2</v>
          </cell>
        </row>
        <row r="1409">
          <cell r="C1409" t="str">
            <v>Dette publique</v>
          </cell>
          <cell r="E1409" t="str">
            <v>(DEBT_G_VAL_2/(PGDP_2*GDP_2)-DEBT_G_VAL_0/(PGDP_0*GDP_0))*100</v>
          </cell>
          <cell r="F1409">
            <v>2.0048902619318465</v>
          </cell>
          <cell r="G1409">
            <v>3.5028670122158267</v>
          </cell>
          <cell r="H1409">
            <v>5.2674944733611229</v>
          </cell>
          <cell r="I1409">
            <v>7.1813462206543726</v>
          </cell>
          <cell r="J1409">
            <v>9.1951087083900429</v>
          </cell>
          <cell r="K1409">
            <v>11.283413404310572</v>
          </cell>
          <cell r="L1409">
            <v>13.44141266033766</v>
          </cell>
          <cell r="M1409">
            <v>15.651709936423675</v>
          </cell>
          <cell r="N1409">
            <v>17.904737840971173</v>
          </cell>
          <cell r="O1409">
            <v>20.192982341895338</v>
          </cell>
          <cell r="P1409">
            <v>22.663019654114226</v>
          </cell>
          <cell r="Q1409">
            <v>24.990199872189734</v>
          </cell>
          <cell r="R1409">
            <v>27.285080321249001</v>
          </cell>
          <cell r="S1409">
            <v>29.535196751260393</v>
          </cell>
          <cell r="T1409">
            <v>31.738059263505779</v>
          </cell>
          <cell r="U1409">
            <v>33.894033400719906</v>
          </cell>
          <cell r="V1409">
            <v>36.011611192498059</v>
          </cell>
          <cell r="W1409">
            <v>38.09112816710789</v>
          </cell>
          <cell r="X1409">
            <v>40.137358317812279</v>
          </cell>
          <cell r="Y1409">
            <v>42.155118617696438</v>
          </cell>
          <cell r="Z1409">
            <v>44.180167182587503</v>
          </cell>
          <cell r="AA1409">
            <v>46.165539625862962</v>
          </cell>
          <cell r="AB1409">
            <v>48.135562620692099</v>
          </cell>
          <cell r="AC1409">
            <v>50.094790891014625</v>
          </cell>
          <cell r="AD1409">
            <v>52.047632332636717</v>
          </cell>
          <cell r="AE1409">
            <v>54.099534931957692</v>
          </cell>
          <cell r="AF1409">
            <v>56.128975382844416</v>
          </cell>
          <cell r="AG1409">
            <v>58.171478925690735</v>
          </cell>
          <cell r="AH1409">
            <v>60.226399881956297</v>
          </cell>
          <cell r="AI1409">
            <v>62.293728561714545</v>
          </cell>
          <cell r="AJ1409">
            <v>64.373509011171933</v>
          </cell>
          <cell r="AK1409">
            <v>66.464065767510277</v>
          </cell>
          <cell r="AL1409">
            <v>68.565955969476192</v>
          </cell>
          <cell r="AM1409">
            <v>70.678874302967515</v>
          </cell>
          <cell r="AN1409">
            <v>72.80278475914595</v>
          </cell>
          <cell r="AO1409">
            <v>74.937795740371442</v>
          </cell>
          <cell r="AP1409">
            <v>77.099598405988161</v>
          </cell>
          <cell r="AQ1409">
            <v>79.274003655286677</v>
          </cell>
          <cell r="AR1409">
            <v>81.457166857840534</v>
          </cell>
          <cell r="AS1409">
            <v>83.647368865759304</v>
          </cell>
          <cell r="AT1409">
            <v>85.843916262657942</v>
          </cell>
          <cell r="AU1409">
            <v>88.044107068483484</v>
          </cell>
          <cell r="AV1409">
            <v>90.248769023197951</v>
          </cell>
          <cell r="AW1409">
            <v>92.457540052680059</v>
          </cell>
          <cell r="AX1409">
            <v>94.670586951997251</v>
          </cell>
          <cell r="AY1409">
            <v>96.88840077724663</v>
          </cell>
          <cell r="AZ1409">
            <v>99.100166677912711</v>
          </cell>
          <cell r="BA1409">
            <v>101.31203879324704</v>
          </cell>
          <cell r="BB1409">
            <v>103.5237299104102</v>
          </cell>
          <cell r="BC1409">
            <v>105.73634741326241</v>
          </cell>
          <cell r="BD1409">
            <v>107.95149377425824</v>
          </cell>
          <cell r="BE1409">
            <v>-0.31622750646672637</v>
          </cell>
          <cell r="BF1409">
            <v>-0.35047498363949825</v>
          </cell>
          <cell r="BG1409">
            <v>-0.38649508567719648</v>
          </cell>
          <cell r="BH1409">
            <v>-0.42419383410826628</v>
          </cell>
          <cell r="BI1409">
            <v>-0.46344306992865403</v>
          </cell>
        </row>
        <row r="1410">
          <cell r="C1410" t="str">
            <v>PIB</v>
          </cell>
          <cell r="E1410" t="str">
            <v>GDP_2</v>
          </cell>
          <cell r="F1410">
            <v>2170247.8289999999</v>
          </cell>
          <cell r="G1410">
            <v>2189509.7370000002</v>
          </cell>
          <cell r="H1410">
            <v>2212041.5070000002</v>
          </cell>
          <cell r="I1410">
            <v>2237289.6609999998</v>
          </cell>
          <cell r="J1410">
            <v>2264983.304</v>
          </cell>
          <cell r="K1410">
            <v>2294778.1630000002</v>
          </cell>
          <cell r="L1410">
            <v>2324780.7030000002</v>
          </cell>
          <cell r="M1410">
            <v>2355885.7429999998</v>
          </cell>
          <cell r="N1410">
            <v>2387959.452</v>
          </cell>
          <cell r="O1410">
            <v>2420887.0449999999</v>
          </cell>
          <cell r="P1410">
            <v>2454822.108</v>
          </cell>
          <cell r="Q1410">
            <v>2491006.7579999999</v>
          </cell>
          <cell r="R1410">
            <v>2527930.0460000001</v>
          </cell>
          <cell r="S1410">
            <v>2565560.946</v>
          </cell>
          <cell r="T1410">
            <v>2603825.821</v>
          </cell>
          <cell r="U1410">
            <v>2642663.591</v>
          </cell>
          <cell r="V1410">
            <v>2681898.6379999998</v>
          </cell>
          <cell r="W1410">
            <v>2721596.62</v>
          </cell>
          <cell r="X1410">
            <v>2761738.8960000002</v>
          </cell>
          <cell r="Y1410">
            <v>2802317.523</v>
          </cell>
          <cell r="Z1410">
            <v>2841357.594</v>
          </cell>
          <cell r="AA1410">
            <v>2882264.9279999998</v>
          </cell>
          <cell r="AB1410">
            <v>2923730.9479999999</v>
          </cell>
          <cell r="AC1410">
            <v>2965767.483</v>
          </cell>
          <cell r="AD1410">
            <v>3008378.2039999999</v>
          </cell>
          <cell r="AE1410">
            <v>3045886.659</v>
          </cell>
          <cell r="AF1410">
            <v>3085441.128</v>
          </cell>
          <cell r="AG1410">
            <v>3125123.5980000002</v>
          </cell>
          <cell r="AH1410">
            <v>3165073.7880000002</v>
          </cell>
          <cell r="AI1410">
            <v>3205398.5</v>
          </cell>
          <cell r="AJ1410">
            <v>3246180.321</v>
          </cell>
          <cell r="AK1410">
            <v>3287517.91</v>
          </cell>
          <cell r="AL1410">
            <v>3329421.773</v>
          </cell>
          <cell r="AM1410">
            <v>3371913.977</v>
          </cell>
          <cell r="AN1410">
            <v>3415004.4589999998</v>
          </cell>
          <cell r="AO1410">
            <v>3458696.014</v>
          </cell>
          <cell r="AP1410">
            <v>3501995.69</v>
          </cell>
          <cell r="AQ1410">
            <v>3545588.7540000002</v>
          </cell>
          <cell r="AR1410">
            <v>3589529.253</v>
          </cell>
          <cell r="AS1410">
            <v>3633865.7280000001</v>
          </cell>
          <cell r="AT1410">
            <v>3678643.6069999998</v>
          </cell>
          <cell r="AU1410">
            <v>3723966.6349999998</v>
          </cell>
          <cell r="AV1410">
            <v>3769821.4539999999</v>
          </cell>
          <cell r="AW1410">
            <v>3816230.4780000001</v>
          </cell>
          <cell r="AX1410">
            <v>3863207.17</v>
          </cell>
          <cell r="AY1410">
            <v>3910759.15</v>
          </cell>
          <cell r="AZ1410">
            <v>3959239.24</v>
          </cell>
          <cell r="BA1410">
            <v>4008394.179</v>
          </cell>
          <cell r="BB1410">
            <v>4058208.0529999998</v>
          </cell>
          <cell r="BC1410">
            <v>4108661.9550000001</v>
          </cell>
          <cell r="BD1410">
            <v>4159741.6579999998</v>
          </cell>
          <cell r="BE1410">
            <v>4934052.733</v>
          </cell>
          <cell r="BF1410">
            <v>5016319.7319999998</v>
          </cell>
          <cell r="BG1410">
            <v>5099876.3890000004</v>
          </cell>
          <cell r="BH1410">
            <v>5184742.5460000001</v>
          </cell>
          <cell r="BI1410">
            <v>5270939.8990000002</v>
          </cell>
        </row>
        <row r="1411">
          <cell r="C1411" t="str">
            <v>Ecart PIB</v>
          </cell>
          <cell r="E1411" t="str">
            <v>(GDPter_2/GDPbis_2-1)*100</v>
          </cell>
          <cell r="F1411">
            <v>-4.6077697213320334E-8</v>
          </cell>
          <cell r="G1411">
            <v>0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0</v>
          </cell>
          <cell r="M1411">
            <v>0</v>
          </cell>
          <cell r="N1411">
            <v>0</v>
          </cell>
          <cell r="O1411">
            <v>0</v>
          </cell>
          <cell r="P1411">
            <v>0</v>
          </cell>
          <cell r="Q1411">
            <v>0</v>
          </cell>
          <cell r="R1411">
            <v>0</v>
          </cell>
          <cell r="S1411">
            <v>0</v>
          </cell>
          <cell r="T1411">
            <v>0</v>
          </cell>
          <cell r="U1411">
            <v>0</v>
          </cell>
          <cell r="V1411">
            <v>0</v>
          </cell>
          <cell r="W1411">
            <v>0</v>
          </cell>
          <cell r="X1411">
            <v>0</v>
          </cell>
          <cell r="Y1411">
            <v>0</v>
          </cell>
          <cell r="Z1411">
            <v>0</v>
          </cell>
          <cell r="AA1411">
            <v>0</v>
          </cell>
          <cell r="AB1411">
            <v>0</v>
          </cell>
          <cell r="AC1411">
            <v>0</v>
          </cell>
          <cell r="AD1411">
            <v>0</v>
          </cell>
          <cell r="AE1411">
            <v>0</v>
          </cell>
          <cell r="AF1411">
            <v>0</v>
          </cell>
          <cell r="AG1411">
            <v>0</v>
          </cell>
          <cell r="AH1411">
            <v>0</v>
          </cell>
          <cell r="AI1411">
            <v>0</v>
          </cell>
          <cell r="AJ1411">
            <v>0</v>
          </cell>
          <cell r="AK1411">
            <v>0</v>
          </cell>
          <cell r="AL1411">
            <v>0</v>
          </cell>
          <cell r="AM1411">
            <v>0</v>
          </cell>
          <cell r="AN1411">
            <v>0</v>
          </cell>
          <cell r="AO1411">
            <v>0</v>
          </cell>
          <cell r="AP1411">
            <v>0</v>
          </cell>
          <cell r="AQ1411">
            <v>0</v>
          </cell>
          <cell r="AR1411">
            <v>0</v>
          </cell>
          <cell r="AS1411">
            <v>0</v>
          </cell>
          <cell r="AT1411">
            <v>0</v>
          </cell>
          <cell r="AU1411">
            <v>0</v>
          </cell>
          <cell r="AV1411">
            <v>0</v>
          </cell>
          <cell r="AW1411">
            <v>0</v>
          </cell>
          <cell r="AX1411">
            <v>0</v>
          </cell>
          <cell r="AY1411">
            <v>0</v>
          </cell>
          <cell r="AZ1411">
            <v>0</v>
          </cell>
          <cell r="BA1411">
            <v>0</v>
          </cell>
          <cell r="BB1411">
            <v>0</v>
          </cell>
          <cell r="BC1411">
            <v>0</v>
          </cell>
          <cell r="BD1411">
            <v>0</v>
          </cell>
          <cell r="BE1411">
            <v>0</v>
          </cell>
          <cell r="BF1411">
            <v>0</v>
          </cell>
          <cell r="BG1411">
            <v>0</v>
          </cell>
          <cell r="BH1411">
            <v>0</v>
          </cell>
          <cell r="BI1411">
            <v>-1.8971946236234771E-8</v>
          </cell>
        </row>
        <row r="1412">
          <cell r="C1412" t="str">
            <v>Dépenses publiques</v>
          </cell>
          <cell r="E1412" t="str">
            <v>SPEND_G_VAL_2</v>
          </cell>
          <cell r="F1412">
            <v>1178827.8060000001</v>
          </cell>
          <cell r="G1412">
            <v>1216598.4380000001</v>
          </cell>
          <cell r="H1412">
            <v>1255247.091</v>
          </cell>
          <cell r="I1412">
            <v>1295276.9580000001</v>
          </cell>
          <cell r="J1412">
            <v>1337595.3330000001</v>
          </cell>
          <cell r="K1412">
            <v>1382568.0490000001</v>
          </cell>
          <cell r="L1412">
            <v>1428899.7080000001</v>
          </cell>
          <cell r="M1412">
            <v>1477896.5419999999</v>
          </cell>
          <cell r="N1412">
            <v>1529530.2080000001</v>
          </cell>
          <cell r="O1412">
            <v>1583810.406</v>
          </cell>
          <cell r="P1412">
            <v>1643378.2830000001</v>
          </cell>
          <cell r="Q1412">
            <v>1702864.943</v>
          </cell>
          <cell r="R1412">
            <v>1765348.6850000001</v>
          </cell>
          <cell r="S1412">
            <v>1830940.6780000001</v>
          </cell>
          <cell r="T1412">
            <v>1899628.66</v>
          </cell>
          <cell r="U1412">
            <v>1971367.669</v>
          </cell>
          <cell r="V1412">
            <v>2046129.105</v>
          </cell>
          <cell r="W1412">
            <v>2123897.6979999999</v>
          </cell>
          <cell r="X1412">
            <v>2204638.2409999999</v>
          </cell>
          <cell r="Y1412">
            <v>2288337.1910000001</v>
          </cell>
          <cell r="Z1412">
            <v>2372642.9559999998</v>
          </cell>
          <cell r="AA1412">
            <v>2462152.1570000001</v>
          </cell>
          <cell r="AB1412">
            <v>2554627.1430000002</v>
          </cell>
          <cell r="AC1412">
            <v>2650134.8489999999</v>
          </cell>
          <cell r="AD1412">
            <v>2748728.6009999998</v>
          </cell>
          <cell r="AE1412">
            <v>2842922.2850000001</v>
          </cell>
          <cell r="AF1412">
            <v>2943818.6979999999</v>
          </cell>
          <cell r="AG1412">
            <v>3047580.037</v>
          </cell>
          <cell r="AH1412">
            <v>3154364.9419999998</v>
          </cell>
          <cell r="AI1412">
            <v>3264298.8810000001</v>
          </cell>
          <cell r="AJ1412">
            <v>3377506.2919999999</v>
          </cell>
          <cell r="AK1412">
            <v>3494121.0950000002</v>
          </cell>
          <cell r="AL1412">
            <v>3614295.7230000002</v>
          </cell>
          <cell r="AM1412">
            <v>3738221.0159999998</v>
          </cell>
          <cell r="AN1412">
            <v>3866096.96</v>
          </cell>
          <cell r="AO1412">
            <v>3998130.3119999999</v>
          </cell>
          <cell r="AP1412">
            <v>4132201.28</v>
          </cell>
          <cell r="AQ1412">
            <v>4270499.7149999999</v>
          </cell>
          <cell r="AR1412">
            <v>4413330.7450000001</v>
          </cell>
          <cell r="AS1412">
            <v>4560966.6380000003</v>
          </cell>
          <cell r="AT1412">
            <v>4713641.21</v>
          </cell>
          <cell r="AU1412">
            <v>4871553.1119999997</v>
          </cell>
          <cell r="AV1412">
            <v>5034888.9720000001</v>
          </cell>
          <cell r="AW1412">
            <v>5203888.2539999997</v>
          </cell>
          <cell r="AX1412">
            <v>5378787.0599999996</v>
          </cell>
          <cell r="AY1412">
            <v>5559821.8830000004</v>
          </cell>
          <cell r="AZ1412">
            <v>5747423.5060000001</v>
          </cell>
          <cell r="BA1412">
            <v>5941519.5310000004</v>
          </cell>
          <cell r="BB1412">
            <v>6142473.8380000005</v>
          </cell>
          <cell r="BC1412">
            <v>6350594.2039999999</v>
          </cell>
          <cell r="BD1412">
            <v>6566151.801</v>
          </cell>
          <cell r="BE1412">
            <v>6406006.1739999996</v>
          </cell>
          <cell r="BF1412">
            <v>6609777.1940000001</v>
          </cell>
          <cell r="BG1412">
            <v>6819700.4450000003</v>
          </cell>
          <cell r="BH1412">
            <v>7035997.3969999999</v>
          </cell>
          <cell r="BI1412">
            <v>7258896.4110000003</v>
          </cell>
        </row>
        <row r="1413">
          <cell r="C1413" t="str">
            <v>Recettes publiques</v>
          </cell>
          <cell r="E1413" t="str">
            <v>INC_G_VAL_2</v>
          </cell>
          <cell r="F1413">
            <v>1000525.629</v>
          </cell>
          <cell r="G1413">
            <v>1023347.485</v>
          </cell>
          <cell r="H1413">
            <v>1047825.284</v>
          </cell>
          <cell r="I1413">
            <v>1074264.04</v>
          </cell>
          <cell r="J1413">
            <v>1103053.629</v>
          </cell>
          <cell r="K1413">
            <v>1134437.6980000001</v>
          </cell>
          <cell r="L1413">
            <v>1167820.923</v>
          </cell>
          <cell r="M1413">
            <v>1203485.2139999999</v>
          </cell>
          <cell r="N1413">
            <v>1241451.6780000001</v>
          </cell>
          <cell r="O1413">
            <v>1281717.6680000001</v>
          </cell>
          <cell r="P1413">
            <v>1324537.2080000001</v>
          </cell>
          <cell r="Q1413">
            <v>1369969.48</v>
          </cell>
          <cell r="R1413">
            <v>1418198.5390000001</v>
          </cell>
          <cell r="S1413">
            <v>1469163.794</v>
          </cell>
          <cell r="T1413">
            <v>1522809.99</v>
          </cell>
          <cell r="U1413">
            <v>1579080.321</v>
          </cell>
          <cell r="V1413">
            <v>1637874.98</v>
          </cell>
          <cell r="W1413">
            <v>1699144.1029999999</v>
          </cell>
          <cell r="X1413">
            <v>1762834.8419999999</v>
          </cell>
          <cell r="Y1413">
            <v>1828898.6580000001</v>
          </cell>
          <cell r="Z1413">
            <v>1896111.8470000001</v>
          </cell>
          <cell r="AA1413">
            <v>1966052.1640000001</v>
          </cell>
          <cell r="AB1413">
            <v>2038356.4210000001</v>
          </cell>
          <cell r="AC1413">
            <v>2113026.9709999999</v>
          </cell>
          <cell r="AD1413">
            <v>2190060.4350000001</v>
          </cell>
          <cell r="AE1413">
            <v>2265662.6850000001</v>
          </cell>
          <cell r="AF1413">
            <v>2343206.58</v>
          </cell>
          <cell r="AG1413">
            <v>2422235.5619999999</v>
          </cell>
          <cell r="AH1413">
            <v>2502939.4980000001</v>
          </cell>
          <cell r="AI1413">
            <v>2585493.8080000002</v>
          </cell>
          <cell r="AJ1413">
            <v>2670059.4670000002</v>
          </cell>
          <cell r="AK1413">
            <v>2756800.841</v>
          </cell>
          <cell r="AL1413">
            <v>2845854.8990000002</v>
          </cell>
          <cell r="AM1413">
            <v>2937356.1680000001</v>
          </cell>
          <cell r="AN1413">
            <v>3031437.7409999999</v>
          </cell>
          <cell r="AO1413">
            <v>3128233.5060000001</v>
          </cell>
          <cell r="AP1413">
            <v>3226906.5980000002</v>
          </cell>
          <cell r="AQ1413">
            <v>3327945.0559999999</v>
          </cell>
          <cell r="AR1413">
            <v>3431555.068</v>
          </cell>
          <cell r="AS1413">
            <v>3537963.787</v>
          </cell>
          <cell r="AT1413">
            <v>3647399.412</v>
          </cell>
          <cell r="AU1413">
            <v>3760109.2459999998</v>
          </cell>
          <cell r="AV1413">
            <v>3876292.4870000002</v>
          </cell>
          <cell r="AW1413">
            <v>3996139.662</v>
          </cell>
          <cell r="AX1413">
            <v>4119830.037</v>
          </cell>
          <cell r="AY1413">
            <v>4247533.7309999997</v>
          </cell>
          <cell r="AZ1413">
            <v>4379645.7779999999</v>
          </cell>
          <cell r="BA1413">
            <v>4516261</v>
          </cell>
          <cell r="BB1413">
            <v>4657525.9570000004</v>
          </cell>
          <cell r="BC1413">
            <v>4803587.932</v>
          </cell>
          <cell r="BD1413">
            <v>4954595.7860000003</v>
          </cell>
          <cell r="BE1413">
            <v>6227547.3530000001</v>
          </cell>
          <cell r="BF1413">
            <v>6447101.7589999996</v>
          </cell>
          <cell r="BG1413">
            <v>6673897.7949999999</v>
          </cell>
          <cell r="BH1413">
            <v>6908213.1090000002</v>
          </cell>
          <cell r="BI1413">
            <v>7150343.2790000001</v>
          </cell>
        </row>
        <row r="1414">
          <cell r="C1414" t="str">
            <v>Solde public</v>
          </cell>
          <cell r="E1414" t="str">
            <v>Bal_G_tot_VAL_2</v>
          </cell>
          <cell r="F1414">
            <v>-76325.109750000003</v>
          </cell>
          <cell r="G1414">
            <v>-87457.6296</v>
          </cell>
          <cell r="H1414">
            <v>-97255.602239999993</v>
          </cell>
          <cell r="I1414">
            <v>-105983.9338</v>
          </cell>
          <cell r="J1414">
            <v>-114213.5226</v>
          </cell>
          <cell r="K1414">
            <v>-122091.4935</v>
          </cell>
          <cell r="L1414">
            <v>-128935.3526</v>
          </cell>
          <cell r="M1414">
            <v>-135821.12779999999</v>
          </cell>
          <cell r="N1414">
            <v>-142697.27340000001</v>
          </cell>
          <cell r="O1414">
            <v>-149576.6182</v>
          </cell>
          <cell r="P1414">
            <v>-158846.12450000001</v>
          </cell>
          <cell r="Q1414">
            <v>-164958.20550000001</v>
          </cell>
          <cell r="R1414">
            <v>-170964.97829999999</v>
          </cell>
          <cell r="S1414">
            <v>-177043.4682</v>
          </cell>
          <cell r="T1414">
            <v>-183233.0809</v>
          </cell>
          <cell r="U1414">
            <v>-189540.10389999999</v>
          </cell>
          <cell r="V1414">
            <v>-196029.8756</v>
          </cell>
          <cell r="W1414">
            <v>-202727.8518</v>
          </cell>
          <cell r="X1414">
            <v>-209641.26329999999</v>
          </cell>
          <cell r="Y1414">
            <v>-216794.33489999999</v>
          </cell>
          <cell r="Z1414">
            <v>-223047.1942</v>
          </cell>
          <cell r="AA1414">
            <v>-231463.7175</v>
          </cell>
          <cell r="AB1414">
            <v>-240061.26060000001</v>
          </cell>
          <cell r="AC1414">
            <v>-248895.35430000001</v>
          </cell>
          <cell r="AD1414">
            <v>-258010.8743</v>
          </cell>
          <cell r="AE1414">
            <v>-263701.7647</v>
          </cell>
          <cell r="AF1414">
            <v>-273869.19400000002</v>
          </cell>
          <cell r="AG1414">
            <v>-284908.09259999997</v>
          </cell>
          <cell r="AH1414">
            <v>-296743.6556</v>
          </cell>
          <cell r="AI1414">
            <v>-309286.10220000002</v>
          </cell>
          <cell r="AJ1414">
            <v>-322463.54950000002</v>
          </cell>
          <cell r="AK1414">
            <v>-336213.80119999999</v>
          </cell>
          <cell r="AL1414">
            <v>-350523.68050000002</v>
          </cell>
          <cell r="AM1414">
            <v>-365421.52039999998</v>
          </cell>
          <cell r="AN1414">
            <v>-380944.81630000001</v>
          </cell>
          <cell r="AO1414">
            <v>-397135.16139999998</v>
          </cell>
          <cell r="AP1414">
            <v>-412676.27960000001</v>
          </cell>
          <cell r="AQ1414">
            <v>-429302.44319999998</v>
          </cell>
          <cell r="AR1414">
            <v>-447058.33799999999</v>
          </cell>
          <cell r="AS1414">
            <v>-465932.59580000001</v>
          </cell>
          <cell r="AT1414">
            <v>-485874.91210000002</v>
          </cell>
          <cell r="AU1414">
            <v>-506783.23570000002</v>
          </cell>
          <cell r="AV1414">
            <v>-528596.69220000005</v>
          </cell>
          <cell r="AW1414">
            <v>-551318.96589999995</v>
          </cell>
          <cell r="AX1414">
            <v>-574961.44839999999</v>
          </cell>
          <cell r="AY1414">
            <v>-599544.50439999998</v>
          </cell>
          <cell r="AZ1414">
            <v>-625056.85490000003</v>
          </cell>
          <cell r="BA1414">
            <v>-651284.81599999999</v>
          </cell>
          <cell r="BB1414">
            <v>-678409.92509999999</v>
          </cell>
          <cell r="BC1414">
            <v>-706547.82010000001</v>
          </cell>
          <cell r="BD1414">
            <v>-735770.17090000003</v>
          </cell>
          <cell r="BE1414">
            <v>77863.230030000006</v>
          </cell>
          <cell r="BF1414">
            <v>89753.453880000001</v>
          </cell>
          <cell r="BG1414">
            <v>102138.5665</v>
          </cell>
          <cell r="BH1414">
            <v>115050</v>
          </cell>
          <cell r="BI1414">
            <v>128528.6568</v>
          </cell>
        </row>
        <row r="1415">
          <cell r="C1415" t="str">
            <v>Dette publique</v>
          </cell>
          <cell r="E1415" t="str">
            <v>DEBT_G_VAL_2</v>
          </cell>
          <cell r="F1415">
            <v>2115866.463</v>
          </cell>
          <cell r="G1415">
            <v>2203324.0929999999</v>
          </cell>
          <cell r="H1415">
            <v>2300579.6949999998</v>
          </cell>
          <cell r="I1415">
            <v>2406563.6290000002</v>
          </cell>
          <cell r="J1415">
            <v>2520777.1510000001</v>
          </cell>
          <cell r="K1415">
            <v>2642868.645</v>
          </cell>
          <cell r="L1415">
            <v>2771803.997</v>
          </cell>
          <cell r="M1415">
            <v>2907625.125</v>
          </cell>
          <cell r="N1415">
            <v>3050322.3990000002</v>
          </cell>
          <cell r="O1415">
            <v>3199899.017</v>
          </cell>
          <cell r="P1415">
            <v>3358745.1409999998</v>
          </cell>
          <cell r="Q1415">
            <v>3523703.3470000001</v>
          </cell>
          <cell r="R1415">
            <v>3694668.3250000002</v>
          </cell>
          <cell r="S1415">
            <v>3871711.7930000001</v>
          </cell>
          <cell r="T1415">
            <v>4054944.8739999998</v>
          </cell>
          <cell r="U1415">
            <v>4244484.9780000001</v>
          </cell>
          <cell r="V1415">
            <v>4440514.8540000003</v>
          </cell>
          <cell r="W1415">
            <v>4643242.7060000002</v>
          </cell>
          <cell r="X1415">
            <v>4852883.9689999996</v>
          </cell>
          <cell r="Y1415">
            <v>5069678.3039999995</v>
          </cell>
          <cell r="Z1415">
            <v>5292725.4979999997</v>
          </cell>
          <cell r="AA1415">
            <v>5524189.2149999999</v>
          </cell>
          <cell r="AB1415">
            <v>5764250.4759999998</v>
          </cell>
          <cell r="AC1415">
            <v>6013145.8300000001</v>
          </cell>
          <cell r="AD1415">
            <v>6271156.7050000001</v>
          </cell>
          <cell r="AE1415">
            <v>6534858.4689999996</v>
          </cell>
          <cell r="AF1415">
            <v>6808727.6629999997</v>
          </cell>
          <cell r="AG1415">
            <v>7093635.7560000001</v>
          </cell>
          <cell r="AH1415">
            <v>7390379.4119999995</v>
          </cell>
          <cell r="AI1415">
            <v>7699665.5140000004</v>
          </cell>
          <cell r="AJ1415">
            <v>8022129.0630000001</v>
          </cell>
          <cell r="AK1415">
            <v>8358342.8640000001</v>
          </cell>
          <cell r="AL1415">
            <v>8708866.5449999999</v>
          </cell>
          <cell r="AM1415">
            <v>9074288.0649999995</v>
          </cell>
          <cell r="AN1415">
            <v>9455232.8819999993</v>
          </cell>
          <cell r="AO1415">
            <v>9852368.0429999996</v>
          </cell>
          <cell r="AP1415">
            <v>10265044.32</v>
          </cell>
          <cell r="AQ1415">
            <v>10694346.77</v>
          </cell>
          <cell r="AR1415">
            <v>11141405.1</v>
          </cell>
          <cell r="AS1415">
            <v>11607337.699999999</v>
          </cell>
          <cell r="AT1415">
            <v>12093212.609999999</v>
          </cell>
          <cell r="AU1415">
            <v>12599995.85</v>
          </cell>
          <cell r="AV1415">
            <v>13128592.539999999</v>
          </cell>
          <cell r="AW1415">
            <v>13679911.51</v>
          </cell>
          <cell r="AX1415">
            <v>14254872.949999999</v>
          </cell>
          <cell r="AY1415">
            <v>14854417.460000001</v>
          </cell>
          <cell r="AZ1415">
            <v>15479474.310000001</v>
          </cell>
          <cell r="BA1415">
            <v>16130759.130000001</v>
          </cell>
          <cell r="BB1415">
            <v>16809169.050000001</v>
          </cell>
          <cell r="BC1415">
            <v>17515716.870000001</v>
          </cell>
          <cell r="BD1415">
            <v>18251487.050000001</v>
          </cell>
          <cell r="BE1415">
            <v>5048577.7790000001</v>
          </cell>
          <cell r="BF1415">
            <v>4958824.3250000002</v>
          </cell>
          <cell r="BG1415">
            <v>4856685.7580000004</v>
          </cell>
          <cell r="BH1415">
            <v>4741635.7580000004</v>
          </cell>
          <cell r="BI1415">
            <v>4613107.102</v>
          </cell>
        </row>
        <row r="1434">
          <cell r="F1434">
            <v>27192.157449999999</v>
          </cell>
          <cell r="G1434">
            <v>27059.77893</v>
          </cell>
          <cell r="H1434">
            <v>26965.875039999999</v>
          </cell>
          <cell r="I1434">
            <v>26916.937849999998</v>
          </cell>
          <cell r="J1434">
            <v>26910.285790000002</v>
          </cell>
          <cell r="K1434">
            <v>26939.581900000001</v>
          </cell>
          <cell r="L1434">
            <v>26986.823759999999</v>
          </cell>
          <cell r="M1434">
            <v>27047.078870000001</v>
          </cell>
          <cell r="N1434">
            <v>27116.651969999999</v>
          </cell>
          <cell r="O1434">
            <v>27192.573100000001</v>
          </cell>
          <cell r="P1434">
            <v>27275.398089999999</v>
          </cell>
          <cell r="Q1434">
            <v>27369.632079999999</v>
          </cell>
          <cell r="R1434">
            <v>27471.284339999998</v>
          </cell>
          <cell r="S1434">
            <v>27576.81609</v>
          </cell>
          <cell r="T1434">
            <v>27683.682359999999</v>
          </cell>
          <cell r="U1434">
            <v>27790.18521</v>
          </cell>
          <cell r="V1434">
            <v>27894.973600000001</v>
          </cell>
          <cell r="W1434">
            <v>27997.386719999999</v>
          </cell>
          <cell r="X1434">
            <v>28097.167949999999</v>
          </cell>
          <cell r="Y1434">
            <v>28194.30243</v>
          </cell>
          <cell r="Z1434">
            <v>28277.470160000001</v>
          </cell>
          <cell r="AA1434">
            <v>28360.450980000001</v>
          </cell>
          <cell r="AB1434">
            <v>28443.887480000001</v>
          </cell>
          <cell r="AC1434">
            <v>28527.777050000001</v>
          </cell>
          <cell r="AD1434">
            <v>28612.022580000001</v>
          </cell>
          <cell r="AE1434">
            <v>28665.389299999999</v>
          </cell>
          <cell r="AF1434">
            <v>28710.125639999998</v>
          </cell>
          <cell r="AG1434">
            <v>28749.909800000001</v>
          </cell>
          <cell r="AH1434">
            <v>28787.031920000001</v>
          </cell>
          <cell r="AI1434">
            <v>28823.103790000001</v>
          </cell>
          <cell r="AJ1434">
            <v>28859.259610000001</v>
          </cell>
          <cell r="AK1434">
            <v>28896.28458</v>
          </cell>
          <cell r="AL1434">
            <v>28934.651239999999</v>
          </cell>
          <cell r="AM1434">
            <v>28974.560809999999</v>
          </cell>
          <cell r="AN1434">
            <v>29016.03066</v>
          </cell>
          <cell r="AO1434">
            <v>29058.962019999999</v>
          </cell>
          <cell r="AP1434">
            <v>29096.816299999999</v>
          </cell>
          <cell r="AQ1434">
            <v>29130.947</v>
          </cell>
          <cell r="AR1434">
            <v>29162.592540000001</v>
          </cell>
          <cell r="AS1434">
            <v>29192.699840000001</v>
          </cell>
          <cell r="AT1434">
            <v>29221.960149999999</v>
          </cell>
          <cell r="AU1434">
            <v>29250.885490000001</v>
          </cell>
          <cell r="AV1434">
            <v>29279.86969</v>
          </cell>
          <cell r="AW1434">
            <v>29309.121080000001</v>
          </cell>
          <cell r="AX1434">
            <v>29338.721939999999</v>
          </cell>
          <cell r="AY1434">
            <v>29368.669470000001</v>
          </cell>
          <cell r="AZ1434">
            <v>29399.46715</v>
          </cell>
          <cell r="BA1434">
            <v>29431.170450000001</v>
          </cell>
          <cell r="BB1434">
            <v>29463.606759999999</v>
          </cell>
          <cell r="BC1434">
            <v>29496.53758</v>
          </cell>
          <cell r="BD1434">
            <v>29529.729189999998</v>
          </cell>
          <cell r="BE1434">
            <v>31151.28602</v>
          </cell>
          <cell r="BF1434">
            <v>31189.76338</v>
          </cell>
          <cell r="BG1434">
            <v>31227.690480000001</v>
          </cell>
          <cell r="BH1434">
            <v>31265.089660000001</v>
          </cell>
          <cell r="BI1434">
            <v>31301.985199999999</v>
          </cell>
        </row>
        <row r="1435">
          <cell r="F1435">
            <v>757.81952999999999</v>
          </cell>
          <cell r="G1435">
            <v>753.21467399999995</v>
          </cell>
          <cell r="H1435">
            <v>748.34003889999997</v>
          </cell>
          <cell r="I1435">
            <v>744.55805929999997</v>
          </cell>
          <cell r="J1435">
            <v>742.3802111</v>
          </cell>
          <cell r="K1435">
            <v>741.82952680000005</v>
          </cell>
          <cell r="L1435">
            <v>742.43913359999999</v>
          </cell>
          <cell r="M1435">
            <v>743.92802700000004</v>
          </cell>
          <cell r="N1435">
            <v>746.04955970000003</v>
          </cell>
          <cell r="O1435">
            <v>748.59853529999998</v>
          </cell>
          <cell r="P1435">
            <v>751.25775239999996</v>
          </cell>
          <cell r="Q1435">
            <v>754.64622420000001</v>
          </cell>
          <cell r="R1435">
            <v>758.46139849999997</v>
          </cell>
          <cell r="S1435">
            <v>762.48868679999998</v>
          </cell>
          <cell r="T1435">
            <v>766.59095279999997</v>
          </cell>
          <cell r="U1435">
            <v>770.6831191</v>
          </cell>
          <cell r="V1435">
            <v>774.76303340000004</v>
          </cell>
          <cell r="W1435">
            <v>778.76813819999995</v>
          </cell>
          <cell r="X1435">
            <v>782.66807970000002</v>
          </cell>
          <cell r="Y1435">
            <v>786.45269780000001</v>
          </cell>
          <cell r="Z1435">
            <v>789.83612659999994</v>
          </cell>
          <cell r="AA1435">
            <v>793.12656870000001</v>
          </cell>
          <cell r="AB1435">
            <v>796.3762438</v>
          </cell>
          <cell r="AC1435">
            <v>799.606358</v>
          </cell>
          <cell r="AD1435">
            <v>802.82710020000002</v>
          </cell>
          <cell r="AE1435">
            <v>805.25833150000005</v>
          </cell>
          <cell r="AF1435">
            <v>807.32790490000002</v>
          </cell>
          <cell r="AG1435">
            <v>809.1830946</v>
          </cell>
          <cell r="AH1435">
            <v>810.9234735</v>
          </cell>
          <cell r="AI1435">
            <v>812.62116890000004</v>
          </cell>
          <cell r="AJ1435">
            <v>814.32749860000001</v>
          </cell>
          <cell r="AK1435">
            <v>816.06281049999996</v>
          </cell>
          <cell r="AL1435">
            <v>817.85745459999998</v>
          </cell>
          <cell r="AM1435">
            <v>819.72651299999995</v>
          </cell>
          <cell r="AN1435">
            <v>821.67479930000002</v>
          </cell>
          <cell r="AO1435">
            <v>823.7008151</v>
          </cell>
          <cell r="AP1435">
            <v>825.50259119999998</v>
          </cell>
          <cell r="AQ1435">
            <v>827.16874919999998</v>
          </cell>
          <cell r="AR1435">
            <v>828.765445</v>
          </cell>
          <cell r="AS1435">
            <v>830.33650109999996</v>
          </cell>
          <cell r="AT1435">
            <v>831.91025630000001</v>
          </cell>
          <cell r="AU1435">
            <v>833.48354700000004</v>
          </cell>
          <cell r="AV1435">
            <v>835.08231350000005</v>
          </cell>
          <cell r="AW1435">
            <v>836.7199938</v>
          </cell>
          <cell r="AX1435">
            <v>838.40181759999996</v>
          </cell>
          <cell r="AY1435">
            <v>840.12795779999999</v>
          </cell>
          <cell r="AZ1435">
            <v>841.83479560000001</v>
          </cell>
          <cell r="BA1435">
            <v>843.56777890000001</v>
          </cell>
          <cell r="BB1435">
            <v>845.34380599999997</v>
          </cell>
          <cell r="BC1435">
            <v>847.16405420000001</v>
          </cell>
          <cell r="BD1435">
            <v>849.0225226</v>
          </cell>
          <cell r="BE1435">
            <v>820.99118099999998</v>
          </cell>
          <cell r="BF1435">
            <v>821.45874209999999</v>
          </cell>
          <cell r="BG1435">
            <v>821.93549919999998</v>
          </cell>
          <cell r="BH1435">
            <v>822.4226175</v>
          </cell>
          <cell r="BI1435">
            <v>822.92123130000004</v>
          </cell>
        </row>
        <row r="1438">
          <cell r="F1438">
            <v>4322.6016310000005</v>
          </cell>
          <cell r="G1438">
            <v>4290.8554400000003</v>
          </cell>
          <cell r="H1438">
            <v>4268.8049110000002</v>
          </cell>
          <cell r="I1438">
            <v>4256.1413300000004</v>
          </cell>
          <cell r="J1438">
            <v>4251.5085559999998</v>
          </cell>
          <cell r="K1438">
            <v>4253.2933819999998</v>
          </cell>
          <cell r="L1438">
            <v>4258.4954539999999</v>
          </cell>
          <cell r="M1438">
            <v>4265.9481569999998</v>
          </cell>
          <cell r="N1438">
            <v>4274.8682250000002</v>
          </cell>
          <cell r="O1438">
            <v>4284.7059950000003</v>
          </cell>
          <cell r="P1438">
            <v>4293.9971050000004</v>
          </cell>
          <cell r="Q1438">
            <v>4306.4832260000003</v>
          </cell>
          <cell r="R1438">
            <v>4320.9561659999999</v>
          </cell>
          <cell r="S1438">
            <v>4336.4908640000003</v>
          </cell>
          <cell r="T1438">
            <v>4352.4722309999997</v>
          </cell>
          <cell r="U1438">
            <v>4368.5247200000003</v>
          </cell>
          <cell r="V1438">
            <v>4384.3330720000004</v>
          </cell>
          <cell r="W1438">
            <v>4399.8212599999997</v>
          </cell>
          <cell r="X1438">
            <v>4414.9860529999996</v>
          </cell>
          <cell r="Y1438">
            <v>4429.8638369999999</v>
          </cell>
          <cell r="Z1438">
            <v>4442.9876729999996</v>
          </cell>
          <cell r="AA1438">
            <v>4456.0702899999997</v>
          </cell>
          <cell r="AB1438">
            <v>4469.3254010000001</v>
          </cell>
          <cell r="AC1438">
            <v>4482.8265080000001</v>
          </cell>
          <cell r="AD1438">
            <v>4496.5990380000003</v>
          </cell>
          <cell r="AE1438">
            <v>4506.522602</v>
          </cell>
          <cell r="AF1438">
            <v>4515.1426110000002</v>
          </cell>
          <cell r="AG1438">
            <v>4522.9986369999997</v>
          </cell>
          <cell r="AH1438">
            <v>4530.4408949999997</v>
          </cell>
          <cell r="AI1438">
            <v>4537.7135029999999</v>
          </cell>
          <cell r="AJ1438">
            <v>4544.9829890000001</v>
          </cell>
          <cell r="AK1438">
            <v>4552.3754099999996</v>
          </cell>
          <cell r="AL1438">
            <v>4559.9447369999998</v>
          </cell>
          <cell r="AM1438">
            <v>4567.704412</v>
          </cell>
          <cell r="AN1438">
            <v>4575.6392089999999</v>
          </cell>
          <cell r="AO1438">
            <v>4583.7148500000003</v>
          </cell>
          <cell r="AP1438">
            <v>4591.192849</v>
          </cell>
          <cell r="AQ1438">
            <v>4598.0792780000002</v>
          </cell>
          <cell r="AR1438">
            <v>4604.4453350000003</v>
          </cell>
          <cell r="AS1438">
            <v>4610.3672319999996</v>
          </cell>
          <cell r="AT1438">
            <v>4615.9087740000004</v>
          </cell>
          <cell r="AU1438">
            <v>4621.1441359999999</v>
          </cell>
          <cell r="AV1438">
            <v>4626.107626</v>
          </cell>
          <cell r="AW1438">
            <v>4630.8163219999997</v>
          </cell>
          <cell r="AX1438">
            <v>4635.2754150000001</v>
          </cell>
          <cell r="AY1438">
            <v>4639.4820739999996</v>
          </cell>
          <cell r="AZ1438">
            <v>4643.5799729999999</v>
          </cell>
          <cell r="BA1438">
            <v>4647.5624239999997</v>
          </cell>
          <cell r="BB1438">
            <v>4651.3987429999997</v>
          </cell>
          <cell r="BC1438">
            <v>4655.053457</v>
          </cell>
          <cell r="BD1438">
            <v>4658.4946410000002</v>
          </cell>
          <cell r="BE1438">
            <v>5231.1607729999996</v>
          </cell>
          <cell r="BF1438">
            <v>5242.3388690000002</v>
          </cell>
          <cell r="BG1438">
            <v>5253.0782669999999</v>
          </cell>
          <cell r="BH1438">
            <v>5263.3729199999998</v>
          </cell>
          <cell r="BI1438">
            <v>5273.218406</v>
          </cell>
        </row>
        <row r="1450">
          <cell r="F1450">
            <v>860.28189440000006</v>
          </cell>
          <cell r="G1450">
            <v>854.31516929999998</v>
          </cell>
          <cell r="H1450">
            <v>849.7484614</v>
          </cell>
          <cell r="I1450">
            <v>846.64182740000001</v>
          </cell>
          <cell r="J1450">
            <v>844.87152560000004</v>
          </cell>
          <cell r="K1450">
            <v>844.22944729999995</v>
          </cell>
          <cell r="L1450">
            <v>844.1730159</v>
          </cell>
          <cell r="M1450">
            <v>844.53402589999996</v>
          </cell>
          <cell r="N1450">
            <v>845.18373099999997</v>
          </cell>
          <cell r="O1450">
            <v>846.01512400000001</v>
          </cell>
          <cell r="P1450">
            <v>846.79720459999999</v>
          </cell>
          <cell r="Q1450">
            <v>848.12331059999997</v>
          </cell>
          <cell r="R1450">
            <v>849.75000050000006</v>
          </cell>
          <cell r="S1450">
            <v>851.49745959999996</v>
          </cell>
          <cell r="T1450">
            <v>853.25083770000003</v>
          </cell>
          <cell r="U1450">
            <v>854.94206829999996</v>
          </cell>
          <cell r="V1450">
            <v>856.51403130000006</v>
          </cell>
          <cell r="W1450">
            <v>857.95449010000004</v>
          </cell>
          <cell r="X1450">
            <v>859.26441899999998</v>
          </cell>
          <cell r="Y1450">
            <v>860.45199149999996</v>
          </cell>
          <cell r="Z1450">
            <v>861.20994540000004</v>
          </cell>
          <cell r="AA1450">
            <v>861.93122129999995</v>
          </cell>
          <cell r="AB1450">
            <v>862.6470577</v>
          </cell>
          <cell r="AC1450">
            <v>863.36300730000005</v>
          </cell>
          <cell r="AD1450">
            <v>864.08104260000005</v>
          </cell>
          <cell r="AE1450">
            <v>863.93954729999996</v>
          </cell>
          <cell r="AF1450">
            <v>863.56577540000001</v>
          </cell>
          <cell r="AG1450">
            <v>863.07826250000005</v>
          </cell>
          <cell r="AH1450">
            <v>862.54535750000002</v>
          </cell>
          <cell r="AI1450">
            <v>862.01413690000004</v>
          </cell>
          <cell r="AJ1450">
            <v>861.51750419999996</v>
          </cell>
          <cell r="AK1450">
            <v>861.08095660000004</v>
          </cell>
          <cell r="AL1450">
            <v>860.71612679999998</v>
          </cell>
          <cell r="AM1450">
            <v>860.42702169999995</v>
          </cell>
          <cell r="AN1450">
            <v>860.21245599999997</v>
          </cell>
          <cell r="AO1450">
            <v>860.06792940000003</v>
          </cell>
          <cell r="AP1450">
            <v>859.83930350000003</v>
          </cell>
          <cell r="AQ1450">
            <v>859.54880639999999</v>
          </cell>
          <cell r="AR1450">
            <v>859.22370290000003</v>
          </cell>
          <cell r="AS1450">
            <v>858.88613559999999</v>
          </cell>
          <cell r="AT1450">
            <v>858.55254669999999</v>
          </cell>
          <cell r="AU1450">
            <v>858.23950049999996</v>
          </cell>
          <cell r="AV1450">
            <v>857.95420890000003</v>
          </cell>
          <cell r="AW1450">
            <v>857.69967410000004</v>
          </cell>
          <cell r="AX1450">
            <v>857.4760493</v>
          </cell>
          <cell r="AY1450">
            <v>857.28152060000002</v>
          </cell>
          <cell r="AZ1450">
            <v>857.14317170000004</v>
          </cell>
          <cell r="BA1450">
            <v>857.054261</v>
          </cell>
          <cell r="BB1450">
            <v>857.00418439999999</v>
          </cell>
          <cell r="BC1450">
            <v>856.98264129999995</v>
          </cell>
          <cell r="BD1450">
            <v>856.9808501</v>
          </cell>
          <cell r="BE1450">
            <v>906.05349030000002</v>
          </cell>
          <cell r="BF1450">
            <v>906.0849584</v>
          </cell>
          <cell r="BG1450">
            <v>906.13729030000002</v>
          </cell>
          <cell r="BH1450">
            <v>906.21093189999999</v>
          </cell>
          <cell r="BI1450">
            <v>906.30620550000003</v>
          </cell>
        </row>
        <row r="1455">
          <cell r="F1455">
            <v>21146.65713</v>
          </cell>
          <cell r="G1455">
            <v>21057.103060000001</v>
          </cell>
          <cell r="H1455">
            <v>20995.426459999999</v>
          </cell>
          <cell r="I1455">
            <v>20966.82545</v>
          </cell>
          <cell r="J1455">
            <v>20969.46716</v>
          </cell>
          <cell r="K1455">
            <v>20998.756229999999</v>
          </cell>
          <cell r="L1455">
            <v>21040.721089999999</v>
          </cell>
          <cell r="M1455">
            <v>21092.0599</v>
          </cell>
          <cell r="N1455">
            <v>21150.258559999998</v>
          </cell>
          <cell r="O1455">
            <v>21213.23531</v>
          </cell>
          <cell r="P1455">
            <v>21283.595870000001</v>
          </cell>
          <cell r="Q1455">
            <v>21360.841130000001</v>
          </cell>
          <cell r="R1455">
            <v>21442.762630000001</v>
          </cell>
          <cell r="S1455">
            <v>21527.159319999999</v>
          </cell>
          <cell r="T1455">
            <v>21612.36262</v>
          </cell>
          <cell r="U1455">
            <v>21697.207620000001</v>
          </cell>
          <cell r="V1455">
            <v>21780.714540000001</v>
          </cell>
          <cell r="W1455">
            <v>21862.377810000002</v>
          </cell>
          <cell r="X1455">
            <v>21941.974699999999</v>
          </cell>
          <cell r="Y1455">
            <v>22019.455580000002</v>
          </cell>
          <cell r="Z1455">
            <v>22085.592379999998</v>
          </cell>
          <cell r="AA1455">
            <v>22151.712070000001</v>
          </cell>
          <cell r="AB1455">
            <v>22218.15382</v>
          </cell>
          <cell r="AC1455">
            <v>22284.81395</v>
          </cell>
          <cell r="AD1455">
            <v>22351.557809999998</v>
          </cell>
          <cell r="AE1455">
            <v>22393.001929999999</v>
          </cell>
          <cell r="AF1455">
            <v>22427.737529999999</v>
          </cell>
          <cell r="AG1455">
            <v>22458.617819999999</v>
          </cell>
          <cell r="AH1455">
            <v>22487.405490000001</v>
          </cell>
          <cell r="AI1455">
            <v>22515.343840000001</v>
          </cell>
          <cell r="AJ1455">
            <v>22543.313300000002</v>
          </cell>
          <cell r="AK1455">
            <v>22571.926810000001</v>
          </cell>
          <cell r="AL1455">
            <v>22601.559069999999</v>
          </cell>
          <cell r="AM1455">
            <v>22632.378059999999</v>
          </cell>
          <cell r="AN1455">
            <v>22664.41286</v>
          </cell>
          <cell r="AO1455">
            <v>22697.605530000001</v>
          </cell>
          <cell r="AP1455">
            <v>22726.64372</v>
          </cell>
          <cell r="AQ1455">
            <v>22752.753369999999</v>
          </cell>
          <cell r="AR1455">
            <v>22777.00044</v>
          </cell>
          <cell r="AS1455">
            <v>22800.185229999999</v>
          </cell>
          <cell r="AT1455">
            <v>22822.888350000001</v>
          </cell>
          <cell r="AU1455">
            <v>22845.535550000001</v>
          </cell>
          <cell r="AV1455">
            <v>22868.45174</v>
          </cell>
          <cell r="AW1455">
            <v>22891.811460000001</v>
          </cell>
          <cell r="AX1455">
            <v>22915.68678</v>
          </cell>
          <cell r="AY1455">
            <v>22940.080010000001</v>
          </cell>
          <cell r="AZ1455">
            <v>22965.393670000001</v>
          </cell>
          <cell r="BA1455">
            <v>22991.647130000001</v>
          </cell>
          <cell r="BB1455">
            <v>23018.69096</v>
          </cell>
          <cell r="BC1455">
            <v>23046.33149</v>
          </cell>
          <cell r="BD1455">
            <v>23074.382509999999</v>
          </cell>
          <cell r="BE1455">
            <v>24105.83799</v>
          </cell>
          <cell r="BF1455">
            <v>24132.885460000001</v>
          </cell>
          <cell r="BG1455">
            <v>24159.784810000001</v>
          </cell>
          <cell r="BH1455">
            <v>24186.563109999999</v>
          </cell>
          <cell r="BI1455">
            <v>24213.247859999999</v>
          </cell>
        </row>
        <row r="1458">
          <cell r="F1458">
            <v>17.800283950000001</v>
          </cell>
          <cell r="G1458">
            <v>17.619355800000001</v>
          </cell>
          <cell r="H1458">
            <v>17.440261540000002</v>
          </cell>
          <cell r="I1458">
            <v>17.278399709999999</v>
          </cell>
          <cell r="J1458">
            <v>17.143893940000002</v>
          </cell>
          <cell r="K1458">
            <v>17.03954787</v>
          </cell>
          <cell r="L1458">
            <v>16.957346229999999</v>
          </cell>
          <cell r="M1458">
            <v>16.893727670000001</v>
          </cell>
          <cell r="N1458">
            <v>16.84449549</v>
          </cell>
          <cell r="O1458">
            <v>16.805428280000001</v>
          </cell>
          <cell r="P1458">
            <v>16.76591002</v>
          </cell>
          <cell r="Q1458">
            <v>16.743905510000001</v>
          </cell>
          <cell r="R1458">
            <v>16.73260033</v>
          </cell>
          <cell r="S1458">
            <v>16.727015730000002</v>
          </cell>
          <cell r="T1458">
            <v>16.7241429</v>
          </cell>
          <cell r="U1458">
            <v>16.722249619999999</v>
          </cell>
          <cell r="V1458">
            <v>16.719929310000001</v>
          </cell>
          <cell r="W1458">
            <v>16.716768250000001</v>
          </cell>
          <cell r="X1458">
            <v>16.712582250000001</v>
          </cell>
          <cell r="Y1458">
            <v>16.707300790000001</v>
          </cell>
          <cell r="Z1458">
            <v>16.695226049999999</v>
          </cell>
          <cell r="AA1458">
            <v>16.68338275</v>
          </cell>
          <cell r="AB1458">
            <v>16.67192966</v>
          </cell>
          <cell r="AC1458">
            <v>16.66066631</v>
          </cell>
          <cell r="AD1458">
            <v>16.649446019999999</v>
          </cell>
          <cell r="AE1458">
            <v>16.62284116</v>
          </cell>
          <cell r="AF1458">
            <v>16.592608460000001</v>
          </cell>
          <cell r="AG1458">
            <v>16.560530799999999</v>
          </cell>
          <cell r="AH1458">
            <v>16.527478739999999</v>
          </cell>
          <cell r="AI1458">
            <v>16.494051349999999</v>
          </cell>
          <cell r="AJ1458">
            <v>16.460704610000001</v>
          </cell>
          <cell r="AK1458">
            <v>16.427866139999999</v>
          </cell>
          <cell r="AL1458">
            <v>16.395758499999999</v>
          </cell>
          <cell r="AM1458">
            <v>16.364522109999999</v>
          </cell>
          <cell r="AN1458">
            <v>16.334235719999999</v>
          </cell>
          <cell r="AO1458">
            <v>16.304933519999999</v>
          </cell>
          <cell r="AP1458">
            <v>16.274120830000001</v>
          </cell>
          <cell r="AQ1458">
            <v>16.24230961</v>
          </cell>
          <cell r="AR1458">
            <v>16.210056139999999</v>
          </cell>
          <cell r="AS1458">
            <v>16.177791760000002</v>
          </cell>
          <cell r="AT1458">
            <v>16.145825970000001</v>
          </cell>
          <cell r="AU1458">
            <v>16.114477109999999</v>
          </cell>
          <cell r="AV1458">
            <v>16.083861200000001</v>
          </cell>
          <cell r="AW1458">
            <v>16.054041430000002</v>
          </cell>
          <cell r="AX1458">
            <v>16.025049070000001</v>
          </cell>
          <cell r="AY1458">
            <v>15.996891639999999</v>
          </cell>
          <cell r="AZ1458">
            <v>15.970143520000001</v>
          </cell>
          <cell r="BA1458">
            <v>15.944652550000001</v>
          </cell>
          <cell r="BB1458">
            <v>15.92025887</v>
          </cell>
          <cell r="BC1458">
            <v>15.896840989999999</v>
          </cell>
          <cell r="BD1458">
            <v>15.87430955</v>
          </cell>
          <cell r="BE1458">
            <v>17.10672302</v>
          </cell>
          <cell r="BF1458">
            <v>17.084953720000001</v>
          </cell>
          <cell r="BG1458">
            <v>17.063645919999999</v>
          </cell>
          <cell r="BH1458">
            <v>17.04283483</v>
          </cell>
          <cell r="BI1458">
            <v>17.022556850000001</v>
          </cell>
        </row>
        <row r="1460">
          <cell r="F1460">
            <v>6.6175957939999996</v>
          </cell>
          <cell r="G1460">
            <v>6.5465651940000003</v>
          </cell>
          <cell r="H1460">
            <v>6.4715460780000003</v>
          </cell>
          <cell r="I1460">
            <v>6.4018167039999998</v>
          </cell>
          <cell r="J1460">
            <v>6.3432012330000003</v>
          </cell>
          <cell r="K1460">
            <v>6.2974512169999999</v>
          </cell>
          <cell r="L1460">
            <v>6.2618015280000003</v>
          </cell>
          <cell r="M1460">
            <v>6.234609743</v>
          </cell>
          <cell r="N1460">
            <v>6.2139279849999998</v>
          </cell>
          <cell r="O1460">
            <v>6.1979266180000003</v>
          </cell>
          <cell r="P1460">
            <v>6.1825094099999998</v>
          </cell>
          <cell r="Q1460">
            <v>6.1739949579999998</v>
          </cell>
          <cell r="R1460">
            <v>6.1697383730000004</v>
          </cell>
          <cell r="S1460">
            <v>6.1678684219999997</v>
          </cell>
          <cell r="T1460">
            <v>6.1672284209999999</v>
          </cell>
          <cell r="U1460">
            <v>6.1671230819999998</v>
          </cell>
          <cell r="V1460">
            <v>6.166992992</v>
          </cell>
          <cell r="W1460">
            <v>6.1666379830000002</v>
          </cell>
          <cell r="X1460">
            <v>6.1659423269999998</v>
          </cell>
          <cell r="Y1460">
            <v>6.164839701</v>
          </cell>
          <cell r="Z1460">
            <v>6.1614045060000002</v>
          </cell>
          <cell r="AA1460">
            <v>6.1579474769999996</v>
          </cell>
          <cell r="AB1460">
            <v>6.154454039</v>
          </cell>
          <cell r="AC1460">
            <v>6.1508550629999998</v>
          </cell>
          <cell r="AD1460">
            <v>6.1471093970000004</v>
          </cell>
          <cell r="AE1460">
            <v>6.1380908979999997</v>
          </cell>
          <cell r="AF1460">
            <v>6.1277252449999997</v>
          </cell>
          <cell r="AG1460">
            <v>6.1164852789999999</v>
          </cell>
          <cell r="AH1460">
            <v>6.1046458460000004</v>
          </cell>
          <cell r="AI1460">
            <v>6.0924253730000002</v>
          </cell>
          <cell r="AJ1460">
            <v>6.0800055430000004</v>
          </cell>
          <cell r="AK1460">
            <v>6.0675605929999996</v>
          </cell>
          <cell r="AL1460">
            <v>6.0551929219999998</v>
          </cell>
          <cell r="AM1460">
            <v>6.0429766540000003</v>
          </cell>
          <cell r="AN1460">
            <v>6.0309626310000004</v>
          </cell>
          <cell r="AO1460">
            <v>6.0191831760000003</v>
          </cell>
          <cell r="AP1460">
            <v>6.0068264840000003</v>
          </cell>
          <cell r="AQ1460">
            <v>5.9940723389999997</v>
          </cell>
          <cell r="AR1460">
            <v>5.9811029600000003</v>
          </cell>
          <cell r="AS1460">
            <v>5.9680646550000001</v>
          </cell>
          <cell r="AT1460">
            <v>5.9550701760000004</v>
          </cell>
          <cell r="AU1460">
            <v>5.9422404750000002</v>
          </cell>
          <cell r="AV1460">
            <v>5.9296292660000001</v>
          </cell>
          <cell r="AW1460">
            <v>5.9172750819999997</v>
          </cell>
          <cell r="AX1460">
            <v>5.9052046740000002</v>
          </cell>
          <cell r="AY1460">
            <v>5.8934348239999998</v>
          </cell>
          <cell r="AZ1460">
            <v>5.8821706450000004</v>
          </cell>
          <cell r="BA1460">
            <v>5.8713658559999997</v>
          </cell>
          <cell r="BB1460">
            <v>5.8609793689999998</v>
          </cell>
          <cell r="BC1460">
            <v>5.8509813609999997</v>
          </cell>
          <cell r="BD1460">
            <v>5.8413501649999997</v>
          </cell>
          <cell r="BE1460">
            <v>6.2603257899999996</v>
          </cell>
          <cell r="BF1460">
            <v>6.2497078110000004</v>
          </cell>
          <cell r="BG1460">
            <v>6.2392568309999996</v>
          </cell>
          <cell r="BH1460">
            <v>6.2289919490000001</v>
          </cell>
          <cell r="BI1460">
            <v>6.2189324130000001</v>
          </cell>
        </row>
        <row r="1462">
          <cell r="F1462">
            <v>0.71332806999999998</v>
          </cell>
          <cell r="G1462">
            <v>0.70775063299999996</v>
          </cell>
          <cell r="H1462">
            <v>0.70267093110000001</v>
          </cell>
          <cell r="I1462">
            <v>0.69821132509999995</v>
          </cell>
          <cell r="J1462">
            <v>0.69452348809999997</v>
          </cell>
          <cell r="K1462">
            <v>0.69168054050000005</v>
          </cell>
          <cell r="L1462">
            <v>0.68937683419999995</v>
          </cell>
          <cell r="M1462">
            <v>0.68755001130000004</v>
          </cell>
          <cell r="N1462">
            <v>0.68611374479999998</v>
          </cell>
          <cell r="O1462">
            <v>0.68494242940000005</v>
          </cell>
          <cell r="P1462">
            <v>0.68367602699999996</v>
          </cell>
          <cell r="Q1462">
            <v>0.68294039309999999</v>
          </cell>
          <cell r="R1462">
            <v>0.68250323349999997</v>
          </cell>
          <cell r="S1462">
            <v>0.6821972999</v>
          </cell>
          <cell r="T1462">
            <v>0.68193316550000005</v>
          </cell>
          <cell r="U1462">
            <v>0.68166724670000001</v>
          </cell>
          <cell r="V1462">
            <v>0.68136717690000004</v>
          </cell>
          <cell r="W1462">
            <v>0.68102449200000004</v>
          </cell>
          <cell r="X1462">
            <v>0.68063826930000004</v>
          </cell>
          <cell r="Y1462">
            <v>0.68021061790000004</v>
          </cell>
          <cell r="Z1462">
            <v>0.67946955840000001</v>
          </cell>
          <cell r="AA1462">
            <v>0.67874786060000003</v>
          </cell>
          <cell r="AB1462">
            <v>0.67807436440000002</v>
          </cell>
          <cell r="AC1462">
            <v>0.67744219719999998</v>
          </cell>
          <cell r="AD1462">
            <v>0.67684310000000003</v>
          </cell>
          <cell r="AE1462">
            <v>0.67553082379999996</v>
          </cell>
          <cell r="AF1462">
            <v>0.6740403344</v>
          </cell>
          <cell r="AG1462">
            <v>0.67249621770000001</v>
          </cell>
          <cell r="AH1462">
            <v>0.67095260909999999</v>
          </cell>
          <cell r="AI1462">
            <v>0.66944014760000004</v>
          </cell>
          <cell r="AJ1462">
            <v>0.6679783547</v>
          </cell>
          <cell r="AK1462">
            <v>0.66658166379999995</v>
          </cell>
          <cell r="AL1462">
            <v>0.66525785010000005</v>
          </cell>
          <cell r="AM1462">
            <v>0.66401005049999995</v>
          </cell>
          <cell r="AN1462">
            <v>0.66283836860000001</v>
          </cell>
          <cell r="AO1462">
            <v>0.66174108310000002</v>
          </cell>
          <cell r="AP1462">
            <v>0.6605756505</v>
          </cell>
          <cell r="AQ1462">
            <v>0.6593690418</v>
          </cell>
          <cell r="AR1462">
            <v>0.65815477389999999</v>
          </cell>
          <cell r="AS1462">
            <v>0.65695753869999995</v>
          </cell>
          <cell r="AT1462">
            <v>0.65579296379999996</v>
          </cell>
          <cell r="AU1462">
            <v>0.65467158219999999</v>
          </cell>
          <cell r="AV1462">
            <v>0.65359780820000002</v>
          </cell>
          <cell r="AW1462">
            <v>0.65257208970000002</v>
          </cell>
          <cell r="AX1462">
            <v>0.65159278040000002</v>
          </cell>
          <cell r="AY1462">
            <v>0.65065707100000003</v>
          </cell>
          <cell r="AZ1462">
            <v>0.64977875610000002</v>
          </cell>
          <cell r="BA1462">
            <v>0.64895430190000003</v>
          </cell>
          <cell r="BB1462">
            <v>0.64817656420000003</v>
          </cell>
          <cell r="BC1462">
            <v>0.64743879270000004</v>
          </cell>
          <cell r="BD1462">
            <v>0.64673526329999997</v>
          </cell>
          <cell r="BE1462">
            <v>0.69044872810000002</v>
          </cell>
          <cell r="BF1462">
            <v>0.68981517540000004</v>
          </cell>
          <cell r="BG1462">
            <v>0.68920305380000002</v>
          </cell>
          <cell r="BH1462">
            <v>0.68861274729999999</v>
          </cell>
          <cell r="BI1462">
            <v>0.68804478970000005</v>
          </cell>
        </row>
        <row r="1463">
          <cell r="F1463">
            <v>86.996979170000003</v>
          </cell>
          <cell r="G1463">
            <v>86.671236010000001</v>
          </cell>
          <cell r="H1463">
            <v>86.114908310000004</v>
          </cell>
          <cell r="I1463">
            <v>85.492784189999995</v>
          </cell>
          <cell r="J1463">
            <v>84.914440029999994</v>
          </cell>
          <cell r="K1463">
            <v>84.433757929999999</v>
          </cell>
          <cell r="L1463">
            <v>84.03772343</v>
          </cell>
          <cell r="M1463">
            <v>83.715038719999995</v>
          </cell>
          <cell r="N1463">
            <v>83.447399259999997</v>
          </cell>
          <cell r="O1463">
            <v>83.212713199999996</v>
          </cell>
          <cell r="P1463">
            <v>82.984241990000001</v>
          </cell>
          <cell r="Q1463">
            <v>82.79428077</v>
          </cell>
          <cell r="R1463">
            <v>82.621543770000002</v>
          </cell>
          <cell r="S1463">
            <v>82.452747130000006</v>
          </cell>
          <cell r="T1463">
            <v>82.281569590000004</v>
          </cell>
          <cell r="U1463">
            <v>82.105431960000004</v>
          </cell>
          <cell r="V1463">
            <v>81.928992679999993</v>
          </cell>
          <cell r="W1463">
            <v>81.748254250000002</v>
          </cell>
          <cell r="X1463">
            <v>81.562109820000003</v>
          </cell>
          <cell r="Y1463">
            <v>81.371022030000006</v>
          </cell>
          <cell r="Z1463">
            <v>81.148814209999998</v>
          </cell>
          <cell r="AA1463">
            <v>80.927448240000004</v>
          </cell>
          <cell r="AB1463">
            <v>80.713027269999998</v>
          </cell>
          <cell r="AC1463">
            <v>80.50656309</v>
          </cell>
          <cell r="AD1463">
            <v>80.308141239999998</v>
          </cell>
          <cell r="AE1463">
            <v>80.044054650000007</v>
          </cell>
          <cell r="AF1463">
            <v>79.759209319999997</v>
          </cell>
          <cell r="AG1463">
            <v>79.471449230000005</v>
          </cell>
          <cell r="AH1463">
            <v>79.189229109999999</v>
          </cell>
          <cell r="AI1463">
            <v>78.917093499999993</v>
          </cell>
          <cell r="AJ1463">
            <v>78.657606000000001</v>
          </cell>
          <cell r="AK1463">
            <v>78.410718799999998</v>
          </cell>
          <cell r="AL1463">
            <v>78.178095819999996</v>
          </cell>
          <cell r="AM1463">
            <v>77.960277329999997</v>
          </cell>
          <cell r="AN1463">
            <v>77.757095899999996</v>
          </cell>
          <cell r="AO1463">
            <v>77.567959639999998</v>
          </cell>
          <cell r="AP1463">
            <v>77.363712300000003</v>
          </cell>
          <cell r="AQ1463">
            <v>77.154484839999995</v>
          </cell>
          <cell r="AR1463">
            <v>76.947564180000001</v>
          </cell>
          <cell r="AS1463">
            <v>76.746944650000003</v>
          </cell>
          <cell r="AT1463">
            <v>76.554393210000001</v>
          </cell>
          <cell r="AU1463">
            <v>76.368282559999997</v>
          </cell>
          <cell r="AV1463">
            <v>76.189944010000005</v>
          </cell>
          <cell r="AW1463">
            <v>76.019585410000005</v>
          </cell>
          <cell r="AX1463">
            <v>75.8568243</v>
          </cell>
          <cell r="AY1463">
            <v>75.701008790000003</v>
          </cell>
          <cell r="AZ1463">
            <v>75.545393079999997</v>
          </cell>
          <cell r="BA1463">
            <v>75.394203520000005</v>
          </cell>
          <cell r="BB1463">
            <v>75.248804980000003</v>
          </cell>
          <cell r="BC1463">
            <v>75.10909676</v>
          </cell>
          <cell r="BD1463">
            <v>74.974355450000004</v>
          </cell>
          <cell r="BE1463">
            <v>70.135860050000005</v>
          </cell>
          <cell r="BF1463">
            <v>69.91039542</v>
          </cell>
          <cell r="BG1463">
            <v>69.69096304</v>
          </cell>
          <cell r="BH1463">
            <v>69.477245850000003</v>
          </cell>
          <cell r="BI1463">
            <v>69.268945419999994</v>
          </cell>
        </row>
        <row r="1473">
          <cell r="F1473">
            <v>27371.846870000001</v>
          </cell>
          <cell r="G1473">
            <v>27401.593649999999</v>
          </cell>
          <cell r="H1473">
            <v>27439.540099999998</v>
          </cell>
          <cell r="I1473">
            <v>27494.808359999999</v>
          </cell>
          <cell r="J1473">
            <v>27570.244269999999</v>
          </cell>
          <cell r="K1473">
            <v>27664.90668</v>
          </cell>
          <cell r="L1473">
            <v>27765.3269</v>
          </cell>
          <cell r="M1473">
            <v>27870.142619999999</v>
          </cell>
          <cell r="N1473">
            <v>27978.3992</v>
          </cell>
          <cell r="O1473">
            <v>28089.185700000002</v>
          </cell>
          <cell r="P1473">
            <v>28219.506089999999</v>
          </cell>
          <cell r="Q1473">
            <v>28347.466799999998</v>
          </cell>
          <cell r="R1473">
            <v>28471.835709999999</v>
          </cell>
          <cell r="S1473">
            <v>28592.55488</v>
          </cell>
          <cell r="T1473">
            <v>28709.857830000001</v>
          </cell>
          <cell r="U1473">
            <v>28824.0841</v>
          </cell>
          <cell r="V1473">
            <v>28935.630130000001</v>
          </cell>
          <cell r="W1473">
            <v>29044.920099999999</v>
          </cell>
          <cell r="X1473">
            <v>29152.37918</v>
          </cell>
          <cell r="Y1473">
            <v>29258.410469999999</v>
          </cell>
          <cell r="Z1473">
            <v>29351.548210000001</v>
          </cell>
          <cell r="AA1473">
            <v>29446.07231</v>
          </cell>
          <cell r="AB1473">
            <v>29542.63535</v>
          </cell>
          <cell r="AC1473">
            <v>29641.154170000002</v>
          </cell>
          <cell r="AD1473">
            <v>29741.393469999999</v>
          </cell>
          <cell r="AE1473">
            <v>29810.8298</v>
          </cell>
          <cell r="AF1473">
            <v>29872.11692</v>
          </cell>
          <cell r="AG1473">
            <v>29928.77248</v>
          </cell>
          <cell r="AH1473">
            <v>29982.965209999998</v>
          </cell>
          <cell r="AI1473">
            <v>30036.211480000002</v>
          </cell>
          <cell r="AJ1473">
            <v>30089.559499999999</v>
          </cell>
          <cell r="AK1473">
            <v>30143.67438</v>
          </cell>
          <cell r="AL1473">
            <v>30198.911189999999</v>
          </cell>
          <cell r="AM1473">
            <v>30255.38895</v>
          </cell>
          <cell r="AN1473">
            <v>30313.061399999999</v>
          </cell>
          <cell r="AO1473">
            <v>30371.779210000001</v>
          </cell>
          <cell r="AP1473">
            <v>30424.466509999998</v>
          </cell>
          <cell r="AQ1473">
            <v>30472.142639999998</v>
          </cell>
          <cell r="AR1473">
            <v>30516.058779999999</v>
          </cell>
          <cell r="AS1473">
            <v>30557.311559999998</v>
          </cell>
          <cell r="AT1473">
            <v>30596.784889999999</v>
          </cell>
          <cell r="AU1473">
            <v>30635.157070000001</v>
          </cell>
          <cell r="AV1473">
            <v>30672.921849999999</v>
          </cell>
          <cell r="AW1473">
            <v>30710.41447</v>
          </cell>
          <cell r="AX1473">
            <v>30747.841100000001</v>
          </cell>
          <cell r="AY1473">
            <v>30785.309730000001</v>
          </cell>
          <cell r="AZ1473">
            <v>30823.41649</v>
          </cell>
          <cell r="BA1473">
            <v>30862.064839999999</v>
          </cell>
          <cell r="BB1473">
            <v>30901.118210000001</v>
          </cell>
          <cell r="BC1473">
            <v>30940.427749999999</v>
          </cell>
          <cell r="BD1473">
            <v>30979.856250000001</v>
          </cell>
          <cell r="BE1473">
            <v>31107.650259999999</v>
          </cell>
          <cell r="BF1473">
            <v>31143.853749999998</v>
          </cell>
          <cell r="BG1473">
            <v>31179.418160000001</v>
          </cell>
          <cell r="BH1473">
            <v>31214.358059999999</v>
          </cell>
          <cell r="BI1473">
            <v>31248.702590000001</v>
          </cell>
        </row>
        <row r="1474">
          <cell r="F1474">
            <v>760.53305020000005</v>
          </cell>
          <cell r="G1474">
            <v>759.21501550000005</v>
          </cell>
          <cell r="H1474">
            <v>757.31483760000003</v>
          </cell>
          <cell r="I1474">
            <v>755.91675469999996</v>
          </cell>
          <cell r="J1474">
            <v>755.49152919999995</v>
          </cell>
          <cell r="K1474">
            <v>756.13115900000003</v>
          </cell>
          <cell r="L1474">
            <v>757.46432240000001</v>
          </cell>
          <cell r="M1474">
            <v>759.32508580000001</v>
          </cell>
          <cell r="N1474">
            <v>761.56709569999998</v>
          </cell>
          <cell r="O1474">
            <v>764.06698719999997</v>
          </cell>
          <cell r="P1474">
            <v>767.1690026</v>
          </cell>
          <cell r="Q1474">
            <v>770.32745980000004</v>
          </cell>
          <cell r="R1474">
            <v>773.43415389999996</v>
          </cell>
          <cell r="S1474">
            <v>776.44274050000001</v>
          </cell>
          <cell r="T1474">
            <v>779.33460820000005</v>
          </cell>
          <cell r="U1474">
            <v>782.10706519999997</v>
          </cell>
          <cell r="V1474">
            <v>784.76720230000001</v>
          </cell>
          <cell r="W1474">
            <v>787.32772320000004</v>
          </cell>
          <cell r="X1474">
            <v>789.80393730000003</v>
          </cell>
          <cell r="Y1474">
            <v>792.21168999999998</v>
          </cell>
          <cell r="Z1474">
            <v>794.27426939999998</v>
          </cell>
          <cell r="AA1474">
            <v>796.31609519999995</v>
          </cell>
          <cell r="AB1474">
            <v>798.38529249999999</v>
          </cell>
          <cell r="AC1474">
            <v>800.49781399999995</v>
          </cell>
          <cell r="AD1474">
            <v>802.6576215</v>
          </cell>
          <cell r="AE1474">
            <v>804.06893500000001</v>
          </cell>
          <cell r="AF1474">
            <v>805.19966420000003</v>
          </cell>
          <cell r="AG1474">
            <v>806.16685840000002</v>
          </cell>
          <cell r="AH1474">
            <v>807.05121999999994</v>
          </cell>
          <cell r="AI1474">
            <v>807.91324780000002</v>
          </cell>
          <cell r="AJ1474">
            <v>808.79660369999999</v>
          </cell>
          <cell r="AK1474">
            <v>809.73002459999998</v>
          </cell>
          <cell r="AL1474">
            <v>810.7297509</v>
          </cell>
          <cell r="AM1474">
            <v>811.80236560000003</v>
          </cell>
          <cell r="AN1474">
            <v>812.94762170000001</v>
          </cell>
          <cell r="AO1474">
            <v>814.16093509999996</v>
          </cell>
          <cell r="AP1474">
            <v>815.26672710000003</v>
          </cell>
          <cell r="AQ1474">
            <v>816.26832790000003</v>
          </cell>
          <cell r="AR1474">
            <v>817.19005890000005</v>
          </cell>
          <cell r="AS1474">
            <v>818.06017029999998</v>
          </cell>
          <cell r="AT1474">
            <v>818.9050522</v>
          </cell>
          <cell r="AU1474">
            <v>819.74677210000004</v>
          </cell>
          <cell r="AV1474">
            <v>820.60211370000002</v>
          </cell>
          <cell r="AW1474">
            <v>821.48254110000005</v>
          </cell>
          <cell r="AX1474">
            <v>822.3947604</v>
          </cell>
          <cell r="AY1474">
            <v>823.34158400000001</v>
          </cell>
          <cell r="AZ1474">
            <v>824.33631890000004</v>
          </cell>
          <cell r="BA1474">
            <v>825.3764923</v>
          </cell>
          <cell r="BB1474">
            <v>826.45734300000004</v>
          </cell>
          <cell r="BC1474">
            <v>827.57273789999999</v>
          </cell>
          <cell r="BD1474">
            <v>828.71630670000002</v>
          </cell>
          <cell r="BE1474">
            <v>821.15535560000001</v>
          </cell>
          <cell r="BF1474">
            <v>821.62769619999995</v>
          </cell>
          <cell r="BG1474">
            <v>822.10868189999997</v>
          </cell>
          <cell r="BH1474">
            <v>822.59935270000005</v>
          </cell>
          <cell r="BI1474">
            <v>823.10108200000002</v>
          </cell>
        </row>
        <row r="1477">
          <cell r="F1477">
            <v>4367.1201650000003</v>
          </cell>
          <cell r="G1477">
            <v>4371.5474240000003</v>
          </cell>
          <cell r="H1477">
            <v>4377.7143210000004</v>
          </cell>
          <cell r="I1477">
            <v>4387.097976</v>
          </cell>
          <cell r="J1477">
            <v>4400.0579729999999</v>
          </cell>
          <cell r="K1477">
            <v>4416.372308</v>
          </cell>
          <cell r="L1477">
            <v>4434.1015550000002</v>
          </cell>
          <cell r="M1477">
            <v>4452.838436</v>
          </cell>
          <cell r="N1477">
            <v>4472.3342259999999</v>
          </cell>
          <cell r="O1477">
            <v>4492.4070590000001</v>
          </cell>
          <cell r="P1477">
            <v>4515.361774</v>
          </cell>
          <cell r="Q1477">
            <v>4538.4201700000003</v>
          </cell>
          <cell r="R1477">
            <v>4561.2697230000003</v>
          </cell>
          <cell r="S1477">
            <v>4583.8285839999999</v>
          </cell>
          <cell r="T1477">
            <v>4606.0978029999997</v>
          </cell>
          <cell r="U1477">
            <v>4628.1141669999997</v>
          </cell>
          <cell r="V1477">
            <v>4649.9314109999996</v>
          </cell>
          <cell r="W1477">
            <v>4671.6105250000001</v>
          </cell>
          <cell r="X1477">
            <v>4693.2133860000004</v>
          </cell>
          <cell r="Y1477">
            <v>4714.7981060000002</v>
          </cell>
          <cell r="Z1477">
            <v>4734.7919920000004</v>
          </cell>
          <cell r="AA1477">
            <v>4754.9928719999998</v>
          </cell>
          <cell r="AB1477">
            <v>4775.5807130000003</v>
          </cell>
          <cell r="AC1477">
            <v>4796.5866809999998</v>
          </cell>
          <cell r="AD1477">
            <v>4817.9891070000003</v>
          </cell>
          <cell r="AE1477">
            <v>4835.31149</v>
          </cell>
          <cell r="AF1477">
            <v>4851.1993949999996</v>
          </cell>
          <cell r="AG1477">
            <v>4866.1657990000003</v>
          </cell>
          <cell r="AH1477">
            <v>4880.5376409999999</v>
          </cell>
          <cell r="AI1477">
            <v>4894.5395420000004</v>
          </cell>
          <cell r="AJ1477">
            <v>4908.3212670000003</v>
          </cell>
          <cell r="AK1477">
            <v>4921.9726780000001</v>
          </cell>
          <cell r="AL1477">
            <v>4935.5357789999998</v>
          </cell>
          <cell r="AM1477">
            <v>4949.016001</v>
          </cell>
          <cell r="AN1477">
            <v>4962.3928159999996</v>
          </cell>
          <cell r="AO1477">
            <v>4975.629269</v>
          </cell>
          <cell r="AP1477">
            <v>4987.7316879999998</v>
          </cell>
          <cell r="AQ1477">
            <v>4998.7244849999997</v>
          </cell>
          <cell r="AR1477">
            <v>5008.7239149999996</v>
          </cell>
          <cell r="AS1477">
            <v>5017.8594860000003</v>
          </cell>
          <cell r="AT1477">
            <v>5026.2494139999999</v>
          </cell>
          <cell r="AU1477">
            <v>5033.9929750000001</v>
          </cell>
          <cell r="AV1477">
            <v>5041.1692460000004</v>
          </cell>
          <cell r="AW1477">
            <v>5047.838667</v>
          </cell>
          <cell r="AX1477">
            <v>5054.0460030000004</v>
          </cell>
          <cell r="AY1477">
            <v>5059.8239819999999</v>
          </cell>
          <cell r="AZ1477">
            <v>5065.2740039999999</v>
          </cell>
          <cell r="BA1477">
            <v>5070.4102800000001</v>
          </cell>
          <cell r="BB1477">
            <v>5075.2376009999998</v>
          </cell>
          <cell r="BC1477">
            <v>5079.7579009999999</v>
          </cell>
          <cell r="BD1477">
            <v>5083.9747909999996</v>
          </cell>
          <cell r="BE1477">
            <v>5222.4697040000001</v>
          </cell>
          <cell r="BF1477">
            <v>5232.6580800000002</v>
          </cell>
          <cell r="BG1477">
            <v>5242.3468860000003</v>
          </cell>
          <cell r="BH1477">
            <v>5251.5300660000003</v>
          </cell>
          <cell r="BI1477">
            <v>5260.2061640000002</v>
          </cell>
        </row>
        <row r="1489">
          <cell r="F1489">
            <v>868.26537050000002</v>
          </cell>
          <cell r="G1489">
            <v>868.48347030000002</v>
          </cell>
          <cell r="H1489">
            <v>868.50546039999995</v>
          </cell>
          <cell r="I1489">
            <v>868.81863199999998</v>
          </cell>
          <cell r="J1489">
            <v>869.64341119999995</v>
          </cell>
          <cell r="K1489">
            <v>871.02130090000003</v>
          </cell>
          <cell r="L1489">
            <v>872.59028590000003</v>
          </cell>
          <cell r="M1489">
            <v>874.31068909999999</v>
          </cell>
          <cell r="N1489">
            <v>876.14799900000003</v>
          </cell>
          <cell r="O1489">
            <v>878.0646342</v>
          </cell>
          <cell r="P1489">
            <v>880.53449720000003</v>
          </cell>
          <cell r="Q1489">
            <v>882.92085110000005</v>
          </cell>
          <cell r="R1489">
            <v>885.17503480000005</v>
          </cell>
          <cell r="S1489">
            <v>887.29482080000002</v>
          </cell>
          <cell r="T1489">
            <v>889.28897140000004</v>
          </cell>
          <cell r="U1489">
            <v>891.17038060000004</v>
          </cell>
          <cell r="V1489">
            <v>892.9543741</v>
          </cell>
          <cell r="W1489">
            <v>894.65764190000004</v>
          </cell>
          <cell r="X1489">
            <v>896.29719309999996</v>
          </cell>
          <cell r="Y1489">
            <v>897.88943470000004</v>
          </cell>
          <cell r="Z1489">
            <v>899.11346809999998</v>
          </cell>
          <cell r="AA1489">
            <v>900.38128570000003</v>
          </cell>
          <cell r="AB1489">
            <v>901.71975150000003</v>
          </cell>
          <cell r="AC1489">
            <v>903.12793250000004</v>
          </cell>
          <cell r="AD1489">
            <v>904.60016949999999</v>
          </cell>
          <cell r="AE1489">
            <v>905.21651780000002</v>
          </cell>
          <cell r="AF1489">
            <v>905.6259</v>
          </cell>
          <cell r="AG1489">
            <v>905.94349139999997</v>
          </cell>
          <cell r="AH1489">
            <v>906.23398910000003</v>
          </cell>
          <cell r="AI1489">
            <v>906.54089180000005</v>
          </cell>
          <cell r="AJ1489">
            <v>906.89355450000005</v>
          </cell>
          <cell r="AK1489">
            <v>907.30994120000003</v>
          </cell>
          <cell r="AL1489">
            <v>907.79879259999996</v>
          </cell>
          <cell r="AM1489">
            <v>908.36181020000004</v>
          </cell>
          <cell r="AN1489">
            <v>908.9957713</v>
          </cell>
          <cell r="AO1489">
            <v>909.69439709999995</v>
          </cell>
          <cell r="AP1489">
            <v>910.25577280000005</v>
          </cell>
          <cell r="AQ1489">
            <v>910.70801930000005</v>
          </cell>
          <cell r="AR1489">
            <v>911.08818220000001</v>
          </cell>
          <cell r="AS1489">
            <v>911.42770429999996</v>
          </cell>
          <cell r="AT1489">
            <v>911.75090869999997</v>
          </cell>
          <cell r="AU1489">
            <v>912.07565590000002</v>
          </cell>
          <cell r="AV1489">
            <v>912.41423980000002</v>
          </cell>
          <cell r="AW1489">
            <v>912.77429229999996</v>
          </cell>
          <cell r="AX1489">
            <v>913.15970230000005</v>
          </cell>
          <cell r="AY1489">
            <v>913.57154119999996</v>
          </cell>
          <cell r="AZ1489">
            <v>914.02462720000005</v>
          </cell>
          <cell r="BA1489">
            <v>914.51409779999994</v>
          </cell>
          <cell r="BB1489">
            <v>915.03384300000005</v>
          </cell>
          <cell r="BC1489">
            <v>915.57776909999995</v>
          </cell>
          <cell r="BD1489">
            <v>916.14035479999995</v>
          </cell>
          <cell r="BE1489">
            <v>906.06296829999997</v>
          </cell>
          <cell r="BF1489">
            <v>906.10522619999995</v>
          </cell>
          <cell r="BG1489">
            <v>906.16741290000004</v>
          </cell>
          <cell r="BH1489">
            <v>906.24966629999994</v>
          </cell>
          <cell r="BI1489">
            <v>906.35235750000004</v>
          </cell>
        </row>
        <row r="1494">
          <cell r="F1494">
            <v>21270.980510000001</v>
          </cell>
          <cell r="G1494">
            <v>21297.637299999999</v>
          </cell>
          <cell r="H1494">
            <v>21331.772209999999</v>
          </cell>
          <cell r="I1494">
            <v>21379.30891</v>
          </cell>
          <cell r="J1494">
            <v>21441.942230000001</v>
          </cell>
          <cell r="K1494">
            <v>21518.764050000002</v>
          </cell>
          <cell r="L1494">
            <v>21598.988659999999</v>
          </cell>
          <cell r="M1494">
            <v>21681.864089999999</v>
          </cell>
          <cell r="N1494">
            <v>21766.871660000001</v>
          </cell>
          <cell r="O1494">
            <v>21853.455000000002</v>
          </cell>
          <cell r="P1494">
            <v>21955.455330000001</v>
          </cell>
          <cell r="Q1494">
            <v>22055.009829999999</v>
          </cell>
          <cell r="R1494">
            <v>22151.369979999999</v>
          </cell>
          <cell r="S1494">
            <v>22244.611550000001</v>
          </cell>
          <cell r="T1494">
            <v>22334.976930000001</v>
          </cell>
          <cell r="U1494">
            <v>22422.757699999998</v>
          </cell>
          <cell r="V1494">
            <v>22508.272639999999</v>
          </cell>
          <cell r="W1494">
            <v>22591.853940000001</v>
          </cell>
          <cell r="X1494">
            <v>22673.83078</v>
          </cell>
          <cell r="Y1494">
            <v>22754.514179999998</v>
          </cell>
          <cell r="Z1494">
            <v>22824.64068</v>
          </cell>
          <cell r="AA1494">
            <v>22895.915850000001</v>
          </cell>
          <cell r="AB1494">
            <v>22968.731899999999</v>
          </cell>
          <cell r="AC1494">
            <v>23042.959500000001</v>
          </cell>
          <cell r="AD1494">
            <v>23118.387620000001</v>
          </cell>
          <cell r="AE1494">
            <v>23168.77649</v>
          </cell>
          <cell r="AF1494">
            <v>23212.9568</v>
          </cell>
          <cell r="AG1494">
            <v>23253.684639999999</v>
          </cell>
          <cell r="AH1494">
            <v>23292.648980000002</v>
          </cell>
          <cell r="AI1494">
            <v>23331.03357</v>
          </cell>
          <cell r="AJ1494">
            <v>23369.661499999998</v>
          </cell>
          <cell r="AK1494">
            <v>23409.060010000001</v>
          </cell>
          <cell r="AL1494">
            <v>23449.516660000001</v>
          </cell>
          <cell r="AM1494">
            <v>23491.136740000002</v>
          </cell>
          <cell r="AN1494">
            <v>23533.898420000001</v>
          </cell>
          <cell r="AO1494">
            <v>23577.700819999998</v>
          </cell>
          <cell r="AP1494">
            <v>23616.858929999999</v>
          </cell>
          <cell r="AQ1494">
            <v>23652.334350000001</v>
          </cell>
          <cell r="AR1494">
            <v>23685.196609999999</v>
          </cell>
          <cell r="AS1494">
            <v>23716.34978</v>
          </cell>
          <cell r="AT1494">
            <v>23746.50649</v>
          </cell>
          <cell r="AU1494">
            <v>23776.204300000001</v>
          </cell>
          <cell r="AV1494">
            <v>23805.827870000001</v>
          </cell>
          <cell r="AW1494">
            <v>23835.632420000002</v>
          </cell>
          <cell r="AX1494">
            <v>23865.76858</v>
          </cell>
          <cell r="AY1494">
            <v>23896.307809999998</v>
          </cell>
          <cell r="AZ1494">
            <v>23927.715800000002</v>
          </cell>
          <cell r="BA1494">
            <v>23959.89143</v>
          </cell>
          <cell r="BB1494">
            <v>23992.706450000001</v>
          </cell>
          <cell r="BC1494">
            <v>24026.022389999998</v>
          </cell>
          <cell r="BD1494">
            <v>24059.709320000002</v>
          </cell>
          <cell r="BE1494">
            <v>24069.530859999999</v>
          </cell>
          <cell r="BF1494">
            <v>24095.26267</v>
          </cell>
          <cell r="BG1494">
            <v>24120.821110000001</v>
          </cell>
          <cell r="BH1494">
            <v>24146.22565</v>
          </cell>
          <cell r="BI1494">
            <v>24171.505140000001</v>
          </cell>
        </row>
        <row r="1497">
          <cell r="F1497">
            <v>17.994161080000001</v>
          </cell>
          <cell r="G1497">
            <v>17.949905300000001</v>
          </cell>
          <cell r="H1497">
            <v>17.86685567</v>
          </cell>
          <cell r="I1497">
            <v>17.77748777</v>
          </cell>
          <cell r="J1497">
            <v>17.7016581</v>
          </cell>
          <cell r="K1497">
            <v>17.647790860000001</v>
          </cell>
          <cell r="L1497">
            <v>17.61105147</v>
          </cell>
          <cell r="M1497">
            <v>17.589661119999999</v>
          </cell>
          <cell r="N1497">
            <v>17.580510279999999</v>
          </cell>
          <cell r="O1497">
            <v>17.580221269999999</v>
          </cell>
          <cell r="P1497">
            <v>17.595222769999999</v>
          </cell>
          <cell r="Q1497">
            <v>17.611663620000002</v>
          </cell>
          <cell r="R1497">
            <v>17.627821820000001</v>
          </cell>
          <cell r="S1497">
            <v>17.643106620000001</v>
          </cell>
          <cell r="T1497">
            <v>17.657250959999999</v>
          </cell>
          <cell r="U1497">
            <v>17.67014515</v>
          </cell>
          <cell r="V1497">
            <v>17.681783729999999</v>
          </cell>
          <cell r="W1497">
            <v>17.692233040000001</v>
          </cell>
          <cell r="X1497">
            <v>17.70160542</v>
          </cell>
          <cell r="Y1497">
            <v>17.710038780000001</v>
          </cell>
          <cell r="Z1497">
            <v>17.711501370000001</v>
          </cell>
          <cell r="AA1497">
            <v>17.713757000000001</v>
          </cell>
          <cell r="AB1497">
            <v>17.71697571</v>
          </cell>
          <cell r="AC1497">
            <v>17.720931419999999</v>
          </cell>
          <cell r="AD1497">
            <v>17.72543941</v>
          </cell>
          <cell r="AE1497">
            <v>17.71359425</v>
          </cell>
          <cell r="AF1497">
            <v>17.698174210000001</v>
          </cell>
          <cell r="AG1497">
            <v>17.681034010000001</v>
          </cell>
          <cell r="AH1497">
            <v>17.663034719999999</v>
          </cell>
          <cell r="AI1497">
            <v>17.644732139999999</v>
          </cell>
          <cell r="AJ1497">
            <v>17.626527750000001</v>
          </cell>
          <cell r="AK1497">
            <v>17.608709709999999</v>
          </cell>
          <cell r="AL1497">
            <v>17.59147123</v>
          </cell>
          <cell r="AM1497">
            <v>17.574926210000001</v>
          </cell>
          <cell r="AN1497">
            <v>17.559125640000001</v>
          </cell>
          <cell r="AO1497">
            <v>17.544073730000001</v>
          </cell>
          <cell r="AP1497">
            <v>17.526192810000001</v>
          </cell>
          <cell r="AQ1497">
            <v>17.506284440000002</v>
          </cell>
          <cell r="AR1497">
            <v>17.485142750000001</v>
          </cell>
          <cell r="AS1497">
            <v>17.463345929999999</v>
          </cell>
          <cell r="AT1497">
            <v>17.441294989999999</v>
          </cell>
          <cell r="AU1497">
            <v>17.419266369999999</v>
          </cell>
          <cell r="AV1497">
            <v>17.39744833</v>
          </cell>
          <cell r="AW1497">
            <v>17.37596413</v>
          </cell>
          <cell r="AX1497">
            <v>17.354886919999998</v>
          </cell>
          <cell r="AY1497">
            <v>17.334248209999998</v>
          </cell>
          <cell r="AZ1497">
            <v>17.314316460000001</v>
          </cell>
          <cell r="BA1497">
            <v>17.29497237</v>
          </cell>
          <cell r="BB1497">
            <v>17.27606419</v>
          </cell>
          <cell r="BC1497">
            <v>17.257568920000001</v>
          </cell>
          <cell r="BD1497">
            <v>17.23951928</v>
          </cell>
          <cell r="BE1497">
            <v>17.061439549999999</v>
          </cell>
          <cell r="BF1497">
            <v>17.03713956</v>
          </cell>
          <cell r="BG1497">
            <v>17.01324752</v>
          </cell>
          <cell r="BH1497">
            <v>16.989794199999999</v>
          </cell>
          <cell r="BI1497">
            <v>16.96681293</v>
          </cell>
        </row>
        <row r="1499">
          <cell r="F1499">
            <v>6.6863688339999996</v>
          </cell>
          <cell r="G1499">
            <v>6.6636884539999999</v>
          </cell>
          <cell r="H1499">
            <v>6.6230406139999998</v>
          </cell>
          <cell r="I1499">
            <v>6.5796770130000004</v>
          </cell>
          <cell r="J1499">
            <v>6.5429209090000002</v>
          </cell>
          <cell r="K1499">
            <v>6.5163610009999999</v>
          </cell>
          <cell r="L1499">
            <v>6.4981650679999996</v>
          </cell>
          <cell r="M1499">
            <v>6.4871787830000001</v>
          </cell>
          <cell r="N1499">
            <v>6.4817429349999998</v>
          </cell>
          <cell r="O1499">
            <v>6.4802288399999997</v>
          </cell>
          <cell r="P1499">
            <v>6.4844130590000004</v>
          </cell>
          <cell r="Q1499">
            <v>6.4894319090000003</v>
          </cell>
          <cell r="R1499">
            <v>6.4946345970000001</v>
          </cell>
          <cell r="S1499">
            <v>6.4997009419999996</v>
          </cell>
          <cell r="T1499">
            <v>6.5044421229999996</v>
          </cell>
          <cell r="U1499">
            <v>6.5087515710000003</v>
          </cell>
          <cell r="V1499">
            <v>6.5125810770000001</v>
          </cell>
          <cell r="W1499">
            <v>6.5159227260000003</v>
          </cell>
          <cell r="X1499">
            <v>6.5187945870000004</v>
          </cell>
          <cell r="Y1499">
            <v>6.52123001</v>
          </cell>
          <cell r="Z1499">
            <v>6.5212052409999997</v>
          </cell>
          <cell r="AA1499">
            <v>6.5213172029999997</v>
          </cell>
          <cell r="AB1499">
            <v>6.5215674210000003</v>
          </cell>
          <cell r="AC1499">
            <v>6.5218916690000004</v>
          </cell>
          <cell r="AD1499">
            <v>6.5222483120000003</v>
          </cell>
          <cell r="AE1499">
            <v>6.516995605</v>
          </cell>
          <cell r="AF1499">
            <v>6.5104472539999998</v>
          </cell>
          <cell r="AG1499">
            <v>6.5031028339999999</v>
          </cell>
          <cell r="AH1499">
            <v>6.4952354640000003</v>
          </cell>
          <cell r="AI1499">
            <v>6.4870515040000001</v>
          </cell>
          <cell r="AJ1499">
            <v>6.4787162929999997</v>
          </cell>
          <cell r="AK1499">
            <v>6.4703575730000003</v>
          </cell>
          <cell r="AL1499">
            <v>6.4620677530000004</v>
          </cell>
          <cell r="AM1499">
            <v>6.4539081539999996</v>
          </cell>
          <cell r="AN1499">
            <v>6.4459147220000004</v>
          </cell>
          <cell r="AO1499">
            <v>6.4381041659999996</v>
          </cell>
          <cell r="AP1499">
            <v>6.42928839</v>
          </cell>
          <cell r="AQ1499">
            <v>6.4197541979999997</v>
          </cell>
          <cell r="AR1499">
            <v>6.4097546769999996</v>
          </cell>
          <cell r="AS1499">
            <v>6.3994752999999998</v>
          </cell>
          <cell r="AT1499">
            <v>6.3890510149999997</v>
          </cell>
          <cell r="AU1499">
            <v>6.3785813539999996</v>
          </cell>
          <cell r="AV1499">
            <v>6.3681394969999996</v>
          </cell>
          <cell r="AW1499">
            <v>6.3577777370000002</v>
          </cell>
          <cell r="AX1499">
            <v>6.3475313499999997</v>
          </cell>
          <cell r="AY1499">
            <v>6.3374218459999998</v>
          </cell>
          <cell r="AZ1499">
            <v>6.3275552030000002</v>
          </cell>
          <cell r="BA1499">
            <v>6.3179103220000004</v>
          </cell>
          <cell r="BB1499">
            <v>6.3084635349999996</v>
          </cell>
          <cell r="BC1499">
            <v>6.2991946219999999</v>
          </cell>
          <cell r="BD1499">
            <v>6.2900861490000004</v>
          </cell>
          <cell r="BE1499">
            <v>6.2314564189999997</v>
          </cell>
          <cell r="BF1499">
            <v>6.21968941</v>
          </cell>
          <cell r="BG1499">
            <v>6.2080740509999996</v>
          </cell>
          <cell r="BH1499">
            <v>6.1966238159999998</v>
          </cell>
          <cell r="BI1499">
            <v>6.1853541830000003</v>
          </cell>
        </row>
        <row r="1501">
          <cell r="F1501">
            <v>0.72011375379999998</v>
          </cell>
          <cell r="G1501">
            <v>0.71952820179999999</v>
          </cell>
          <cell r="H1501">
            <v>0.71808296900000002</v>
          </cell>
          <cell r="I1501">
            <v>0.71643770819999997</v>
          </cell>
          <cell r="J1501">
            <v>0.71500132679999995</v>
          </cell>
          <cell r="K1501">
            <v>0.71402231220000001</v>
          </cell>
          <cell r="L1501">
            <v>0.71332271599999997</v>
          </cell>
          <cell r="M1501">
            <v>0.71293185660000002</v>
          </cell>
          <cell r="N1501">
            <v>0.71283224680000001</v>
          </cell>
          <cell r="O1501">
            <v>0.712967342</v>
          </cell>
          <cell r="P1501">
            <v>0.71371919149999996</v>
          </cell>
          <cell r="Q1501">
            <v>0.71448810350000003</v>
          </cell>
          <cell r="R1501">
            <v>0.71518993630000005</v>
          </cell>
          <cell r="S1501">
            <v>0.71581337810000001</v>
          </cell>
          <cell r="T1501">
            <v>0.71636218470000002</v>
          </cell>
          <cell r="U1501">
            <v>0.71684346460000004</v>
          </cell>
          <cell r="V1501">
            <v>0.71726539970000003</v>
          </cell>
          <cell r="W1501">
            <v>0.71763680200000002</v>
          </cell>
          <cell r="X1501">
            <v>0.7179669125</v>
          </cell>
          <cell r="Y1501">
            <v>0.71826516230000004</v>
          </cell>
          <cell r="Z1501">
            <v>0.71824735279999996</v>
          </cell>
          <cell r="AA1501">
            <v>0.71827279590000004</v>
          </cell>
          <cell r="AB1501">
            <v>0.71837072479999997</v>
          </cell>
          <cell r="AC1501">
            <v>0.71853226810000004</v>
          </cell>
          <cell r="AD1501">
            <v>0.71874629540000001</v>
          </cell>
          <cell r="AE1501">
            <v>0.71821127640000004</v>
          </cell>
          <cell r="AF1501">
            <v>0.71749857279999996</v>
          </cell>
          <cell r="AG1501">
            <v>0.71673278269999996</v>
          </cell>
          <cell r="AH1501">
            <v>0.71596546719999998</v>
          </cell>
          <cell r="AI1501">
            <v>0.71522345529999998</v>
          </cell>
          <cell r="AJ1501">
            <v>0.71452253919999997</v>
          </cell>
          <cell r="AK1501">
            <v>0.7138721898</v>
          </cell>
          <cell r="AL1501">
            <v>0.71327755010000005</v>
          </cell>
          <cell r="AM1501">
            <v>0.71274055339999998</v>
          </cell>
          <cell r="AN1501">
            <v>0.71226072969999998</v>
          </cell>
          <cell r="AO1501">
            <v>0.71183587299999995</v>
          </cell>
          <cell r="AP1501">
            <v>0.71129642400000004</v>
          </cell>
          <cell r="AQ1501">
            <v>0.71067126540000003</v>
          </cell>
          <cell r="AR1501">
            <v>0.70999985619999995</v>
          </cell>
          <cell r="AS1501">
            <v>0.70931208550000002</v>
          </cell>
          <cell r="AT1501">
            <v>0.70862796299999997</v>
          </cell>
          <cell r="AU1501">
            <v>0.7079601566</v>
          </cell>
          <cell r="AV1501">
            <v>0.7073162502</v>
          </cell>
          <cell r="AW1501">
            <v>0.70670034370000001</v>
          </cell>
          <cell r="AX1501">
            <v>0.70611408369999995</v>
          </cell>
          <cell r="AY1501">
            <v>0.70555718359999997</v>
          </cell>
          <cell r="AZ1501">
            <v>0.70504022320000004</v>
          </cell>
          <cell r="BA1501">
            <v>0.70455032490000002</v>
          </cell>
          <cell r="BB1501">
            <v>0.70406853879999998</v>
          </cell>
          <cell r="BC1501">
            <v>0.70359757020000002</v>
          </cell>
          <cell r="BD1501">
            <v>0.70314928789999998</v>
          </cell>
          <cell r="BE1501">
            <v>0.69139399580000005</v>
          </cell>
          <cell r="BF1501">
            <v>0.6906937943</v>
          </cell>
          <cell r="BG1501">
            <v>0.69001173999999998</v>
          </cell>
          <cell r="BH1501">
            <v>0.68934913139999998</v>
          </cell>
          <cell r="BI1501">
            <v>0.68870704589999998</v>
          </cell>
        </row>
        <row r="1502">
          <cell r="F1502">
            <v>86.953612710000002</v>
          </cell>
          <cell r="G1502">
            <v>86.760530610000004</v>
          </cell>
          <cell r="H1502">
            <v>86.366415590000003</v>
          </cell>
          <cell r="I1502">
            <v>85.888597630000007</v>
          </cell>
          <cell r="J1502">
            <v>85.407461479999995</v>
          </cell>
          <cell r="K1502">
            <v>84.970071590000003</v>
          </cell>
          <cell r="L1502">
            <v>84.571033600000007</v>
          </cell>
          <cell r="M1502">
            <v>84.214655570000005</v>
          </cell>
          <cell r="N1502">
            <v>83.897710950000004</v>
          </cell>
          <cell r="O1502">
            <v>83.611805230000002</v>
          </cell>
          <cell r="P1502">
            <v>83.390268840000005</v>
          </cell>
          <cell r="Q1502">
            <v>83.176826809999994</v>
          </cell>
          <cell r="R1502">
            <v>82.958994450000006</v>
          </cell>
          <cell r="S1502">
            <v>82.734078580000002</v>
          </cell>
          <cell r="T1502">
            <v>82.502258870000006</v>
          </cell>
          <cell r="U1502">
            <v>82.264650720000006</v>
          </cell>
          <cell r="V1502">
            <v>82.022713710000005</v>
          </cell>
          <cell r="W1502">
            <v>81.77804347</v>
          </cell>
          <cell r="X1502">
            <v>81.532275229999996</v>
          </cell>
          <cell r="Y1502">
            <v>81.28702002</v>
          </cell>
          <cell r="Z1502">
            <v>81.016300479999998</v>
          </cell>
          <cell r="AA1502">
            <v>80.752447410000002</v>
          </cell>
          <cell r="AB1502">
            <v>80.50071629</v>
          </cell>
          <cell r="AC1502">
            <v>80.261308900000003</v>
          </cell>
          <cell r="AD1502">
            <v>80.033515820000005</v>
          </cell>
          <cell r="AE1502">
            <v>79.742775559999998</v>
          </cell>
          <cell r="AF1502">
            <v>79.436979519999994</v>
          </cell>
          <cell r="AG1502">
            <v>79.130657769999999</v>
          </cell>
          <cell r="AH1502">
            <v>78.830343859999999</v>
          </cell>
          <cell r="AI1502">
            <v>78.539496970000002</v>
          </cell>
          <cell r="AJ1502">
            <v>78.26005327</v>
          </cell>
          <cell r="AK1502">
            <v>77.993015080000006</v>
          </cell>
          <cell r="AL1502">
            <v>77.738735899999995</v>
          </cell>
          <cell r="AM1502">
            <v>77.497098350000002</v>
          </cell>
          <cell r="AN1502">
            <v>77.267649379999995</v>
          </cell>
          <cell r="AO1502">
            <v>77.049712869999993</v>
          </cell>
          <cell r="AP1502">
            <v>76.827196749999999</v>
          </cell>
          <cell r="AQ1502">
            <v>76.601173450000005</v>
          </cell>
          <cell r="AR1502">
            <v>76.374873410000006</v>
          </cell>
          <cell r="AS1502">
            <v>76.151072209999995</v>
          </cell>
          <cell r="AT1502">
            <v>75.93172835</v>
          </cell>
          <cell r="AU1502">
            <v>75.718101340000004</v>
          </cell>
          <cell r="AV1502">
            <v>75.510929469999994</v>
          </cell>
          <cell r="AW1502">
            <v>75.310584109999994</v>
          </cell>
          <cell r="AX1502">
            <v>75.117170669999993</v>
          </cell>
          <cell r="AY1502">
            <v>74.93056224</v>
          </cell>
          <cell r="AZ1502">
            <v>74.751421870000001</v>
          </cell>
          <cell r="BA1502">
            <v>74.577560079999998</v>
          </cell>
          <cell r="BB1502">
            <v>74.40690549</v>
          </cell>
          <cell r="BC1502">
            <v>74.239388219999995</v>
          </cell>
          <cell r="BD1502">
            <v>74.075950270000007</v>
          </cell>
          <cell r="BE1502">
            <v>71.369933189999998</v>
          </cell>
          <cell r="BF1502">
            <v>71.162944929999995</v>
          </cell>
          <cell r="BG1502">
            <v>70.960819119999996</v>
          </cell>
          <cell r="BH1502">
            <v>70.76353349</v>
          </cell>
          <cell r="BI1502">
            <v>70.57103103</v>
          </cell>
        </row>
        <row r="1512">
          <cell r="F1512">
            <v>1941126.118</v>
          </cell>
          <cell r="G1512">
            <v>1958839.399</v>
          </cell>
          <cell r="H1512">
            <v>1979507.642</v>
          </cell>
          <cell r="I1512">
            <v>2002600.9110000001</v>
          </cell>
          <cell r="J1512">
            <v>2027866.148</v>
          </cell>
          <cell r="K1512">
            <v>2054975.4920000001</v>
          </cell>
          <cell r="L1512">
            <v>2082172.71</v>
          </cell>
          <cell r="M1512">
            <v>2110328.5819999999</v>
          </cell>
          <cell r="N1512">
            <v>2139313.2710000002</v>
          </cell>
          <cell r="O1512">
            <v>2169023.3870000001</v>
          </cell>
          <cell r="P1512">
            <v>2199585.4049999998</v>
          </cell>
          <cell r="Q1512">
            <v>2232190.5630000001</v>
          </cell>
          <cell r="R1512">
            <v>2265409.139</v>
          </cell>
          <cell r="S1512">
            <v>2299221.94</v>
          </cell>
          <cell r="T1512">
            <v>2333568.5819999999</v>
          </cell>
          <cell r="U1512">
            <v>2368400.6209999998</v>
          </cell>
          <cell r="V1512">
            <v>2403562.2540000002</v>
          </cell>
          <cell r="W1512">
            <v>2439126.094</v>
          </cell>
          <cell r="X1512">
            <v>2475081.3280000002</v>
          </cell>
          <cell r="Y1512">
            <v>2511426.46</v>
          </cell>
          <cell r="Z1512">
            <v>2546341.7119999998</v>
          </cell>
          <cell r="AA1512">
            <v>2583034.5060000001</v>
          </cell>
          <cell r="AB1512">
            <v>2620227.4130000002</v>
          </cell>
          <cell r="AC1512">
            <v>2657938.8709999998</v>
          </cell>
          <cell r="AD1512">
            <v>2696176.2850000001</v>
          </cell>
          <cell r="AE1512">
            <v>2729697.7</v>
          </cell>
          <cell r="AF1512">
            <v>2765272.4270000001</v>
          </cell>
          <cell r="AG1512">
            <v>2800997.375</v>
          </cell>
          <cell r="AH1512">
            <v>2836996.05</v>
          </cell>
          <cell r="AI1512">
            <v>2873359.1349999998</v>
          </cell>
          <cell r="AJ1512">
            <v>2910156.0720000002</v>
          </cell>
          <cell r="AK1512">
            <v>2947473.2820000001</v>
          </cell>
          <cell r="AL1512">
            <v>2985315.51</v>
          </cell>
          <cell r="AM1512">
            <v>3023700.7519999999</v>
          </cell>
          <cell r="AN1512">
            <v>3062636.4589999998</v>
          </cell>
          <cell r="AO1512">
            <v>3102123.8480000002</v>
          </cell>
          <cell r="AP1512">
            <v>3141247.949</v>
          </cell>
          <cell r="AQ1512">
            <v>3180667.8670000001</v>
          </cell>
          <cell r="AR1512">
            <v>3220424.0490000001</v>
          </cell>
          <cell r="AS1512">
            <v>3260554.37</v>
          </cell>
          <cell r="AT1512">
            <v>3301094.7</v>
          </cell>
          <cell r="AU1512">
            <v>3342136.4</v>
          </cell>
          <cell r="AV1512">
            <v>3383660.9139999999</v>
          </cell>
          <cell r="AW1512">
            <v>3425686.156</v>
          </cell>
          <cell r="AX1512">
            <v>3468222.6120000002</v>
          </cell>
          <cell r="AY1512">
            <v>3511276.0559999999</v>
          </cell>
          <cell r="AZ1512">
            <v>3555174.6209999998</v>
          </cell>
          <cell r="BA1512">
            <v>3599673.213</v>
          </cell>
          <cell r="BB1512">
            <v>3644759.1430000002</v>
          </cell>
          <cell r="BC1512">
            <v>3690416.3810000001</v>
          </cell>
          <cell r="BD1512">
            <v>3736632.8330000001</v>
          </cell>
          <cell r="BE1512">
            <v>4435341.7680000002</v>
          </cell>
          <cell r="BF1512">
            <v>4509946.5190000003</v>
          </cell>
          <cell r="BG1512">
            <v>4585737.1710000001</v>
          </cell>
          <cell r="BH1512">
            <v>4662731.2929999996</v>
          </cell>
          <cell r="BI1512">
            <v>4740947.9249999998</v>
          </cell>
        </row>
        <row r="1513">
          <cell r="F1513">
            <v>35200.713430000003</v>
          </cell>
          <cell r="G1513">
            <v>35171.026180000001</v>
          </cell>
          <cell r="H1513">
            <v>35228.440340000001</v>
          </cell>
          <cell r="I1513">
            <v>35359.729760000002</v>
          </cell>
          <cell r="J1513">
            <v>35556.147669999998</v>
          </cell>
          <cell r="K1513">
            <v>35806.128879999997</v>
          </cell>
          <cell r="L1513">
            <v>36073.522040000003</v>
          </cell>
          <cell r="M1513">
            <v>36366.779470000001</v>
          </cell>
          <cell r="N1513">
            <v>36679.30932</v>
          </cell>
          <cell r="O1513">
            <v>37005.833809999996</v>
          </cell>
          <cell r="P1513">
            <v>37330.639380000001</v>
          </cell>
          <cell r="Q1513">
            <v>37711.748379999997</v>
          </cell>
          <cell r="R1513">
            <v>38096.737390000002</v>
          </cell>
          <cell r="S1513">
            <v>38488.120410000003</v>
          </cell>
          <cell r="T1513">
            <v>38884.825779999999</v>
          </cell>
          <cell r="U1513">
            <v>39285.46488</v>
          </cell>
          <cell r="V1513">
            <v>39679.754419999997</v>
          </cell>
          <cell r="W1513">
            <v>40074.132899999997</v>
          </cell>
          <cell r="X1513">
            <v>40468.72582</v>
          </cell>
          <cell r="Y1513">
            <v>40863.402549999999</v>
          </cell>
          <cell r="Z1513">
            <v>41230.362150000001</v>
          </cell>
          <cell r="AA1513">
            <v>41617.26453</v>
          </cell>
          <cell r="AB1513">
            <v>42006.193619999998</v>
          </cell>
          <cell r="AC1513">
            <v>42397.40019</v>
          </cell>
          <cell r="AD1513">
            <v>42790.946179999999</v>
          </cell>
          <cell r="AE1513">
            <v>43108.618179999998</v>
          </cell>
          <cell r="AF1513">
            <v>43452.000639999998</v>
          </cell>
          <cell r="AG1513">
            <v>43792.34721</v>
          </cell>
          <cell r="AH1513">
            <v>44131.768830000001</v>
          </cell>
          <cell r="AI1513">
            <v>44472.04636</v>
          </cell>
          <cell r="AJ1513">
            <v>44814.509169999998</v>
          </cell>
          <cell r="AK1513">
            <v>45162.788189999999</v>
          </cell>
          <cell r="AL1513">
            <v>45515.258199999997</v>
          </cell>
          <cell r="AM1513">
            <v>45871.989379999999</v>
          </cell>
          <cell r="AN1513">
            <v>46233.001109999997</v>
          </cell>
          <cell r="AO1513">
            <v>46598.217259999998</v>
          </cell>
          <cell r="AP1513">
            <v>46975.169260000002</v>
          </cell>
          <cell r="AQ1513">
            <v>47355.453099999999</v>
          </cell>
          <cell r="AR1513">
            <v>47737.806490000003</v>
          </cell>
          <cell r="AS1513">
            <v>48122.426480000002</v>
          </cell>
          <cell r="AT1513">
            <v>48509.738449999997</v>
          </cell>
          <cell r="AU1513">
            <v>48904.530189999998</v>
          </cell>
          <cell r="AV1513">
            <v>49303.624479999999</v>
          </cell>
          <cell r="AW1513">
            <v>49706.900419999998</v>
          </cell>
          <cell r="AX1513">
            <v>50114.355669999997</v>
          </cell>
          <cell r="AY1513">
            <v>50525.944589999999</v>
          </cell>
          <cell r="AZ1513">
            <v>50958.726629999997</v>
          </cell>
          <cell r="BA1513">
            <v>51398.834269999999</v>
          </cell>
          <cell r="BB1513">
            <v>51844.742299999998</v>
          </cell>
          <cell r="BC1513">
            <v>52295.75245</v>
          </cell>
          <cell r="BD1513">
            <v>52751.38495</v>
          </cell>
          <cell r="BE1513">
            <v>73046.369460000002</v>
          </cell>
          <cell r="BF1513">
            <v>74178.173190000001</v>
          </cell>
          <cell r="BG1513">
            <v>75329.311960000006</v>
          </cell>
          <cell r="BH1513">
            <v>76500.127600000007</v>
          </cell>
          <cell r="BI1513">
            <v>77691.000880000007</v>
          </cell>
        </row>
        <row r="1516">
          <cell r="F1516">
            <v>324329.33279999997</v>
          </cell>
          <cell r="G1516">
            <v>328068.1985</v>
          </cell>
          <cell r="H1516">
            <v>331758.3689</v>
          </cell>
          <cell r="I1516">
            <v>335719.58189999999</v>
          </cell>
          <cell r="J1516">
            <v>339961.16869999998</v>
          </cell>
          <cell r="K1516">
            <v>344434.3602</v>
          </cell>
          <cell r="L1516">
            <v>348849.63870000001</v>
          </cell>
          <cell r="M1516">
            <v>353387.09259999997</v>
          </cell>
          <cell r="N1516">
            <v>358021.89539999998</v>
          </cell>
          <cell r="O1516">
            <v>362744.88170000003</v>
          </cell>
          <cell r="P1516">
            <v>367311.91810000001</v>
          </cell>
          <cell r="Q1516">
            <v>372689.83279999997</v>
          </cell>
          <cell r="R1516">
            <v>378082.16619999998</v>
          </cell>
          <cell r="S1516">
            <v>383556.03610000003</v>
          </cell>
          <cell r="T1516">
            <v>389113.64230000001</v>
          </cell>
          <cell r="U1516">
            <v>394753.01750000002</v>
          </cell>
          <cell r="V1516">
            <v>400442.02529999998</v>
          </cell>
          <cell r="W1516">
            <v>406213.022</v>
          </cell>
          <cell r="X1516">
            <v>412065.95990000002</v>
          </cell>
          <cell r="Y1516">
            <v>418004.27549999999</v>
          </cell>
          <cell r="Z1516">
            <v>423732.36040000001</v>
          </cell>
          <cell r="AA1516">
            <v>429800.8665</v>
          </cell>
          <cell r="AB1516">
            <v>435962.04330000002</v>
          </cell>
          <cell r="AC1516">
            <v>442233.83600000001</v>
          </cell>
          <cell r="AD1516">
            <v>448620.19530000002</v>
          </cell>
          <cell r="AE1516">
            <v>454264.60930000001</v>
          </cell>
          <cell r="AF1516">
            <v>460338.69919999997</v>
          </cell>
          <cell r="AG1516">
            <v>466439.49719999998</v>
          </cell>
          <cell r="AH1516">
            <v>472602.04149999999</v>
          </cell>
          <cell r="AI1516">
            <v>478839.41759999999</v>
          </cell>
          <cell r="AJ1516">
            <v>485159.22659999999</v>
          </cell>
          <cell r="AK1516">
            <v>491575.63299999997</v>
          </cell>
          <cell r="AL1516">
            <v>498081.67700000003</v>
          </cell>
          <cell r="AM1516">
            <v>504678.13990000001</v>
          </cell>
          <cell r="AN1516">
            <v>511363.42800000001</v>
          </cell>
          <cell r="AO1516">
            <v>518134.93479999999</v>
          </cell>
          <cell r="AP1516">
            <v>524876.21640000003</v>
          </cell>
          <cell r="AQ1516">
            <v>531662.01740000001</v>
          </cell>
          <cell r="AR1516">
            <v>538492.70750000002</v>
          </cell>
          <cell r="AS1516">
            <v>545369.73750000005</v>
          </cell>
          <cell r="AT1516">
            <v>552294.93130000005</v>
          </cell>
          <cell r="AU1516">
            <v>559285.8003</v>
          </cell>
          <cell r="AV1516">
            <v>566329.45739999996</v>
          </cell>
          <cell r="AW1516">
            <v>573428.18330000003</v>
          </cell>
          <cell r="AX1516">
            <v>580582.28390000004</v>
          </cell>
          <cell r="AY1516">
            <v>587791.56669999997</v>
          </cell>
          <cell r="AZ1516">
            <v>595130.18079999997</v>
          </cell>
          <cell r="BA1516">
            <v>602530.93779999996</v>
          </cell>
          <cell r="BB1516">
            <v>609997.61620000005</v>
          </cell>
          <cell r="BC1516">
            <v>617528.21479999996</v>
          </cell>
          <cell r="BD1516">
            <v>625120.88580000005</v>
          </cell>
          <cell r="BE1516">
            <v>779782.38390000002</v>
          </cell>
          <cell r="BF1516">
            <v>793578.7855</v>
          </cell>
          <cell r="BG1516">
            <v>807567.57739999995</v>
          </cell>
          <cell r="BH1516">
            <v>821748.6128</v>
          </cell>
          <cell r="BI1516">
            <v>836122.06779999996</v>
          </cell>
        </row>
        <row r="1528">
          <cell r="F1528">
            <v>47549.798320000002</v>
          </cell>
          <cell r="G1528">
            <v>48046.583279999999</v>
          </cell>
          <cell r="H1528">
            <v>48527.521359999999</v>
          </cell>
          <cell r="I1528">
            <v>49050.879119999998</v>
          </cell>
          <cell r="J1528">
            <v>49623.458409999999</v>
          </cell>
          <cell r="K1528">
            <v>50239.566250000003</v>
          </cell>
          <cell r="L1528">
            <v>50855.095079999999</v>
          </cell>
          <cell r="M1528">
            <v>51494.891280000003</v>
          </cell>
          <cell r="N1528">
            <v>52153.176890000002</v>
          </cell>
          <cell r="O1528">
            <v>52826.279929999997</v>
          </cell>
          <cell r="P1528">
            <v>53485.803769999999</v>
          </cell>
          <cell r="Q1528">
            <v>54245.818319999998</v>
          </cell>
          <cell r="R1528">
            <v>55007.144050000003</v>
          </cell>
          <cell r="S1528">
            <v>55777.041140000001</v>
          </cell>
          <cell r="T1528">
            <v>56554.833630000001</v>
          </cell>
          <cell r="U1528">
            <v>57339.353190000002</v>
          </cell>
          <cell r="V1528">
            <v>58125.420989999999</v>
          </cell>
          <cell r="W1528">
            <v>58916.677609999999</v>
          </cell>
          <cell r="X1528">
            <v>59712.636480000001</v>
          </cell>
          <cell r="Y1528">
            <v>60513.430200000003</v>
          </cell>
          <cell r="Z1528">
            <v>61274.219689999998</v>
          </cell>
          <cell r="AA1528">
            <v>62078.533560000003</v>
          </cell>
          <cell r="AB1528">
            <v>62889.344040000004</v>
          </cell>
          <cell r="AC1528">
            <v>63709.100570000002</v>
          </cell>
          <cell r="AD1528">
            <v>64538.59201</v>
          </cell>
          <cell r="AE1528">
            <v>65248.651059999997</v>
          </cell>
          <cell r="AF1528">
            <v>66017.949989999994</v>
          </cell>
          <cell r="AG1528">
            <v>66787.690520000004</v>
          </cell>
          <cell r="AH1528">
            <v>67563.391770000002</v>
          </cell>
          <cell r="AI1528">
            <v>68347.823390000005</v>
          </cell>
          <cell r="AJ1528">
            <v>69142.906499999997</v>
          </cell>
          <cell r="AK1528">
            <v>69951.285610000006</v>
          </cell>
          <cell r="AL1528">
            <v>70772.627139999997</v>
          </cell>
          <cell r="AM1528">
            <v>71607.525070000003</v>
          </cell>
          <cell r="AN1528">
            <v>72456.194699999993</v>
          </cell>
          <cell r="AO1528">
            <v>73318.663449999993</v>
          </cell>
          <cell r="AP1528">
            <v>74176.164409999998</v>
          </cell>
          <cell r="AQ1528">
            <v>75042.24381</v>
          </cell>
          <cell r="AR1528">
            <v>75917.590899999996</v>
          </cell>
          <cell r="AS1528">
            <v>76803.006680000006</v>
          </cell>
          <cell r="AT1528">
            <v>77699.281839999996</v>
          </cell>
          <cell r="AU1528">
            <v>78609.210949999993</v>
          </cell>
          <cell r="AV1528">
            <v>79531.386129999999</v>
          </cell>
          <cell r="AW1528">
            <v>80466.313869999998</v>
          </cell>
          <cell r="AX1528">
            <v>81414.170060000004</v>
          </cell>
          <cell r="AY1528">
            <v>82374.999219999998</v>
          </cell>
          <cell r="AZ1528">
            <v>83359.085229999997</v>
          </cell>
          <cell r="BA1528">
            <v>84357.064899999998</v>
          </cell>
          <cell r="BB1528">
            <v>85369.280889999995</v>
          </cell>
          <cell r="BC1528">
            <v>86395.373540000001</v>
          </cell>
          <cell r="BD1528">
            <v>87434.998130000007</v>
          </cell>
          <cell r="BE1528">
            <v>104246.85159999999</v>
          </cell>
          <cell r="BF1528">
            <v>105947.7721</v>
          </cell>
          <cell r="BG1528">
            <v>107679.07919999999</v>
          </cell>
          <cell r="BH1528">
            <v>109441.3615</v>
          </cell>
          <cell r="BI1528">
            <v>111235.22809999999</v>
          </cell>
        </row>
        <row r="1533">
          <cell r="F1533">
            <v>1496123.1259999999</v>
          </cell>
          <cell r="G1533">
            <v>1509488.064</v>
          </cell>
          <cell r="H1533">
            <v>1525842.0649999999</v>
          </cell>
          <cell r="I1533">
            <v>1544216.061</v>
          </cell>
          <cell r="J1533">
            <v>1564325.2339999999</v>
          </cell>
          <cell r="K1533">
            <v>1585906.423</v>
          </cell>
          <cell r="L1533">
            <v>1607604.3459999999</v>
          </cell>
          <cell r="M1533">
            <v>1630068.1229999999</v>
          </cell>
          <cell r="N1533">
            <v>1653213.196</v>
          </cell>
          <cell r="O1533">
            <v>1676962.618</v>
          </cell>
          <cell r="P1533">
            <v>1701743.7830000001</v>
          </cell>
          <cell r="Q1533">
            <v>1727569.166</v>
          </cell>
          <cell r="R1533">
            <v>1753996.6029999999</v>
          </cell>
          <cell r="S1533">
            <v>1780924.2050000001</v>
          </cell>
          <cell r="T1533">
            <v>1808289.7220000001</v>
          </cell>
          <cell r="U1533">
            <v>1836049.0630000001</v>
          </cell>
          <cell r="V1533">
            <v>1864098.8770000001</v>
          </cell>
          <cell r="W1533">
            <v>1892466.0049999999</v>
          </cell>
          <cell r="X1533">
            <v>1921139.4739999999</v>
          </cell>
          <cell r="Y1533">
            <v>1950113.777</v>
          </cell>
          <cell r="Z1533">
            <v>1977964.2180000001</v>
          </cell>
          <cell r="AA1533">
            <v>2007166.862</v>
          </cell>
          <cell r="AB1533">
            <v>2036765.4010000001</v>
          </cell>
          <cell r="AC1533">
            <v>2066757.5160000001</v>
          </cell>
          <cell r="AD1533">
            <v>2097145.3489999999</v>
          </cell>
          <cell r="AE1533">
            <v>2123827.5109999999</v>
          </cell>
          <cell r="AF1533">
            <v>2152018.1379999998</v>
          </cell>
          <cell r="AG1533">
            <v>2180331.9909999999</v>
          </cell>
          <cell r="AH1533">
            <v>2208848.7620000001</v>
          </cell>
          <cell r="AI1533">
            <v>2237640.264</v>
          </cell>
          <cell r="AJ1533">
            <v>2266764.1349999998</v>
          </cell>
          <cell r="AK1533">
            <v>2296284.4019999998</v>
          </cell>
          <cell r="AL1533">
            <v>2326215.159</v>
          </cell>
          <cell r="AM1533">
            <v>2356572.81</v>
          </cell>
          <cell r="AN1533">
            <v>2387366.165</v>
          </cell>
          <cell r="AO1533">
            <v>2418599.219</v>
          </cell>
          <cell r="AP1533">
            <v>2449491.0410000002</v>
          </cell>
          <cell r="AQ1533">
            <v>2480615.838</v>
          </cell>
          <cell r="AR1533">
            <v>2512014.2889999999</v>
          </cell>
          <cell r="AS1533">
            <v>2543721.9759999998</v>
          </cell>
          <cell r="AT1533">
            <v>2575771.926</v>
          </cell>
          <cell r="AU1533">
            <v>2608228.7220000001</v>
          </cell>
          <cell r="AV1533">
            <v>2641092.8450000002</v>
          </cell>
          <cell r="AW1533">
            <v>2674379.898</v>
          </cell>
          <cell r="AX1533">
            <v>2708100.2289999998</v>
          </cell>
          <cell r="AY1533">
            <v>2742260.148</v>
          </cell>
          <cell r="AZ1533">
            <v>2777078.486</v>
          </cell>
          <cell r="BA1533">
            <v>2812406.7859999998</v>
          </cell>
          <cell r="BB1533">
            <v>2848230.6230000001</v>
          </cell>
          <cell r="BC1533">
            <v>2884537.7659999998</v>
          </cell>
          <cell r="BD1533">
            <v>2921319.426</v>
          </cell>
          <cell r="BE1533">
            <v>3416677.1430000002</v>
          </cell>
          <cell r="BF1533">
            <v>3473898.909</v>
          </cell>
          <cell r="BG1533">
            <v>3532050.4369999999</v>
          </cell>
          <cell r="BH1533">
            <v>3591148.4539999999</v>
          </cell>
          <cell r="BI1533">
            <v>3651210.7570000002</v>
          </cell>
        </row>
        <row r="1537">
          <cell r="F1537">
            <v>-2139.052185</v>
          </cell>
          <cell r="G1537">
            <v>-2104.2601239999999</v>
          </cell>
          <cell r="H1537">
            <v>-2103.9028280000002</v>
          </cell>
          <cell r="I1537">
            <v>-2108.8532070000001</v>
          </cell>
          <cell r="J1537">
            <v>-2117.2875640000002</v>
          </cell>
          <cell r="K1537">
            <v>-2129.9276719999998</v>
          </cell>
          <cell r="L1537">
            <v>-2147.0450559999999</v>
          </cell>
          <cell r="M1537">
            <v>-2165.390519</v>
          </cell>
          <cell r="N1537">
            <v>-2185.4932699999999</v>
          </cell>
          <cell r="O1537">
            <v>-2206.968793</v>
          </cell>
          <cell r="P1537">
            <v>-2229.9909039999998</v>
          </cell>
          <cell r="Q1537">
            <v>-2249.0919610000001</v>
          </cell>
          <cell r="R1537">
            <v>-2274.949756</v>
          </cell>
          <cell r="S1537">
            <v>-2302.0964349999999</v>
          </cell>
          <cell r="T1537">
            <v>-2329.516662</v>
          </cell>
          <cell r="U1537">
            <v>-2357.057413</v>
          </cell>
          <cell r="V1537">
            <v>-2384.7744170000001</v>
          </cell>
          <cell r="W1537">
            <v>-2412.3531849999999</v>
          </cell>
          <cell r="X1537">
            <v>-2440.0062360000002</v>
          </cell>
          <cell r="Y1537">
            <v>-2467.7753590000002</v>
          </cell>
          <cell r="Z1537">
            <v>-2496.2755750000001</v>
          </cell>
          <cell r="AA1537">
            <v>-2522.0037090000001</v>
          </cell>
          <cell r="AB1537">
            <v>-2549.5203150000002</v>
          </cell>
          <cell r="AC1537">
            <v>-2577.6146509999999</v>
          </cell>
          <cell r="AD1537">
            <v>-2606.0231370000001</v>
          </cell>
          <cell r="AE1537">
            <v>-2636.4263150000002</v>
          </cell>
          <cell r="AF1537">
            <v>-2659.5931869999999</v>
          </cell>
          <cell r="AG1537">
            <v>-2684.7356490000002</v>
          </cell>
          <cell r="AH1537">
            <v>-2710.4294920000002</v>
          </cell>
          <cell r="AI1537">
            <v>-2736.4020220000002</v>
          </cell>
          <cell r="AJ1537">
            <v>-2762.6521779999998</v>
          </cell>
          <cell r="AK1537">
            <v>-2789.2065630000002</v>
          </cell>
          <cell r="AL1537">
            <v>-2816.200977</v>
          </cell>
          <cell r="AM1537">
            <v>-2843.6059180000002</v>
          </cell>
          <cell r="AN1537">
            <v>-2871.4300929999999</v>
          </cell>
          <cell r="AO1537">
            <v>-2899.6808649999998</v>
          </cell>
          <cell r="AP1537">
            <v>-2928.5910450000001</v>
          </cell>
          <cell r="AQ1537">
            <v>-2957.082402</v>
          </cell>
          <cell r="AR1537">
            <v>-2985.6605100000002</v>
          </cell>
          <cell r="AS1537">
            <v>-3014.4962249999999</v>
          </cell>
          <cell r="AT1537">
            <v>-3043.6567180000002</v>
          </cell>
          <cell r="AU1537">
            <v>-3073.14912</v>
          </cell>
          <cell r="AV1537">
            <v>-3103.1476010000001</v>
          </cell>
          <cell r="AW1537">
            <v>-3133.5741090000001</v>
          </cell>
          <cell r="AX1537">
            <v>-3164.425921</v>
          </cell>
          <cell r="AY1537">
            <v>-3195.709899</v>
          </cell>
          <cell r="AZ1537">
            <v>-3227.2875979999999</v>
          </cell>
          <cell r="BA1537">
            <v>-3259.8655659999999</v>
          </cell>
          <cell r="BB1537">
            <v>-3293.0039339999998</v>
          </cell>
          <cell r="BC1537">
            <v>-3326.6238490000001</v>
          </cell>
          <cell r="BD1537">
            <v>-3360.7139240000001</v>
          </cell>
          <cell r="BE1537">
            <v>-4070.1845090000002</v>
          </cell>
          <cell r="BF1537">
            <v>-4129.4091010000002</v>
          </cell>
          <cell r="BG1537">
            <v>-4189.5967199999996</v>
          </cell>
          <cell r="BH1537">
            <v>-4250.7691379999997</v>
          </cell>
          <cell r="BI1537">
            <v>-4312.9515389999997</v>
          </cell>
        </row>
        <row r="1538">
          <cell r="F1538">
            <v>-608.62895709999998</v>
          </cell>
          <cell r="G1538">
            <v>-605.94152729999996</v>
          </cell>
          <cell r="H1538">
            <v>-606.00928820000001</v>
          </cell>
          <cell r="I1538">
            <v>-606.81943249999995</v>
          </cell>
          <cell r="J1538">
            <v>-608.79291660000001</v>
          </cell>
          <cell r="K1538">
            <v>-612.06220229999997</v>
          </cell>
          <cell r="L1538">
            <v>-616.33774659999995</v>
          </cell>
          <cell r="M1538">
            <v>-621.24227140000005</v>
          </cell>
          <cell r="N1538">
            <v>-626.70436310000002</v>
          </cell>
          <cell r="O1538">
            <v>-632.58095170000001</v>
          </cell>
          <cell r="P1538">
            <v>-638.57366730000001</v>
          </cell>
          <cell r="Q1538">
            <v>-644.89156579999997</v>
          </cell>
          <cell r="R1538">
            <v>-652.15042570000003</v>
          </cell>
          <cell r="S1538">
            <v>-659.67697999999996</v>
          </cell>
          <cell r="T1538">
            <v>-667.34377930000005</v>
          </cell>
          <cell r="U1538">
            <v>-675.11731520000001</v>
          </cell>
          <cell r="V1538">
            <v>-682.9648353</v>
          </cell>
          <cell r="W1538">
            <v>-690.85906030000001</v>
          </cell>
          <cell r="X1538">
            <v>-698.8114554</v>
          </cell>
          <cell r="Y1538">
            <v>-706.81634989999998</v>
          </cell>
          <cell r="Z1538">
            <v>-714.71889590000001</v>
          </cell>
          <cell r="AA1538">
            <v>-722.5099017</v>
          </cell>
          <cell r="AB1538">
            <v>-730.52860599999997</v>
          </cell>
          <cell r="AC1538">
            <v>-738.63330199999996</v>
          </cell>
          <cell r="AD1538">
            <v>-746.79995870000005</v>
          </cell>
          <cell r="AE1538">
            <v>-754.60005560000002</v>
          </cell>
          <cell r="AF1538">
            <v>-761.8267558</v>
          </cell>
          <cell r="AG1538">
            <v>-769.25205419999998</v>
          </cell>
          <cell r="AH1538">
            <v>-776.71063630000003</v>
          </cell>
          <cell r="AI1538">
            <v>-784.19084759999998</v>
          </cell>
          <cell r="AJ1538">
            <v>-791.70761049999999</v>
          </cell>
          <cell r="AK1538">
            <v>-799.28226510000002</v>
          </cell>
          <cell r="AL1538">
            <v>-806.93287329999998</v>
          </cell>
          <cell r="AM1538">
            <v>-814.66353860000004</v>
          </cell>
          <cell r="AN1538">
            <v>-822.48133889999997</v>
          </cell>
          <cell r="AO1538">
            <v>-830.39193520000003</v>
          </cell>
          <cell r="AP1538">
            <v>-838.34188029999996</v>
          </cell>
          <cell r="AQ1538">
            <v>-846.26728179999998</v>
          </cell>
          <cell r="AR1538">
            <v>-854.23182980000001</v>
          </cell>
          <cell r="AS1538">
            <v>-862.25961789999997</v>
          </cell>
          <cell r="AT1538">
            <v>-870.36437899999999</v>
          </cell>
          <cell r="AU1538">
            <v>-878.56405040000004</v>
          </cell>
          <cell r="AV1538">
            <v>-886.87403640000002</v>
          </cell>
          <cell r="AW1538">
            <v>-895.29105719999995</v>
          </cell>
          <cell r="AX1538">
            <v>-903.81973049999999</v>
          </cell>
          <cell r="AY1538">
            <v>-912.46462110000004</v>
          </cell>
          <cell r="AZ1538">
            <v>-921.26459339999997</v>
          </cell>
          <cell r="BA1538">
            <v>-930.25528750000001</v>
          </cell>
          <cell r="BB1538">
            <v>-939.39001450000001</v>
          </cell>
          <cell r="BC1538">
            <v>-948.66369229999998</v>
          </cell>
          <cell r="BD1538">
            <v>-958.0771373</v>
          </cell>
          <cell r="BE1538">
            <v>-1146.8100690000001</v>
          </cell>
          <cell r="BF1538">
            <v>-1162.752213</v>
          </cell>
          <cell r="BG1538">
            <v>-1178.9435550000001</v>
          </cell>
          <cell r="BH1538">
            <v>-1195.3919310000001</v>
          </cell>
          <cell r="BI1538">
            <v>-1212.105595</v>
          </cell>
        </row>
        <row r="1540">
          <cell r="F1540">
            <v>487.44126080000001</v>
          </cell>
          <cell r="G1540">
            <v>490.4196427</v>
          </cell>
          <cell r="H1540">
            <v>493.65583820000001</v>
          </cell>
          <cell r="I1540">
            <v>497.14846519999998</v>
          </cell>
          <cell r="J1540">
            <v>501.0589397</v>
          </cell>
          <cell r="K1540">
            <v>505.43900409999998</v>
          </cell>
          <cell r="L1540">
            <v>509.92297960000002</v>
          </cell>
          <cell r="M1540">
            <v>514.67568459999995</v>
          </cell>
          <cell r="N1540">
            <v>519.65911159999996</v>
          </cell>
          <cell r="O1540">
            <v>524.79281309999999</v>
          </cell>
          <cell r="P1540">
            <v>529.70778440000004</v>
          </cell>
          <cell r="Q1540">
            <v>535.45712790000005</v>
          </cell>
          <cell r="R1540">
            <v>541.32305329999997</v>
          </cell>
          <cell r="S1540">
            <v>547.26161400000001</v>
          </cell>
          <cell r="T1540">
            <v>553.27191970000001</v>
          </cell>
          <cell r="U1540">
            <v>559.35499189999996</v>
          </cell>
          <cell r="V1540">
            <v>565.48268970000004</v>
          </cell>
          <cell r="W1540">
            <v>571.67028010000001</v>
          </cell>
          <cell r="X1540">
            <v>577.9172595</v>
          </cell>
          <cell r="Y1540">
            <v>584.22259919999999</v>
          </cell>
          <cell r="Z1540">
            <v>590.18472299999996</v>
          </cell>
          <cell r="AA1540">
            <v>596.48375710000005</v>
          </cell>
          <cell r="AB1540">
            <v>602.90010800000005</v>
          </cell>
          <cell r="AC1540">
            <v>609.40725369999996</v>
          </cell>
          <cell r="AD1540">
            <v>616.00163250000003</v>
          </cell>
          <cell r="AE1540">
            <v>621.54106660000002</v>
          </cell>
          <cell r="AF1540">
            <v>627.43141920000005</v>
          </cell>
          <cell r="AG1540">
            <v>633.40034160000005</v>
          </cell>
          <cell r="AH1540">
            <v>639.43506279999997</v>
          </cell>
          <cell r="AI1540">
            <v>645.54543990000002</v>
          </cell>
          <cell r="AJ1540">
            <v>651.74375610000004</v>
          </cell>
          <cell r="AK1540">
            <v>658.04793529999995</v>
          </cell>
          <cell r="AL1540">
            <v>664.4610318</v>
          </cell>
          <cell r="AM1540">
            <v>670.98776799999996</v>
          </cell>
          <cell r="AN1540">
            <v>677.6312418</v>
          </cell>
          <cell r="AO1540">
            <v>684.3935596</v>
          </cell>
          <cell r="AP1540">
            <v>691.07476929999996</v>
          </cell>
          <cell r="AQ1540">
            <v>697.80821100000003</v>
          </cell>
          <cell r="AR1540">
            <v>704.62298380000004</v>
          </cell>
          <cell r="AS1540">
            <v>711.53108659999998</v>
          </cell>
          <cell r="AT1540">
            <v>718.53942129999996</v>
          </cell>
          <cell r="AU1540">
            <v>725.66375670000002</v>
          </cell>
          <cell r="AV1540">
            <v>732.89881270000001</v>
          </cell>
          <cell r="AW1540">
            <v>740.24545000000001</v>
          </cell>
          <cell r="AX1540">
            <v>747.70411120000006</v>
          </cell>
          <cell r="AY1540">
            <v>755.27467249999995</v>
          </cell>
          <cell r="AZ1540">
            <v>763.02040160000001</v>
          </cell>
          <cell r="BA1540">
            <v>770.8956508</v>
          </cell>
          <cell r="BB1540">
            <v>778.89380679999999</v>
          </cell>
          <cell r="BC1540">
            <v>787.01159410000002</v>
          </cell>
          <cell r="BD1540">
            <v>795.246759</v>
          </cell>
          <cell r="BE1540">
            <v>947.16079630000002</v>
          </cell>
          <cell r="BF1540">
            <v>961.08038239999996</v>
          </cell>
          <cell r="BG1540">
            <v>975.23425729999997</v>
          </cell>
          <cell r="BH1540">
            <v>989.62701319999996</v>
          </cell>
          <cell r="BI1540">
            <v>1004.263659</v>
          </cell>
        </row>
        <row r="1541">
          <cell r="F1541">
            <v>39976.882259999998</v>
          </cell>
          <cell r="G1541">
            <v>40077.380270000001</v>
          </cell>
          <cell r="H1541">
            <v>40158.171679999999</v>
          </cell>
          <cell r="I1541">
            <v>40262.362070000003</v>
          </cell>
          <cell r="J1541">
            <v>40412.67164</v>
          </cell>
          <cell r="K1541">
            <v>40611.209410000003</v>
          </cell>
          <cell r="L1541">
            <v>40827.315139999999</v>
          </cell>
          <cell r="M1541">
            <v>41065.384550000002</v>
          </cell>
          <cell r="N1541">
            <v>41317.850350000001</v>
          </cell>
          <cell r="O1541">
            <v>41575.97395</v>
          </cell>
          <cell r="P1541">
            <v>41827.489159999997</v>
          </cell>
          <cell r="Q1541">
            <v>42105.440329999998</v>
          </cell>
          <cell r="R1541">
            <v>42382.697070000002</v>
          </cell>
          <cell r="S1541">
            <v>42658.96718</v>
          </cell>
          <cell r="T1541">
            <v>42934.520570000001</v>
          </cell>
          <cell r="U1541">
            <v>43209.339399999997</v>
          </cell>
          <cell r="V1541">
            <v>43478.635329999997</v>
          </cell>
          <cell r="W1541">
            <v>43745.37803</v>
          </cell>
          <cell r="X1541">
            <v>44010.364459999997</v>
          </cell>
          <cell r="Y1541">
            <v>44274.202599999997</v>
          </cell>
          <cell r="Z1541">
            <v>44511.103929999997</v>
          </cell>
          <cell r="AA1541">
            <v>44766.071920000002</v>
          </cell>
          <cell r="AB1541">
            <v>45025.918469999997</v>
          </cell>
          <cell r="AC1541">
            <v>45289.437989999999</v>
          </cell>
          <cell r="AD1541">
            <v>45556.806819999998</v>
          </cell>
          <cell r="AE1541">
            <v>45754.259310000001</v>
          </cell>
          <cell r="AF1541">
            <v>45973.580809999999</v>
          </cell>
          <cell r="AG1541">
            <v>46197.852140000003</v>
          </cell>
          <cell r="AH1541">
            <v>46426.644719999997</v>
          </cell>
          <cell r="AI1541">
            <v>46660.890749999999</v>
          </cell>
          <cell r="AJ1541">
            <v>46901.5409</v>
          </cell>
          <cell r="AK1541">
            <v>47150.569210000001</v>
          </cell>
          <cell r="AL1541">
            <v>47407.694990000004</v>
          </cell>
          <cell r="AM1541">
            <v>47673.03385</v>
          </cell>
          <cell r="AN1541">
            <v>47946.597229999999</v>
          </cell>
          <cell r="AO1541">
            <v>48228.271639999999</v>
          </cell>
          <cell r="AP1541">
            <v>48512.165580000001</v>
          </cell>
          <cell r="AQ1541">
            <v>48801.951289999997</v>
          </cell>
          <cell r="AR1541">
            <v>49098.129359999999</v>
          </cell>
          <cell r="AS1541">
            <v>49400.722959999999</v>
          </cell>
          <cell r="AT1541">
            <v>49709.605940000001</v>
          </cell>
          <cell r="AU1541">
            <v>50026.465940000002</v>
          </cell>
          <cell r="AV1541">
            <v>50349.935210000003</v>
          </cell>
          <cell r="AW1541">
            <v>50679.57559</v>
          </cell>
          <cell r="AX1541">
            <v>51015.046920000001</v>
          </cell>
          <cell r="AY1541">
            <v>51356.019260000001</v>
          </cell>
          <cell r="AZ1541">
            <v>51710.110500000003</v>
          </cell>
          <cell r="BA1541">
            <v>52071.911310000003</v>
          </cell>
          <cell r="BB1541">
            <v>52440.08526</v>
          </cell>
          <cell r="BC1541">
            <v>52813.81235</v>
          </cell>
          <cell r="BD1541">
            <v>53192.453600000001</v>
          </cell>
          <cell r="BE1541">
            <v>65457.206310000001</v>
          </cell>
          <cell r="BF1541">
            <v>66266.410640000002</v>
          </cell>
          <cell r="BG1541">
            <v>67090.519190000006</v>
          </cell>
          <cell r="BH1541">
            <v>67929.616699999999</v>
          </cell>
          <cell r="BI1541">
            <v>68783.803939999998</v>
          </cell>
        </row>
        <row r="1551">
          <cell r="F1551">
            <v>1969443.8570000001</v>
          </cell>
          <cell r="G1551">
            <v>1994425.953</v>
          </cell>
          <cell r="H1551">
            <v>2022137.4</v>
          </cell>
          <cell r="I1551">
            <v>2051600.6240000001</v>
          </cell>
          <cell r="J1551">
            <v>2082683.2790000001</v>
          </cell>
          <cell r="K1551">
            <v>2115213.7659999998</v>
          </cell>
          <cell r="L1551">
            <v>2147570.3930000002</v>
          </cell>
          <cell r="M1551">
            <v>2180707.344</v>
          </cell>
          <cell r="N1551">
            <v>2214571.2039999999</v>
          </cell>
          <cell r="O1551">
            <v>2249123.054</v>
          </cell>
          <cell r="P1551">
            <v>2286889.034</v>
          </cell>
          <cell r="Q1551">
            <v>2323348.554</v>
          </cell>
          <cell r="R1551">
            <v>2360285.31</v>
          </cell>
          <cell r="S1551">
            <v>2397668.4300000002</v>
          </cell>
          <cell r="T1551">
            <v>2435493.202</v>
          </cell>
          <cell r="U1551">
            <v>2473767.162</v>
          </cell>
          <cell r="V1551">
            <v>2512506.375</v>
          </cell>
          <cell r="W1551">
            <v>2551732.33</v>
          </cell>
          <cell r="X1551">
            <v>2591469.1290000002</v>
          </cell>
          <cell r="Y1551">
            <v>2631741.3620000002</v>
          </cell>
          <cell r="Z1551">
            <v>2670666.4240000001</v>
          </cell>
          <cell r="AA1551">
            <v>2711601.949</v>
          </cell>
          <cell r="AB1551">
            <v>2753225.2340000002</v>
          </cell>
          <cell r="AC1551">
            <v>2795561.6460000002</v>
          </cell>
          <cell r="AD1551">
            <v>2838619.165</v>
          </cell>
          <cell r="AE1551">
            <v>2876883.2220000001</v>
          </cell>
          <cell r="AF1551">
            <v>2917378.7560000001</v>
          </cell>
          <cell r="AG1551">
            <v>2958149.449</v>
          </cell>
          <cell r="AH1551">
            <v>2999322.642</v>
          </cell>
          <cell r="AI1551">
            <v>3040991.0210000002</v>
          </cell>
          <cell r="AJ1551">
            <v>3083223.8769999999</v>
          </cell>
          <cell r="AK1551">
            <v>3126069.2740000002</v>
          </cell>
          <cell r="AL1551">
            <v>3169557.128</v>
          </cell>
          <cell r="AM1551">
            <v>3213703.3280000002</v>
          </cell>
          <cell r="AN1551">
            <v>3258513.9890000001</v>
          </cell>
          <cell r="AO1551">
            <v>3303989.219</v>
          </cell>
          <cell r="AP1551">
            <v>3348785.355</v>
          </cell>
          <cell r="AQ1551">
            <v>3393886.6170000001</v>
          </cell>
          <cell r="AR1551">
            <v>3439346.0929999999</v>
          </cell>
          <cell r="AS1551">
            <v>3485223.463</v>
          </cell>
          <cell r="AT1551">
            <v>3531574.017</v>
          </cell>
          <cell r="AU1551">
            <v>3578445.4419999998</v>
          </cell>
          <cell r="AV1551">
            <v>3625876.5780000002</v>
          </cell>
          <cell r="AW1551">
            <v>3673897.4980000001</v>
          </cell>
          <cell r="AX1551">
            <v>3722530.5559999999</v>
          </cell>
          <cell r="AY1551">
            <v>3771792.0430000001</v>
          </cell>
          <cell r="AZ1551">
            <v>3821815.9789999998</v>
          </cell>
          <cell r="BA1551">
            <v>3872521.5959999999</v>
          </cell>
          <cell r="BB1551">
            <v>3923912.3969999999</v>
          </cell>
          <cell r="BC1551">
            <v>3975989.0070000002</v>
          </cell>
          <cell r="BD1551">
            <v>4028752.8330000001</v>
          </cell>
          <cell r="BE1551">
            <v>4443934.8679999998</v>
          </cell>
          <cell r="BF1551">
            <v>4518812.6409999998</v>
          </cell>
          <cell r="BG1551">
            <v>4594869.43</v>
          </cell>
          <cell r="BH1551">
            <v>4672125.4069999997</v>
          </cell>
          <cell r="BI1551">
            <v>4750601.8959999997</v>
          </cell>
        </row>
        <row r="1552">
          <cell r="F1552">
            <v>36136.789320000003</v>
          </cell>
          <cell r="G1552">
            <v>36370.171040000001</v>
          </cell>
          <cell r="H1552">
            <v>36676.61982</v>
          </cell>
          <cell r="I1552">
            <v>37037.658790000001</v>
          </cell>
          <cell r="J1552">
            <v>37448.082130000003</v>
          </cell>
          <cell r="K1552">
            <v>37903.64273</v>
          </cell>
          <cell r="L1552">
            <v>38374.08582</v>
          </cell>
          <cell r="M1552">
            <v>38869.8338</v>
          </cell>
          <cell r="N1552">
            <v>39386.631560000002</v>
          </cell>
          <cell r="O1552">
            <v>39921.072679999997</v>
          </cell>
          <cell r="P1552">
            <v>40512.812409999999</v>
          </cell>
          <cell r="Q1552">
            <v>41088.014230000001</v>
          </cell>
          <cell r="R1552">
            <v>41671.936750000001</v>
          </cell>
          <cell r="S1552">
            <v>42263.200120000001</v>
          </cell>
          <cell r="T1552">
            <v>42861.130899999996</v>
          </cell>
          <cell r="U1552">
            <v>43465.496169999999</v>
          </cell>
          <cell r="V1552">
            <v>44076.359750000003</v>
          </cell>
          <cell r="W1552">
            <v>44693.977780000001</v>
          </cell>
          <cell r="X1552">
            <v>45318.718659999999</v>
          </cell>
          <cell r="Y1552">
            <v>45951.005770000003</v>
          </cell>
          <cell r="Z1552">
            <v>46560.019480000003</v>
          </cell>
          <cell r="AA1552">
            <v>47199.146540000002</v>
          </cell>
          <cell r="AB1552">
            <v>47849.032859999999</v>
          </cell>
          <cell r="AC1552">
            <v>48510.222569999998</v>
          </cell>
          <cell r="AD1552">
            <v>49182.920579999998</v>
          </cell>
          <cell r="AE1552">
            <v>49777.0504</v>
          </cell>
          <cell r="AF1552">
            <v>50402.413419999997</v>
          </cell>
          <cell r="AG1552">
            <v>51031.139439999999</v>
          </cell>
          <cell r="AH1552">
            <v>51666.10067</v>
          </cell>
          <cell r="AI1552">
            <v>52309.482660000001</v>
          </cell>
          <cell r="AJ1552">
            <v>52962.897709999997</v>
          </cell>
          <cell r="AK1552">
            <v>53627.459260000003</v>
          </cell>
          <cell r="AL1552">
            <v>54303.870199999998</v>
          </cell>
          <cell r="AM1552">
            <v>54992.521159999997</v>
          </cell>
          <cell r="AN1552">
            <v>55693.585220000001</v>
          </cell>
          <cell r="AO1552">
            <v>56407.098879999998</v>
          </cell>
          <cell r="AP1552">
            <v>57111.258549999999</v>
          </cell>
          <cell r="AQ1552">
            <v>57820.870499999997</v>
          </cell>
          <cell r="AR1552">
            <v>58537.104090000001</v>
          </cell>
          <cell r="AS1552">
            <v>59261.272140000001</v>
          </cell>
          <cell r="AT1552">
            <v>59994.601900000001</v>
          </cell>
          <cell r="AU1552">
            <v>60738.139089999997</v>
          </cell>
          <cell r="AV1552">
            <v>61492.713629999998</v>
          </cell>
          <cell r="AW1552">
            <v>62258.93881</v>
          </cell>
          <cell r="AX1552">
            <v>63037.228410000003</v>
          </cell>
          <cell r="AY1552">
            <v>63827.804239999998</v>
          </cell>
          <cell r="AZ1552">
            <v>64632.531929999997</v>
          </cell>
          <cell r="BA1552">
            <v>65450.165650000003</v>
          </cell>
          <cell r="BB1552">
            <v>66280.791060000003</v>
          </cell>
          <cell r="BC1552">
            <v>67124.418229999996</v>
          </cell>
          <cell r="BD1552">
            <v>67981.054459999999</v>
          </cell>
          <cell r="BE1552">
            <v>73673.009269999995</v>
          </cell>
          <cell r="BF1552">
            <v>74830.096340000004</v>
          </cell>
          <cell r="BG1552">
            <v>76006.871119999996</v>
          </cell>
          <cell r="BH1552">
            <v>77203.811189999993</v>
          </cell>
          <cell r="BI1552">
            <v>78421.397010000001</v>
          </cell>
        </row>
        <row r="1555">
          <cell r="F1555">
            <v>332226.51280000003</v>
          </cell>
          <cell r="G1555">
            <v>336606.99489999999</v>
          </cell>
          <cell r="H1555">
            <v>341544.85859999998</v>
          </cell>
          <cell r="I1555">
            <v>346740.18339999998</v>
          </cell>
          <cell r="J1555">
            <v>352165.58</v>
          </cell>
          <cell r="K1555">
            <v>357796.63419999997</v>
          </cell>
          <cell r="L1555">
            <v>363368.59950000001</v>
          </cell>
          <cell r="M1555">
            <v>369072.96120000002</v>
          </cell>
          <cell r="N1555">
            <v>374895.6557</v>
          </cell>
          <cell r="O1555">
            <v>380835.71769999998</v>
          </cell>
          <cell r="P1555">
            <v>387326.41119999997</v>
          </cell>
          <cell r="Q1555">
            <v>393574.64669999998</v>
          </cell>
          <cell r="R1555">
            <v>399948.45549999998</v>
          </cell>
          <cell r="S1555">
            <v>406425.71789999999</v>
          </cell>
          <cell r="T1555">
            <v>413005.64539999998</v>
          </cell>
          <cell r="U1555">
            <v>419691.25290000002</v>
          </cell>
          <cell r="V1555">
            <v>426486.68239999999</v>
          </cell>
          <cell r="W1555">
            <v>433396.538</v>
          </cell>
          <cell r="X1555">
            <v>440425.4804</v>
          </cell>
          <cell r="Y1555">
            <v>447577.91080000001</v>
          </cell>
          <cell r="Z1555">
            <v>454535.58990000002</v>
          </cell>
          <cell r="AA1555">
            <v>461889.86119999998</v>
          </cell>
          <cell r="AB1555">
            <v>469371.174</v>
          </cell>
          <cell r="AC1555">
            <v>476998.03169999999</v>
          </cell>
          <cell r="AD1555">
            <v>484772.78639999998</v>
          </cell>
          <cell r="AE1555">
            <v>491762.09639999998</v>
          </cell>
          <cell r="AF1555">
            <v>499220.90980000002</v>
          </cell>
          <cell r="AG1555">
            <v>506720.10590000002</v>
          </cell>
          <cell r="AH1555">
            <v>514295.06510000001</v>
          </cell>
          <cell r="AI1555">
            <v>521958.47859999997</v>
          </cell>
          <cell r="AJ1555">
            <v>529717.30240000004</v>
          </cell>
          <cell r="AK1555">
            <v>537575.30599999998</v>
          </cell>
          <cell r="AL1555">
            <v>545533.7611</v>
          </cell>
          <cell r="AM1555">
            <v>553592.01529999997</v>
          </cell>
          <cell r="AN1555">
            <v>561748.09380000003</v>
          </cell>
          <cell r="AO1555">
            <v>569999.26410000003</v>
          </cell>
          <cell r="AP1555">
            <v>578115.05310000002</v>
          </cell>
          <cell r="AQ1555">
            <v>586276.22790000006</v>
          </cell>
          <cell r="AR1555">
            <v>594475.22320000001</v>
          </cell>
          <cell r="AS1555">
            <v>602716.46869999997</v>
          </cell>
          <cell r="AT1555">
            <v>611005.60129999998</v>
          </cell>
          <cell r="AU1555">
            <v>619347.76569999999</v>
          </cell>
          <cell r="AV1555">
            <v>627747.29590000003</v>
          </cell>
          <cell r="AW1555">
            <v>636207.68759999995</v>
          </cell>
          <cell r="AX1555">
            <v>644731.71030000004</v>
          </cell>
          <cell r="AY1555">
            <v>653321.61120000004</v>
          </cell>
          <cell r="AZ1555">
            <v>662000.13600000006</v>
          </cell>
          <cell r="BA1555">
            <v>670752.51549999998</v>
          </cell>
          <cell r="BB1555">
            <v>679581.17960000003</v>
          </cell>
          <cell r="BC1555">
            <v>688487.19259999995</v>
          </cell>
          <cell r="BD1555">
            <v>697471.93530000001</v>
          </cell>
          <cell r="BE1555">
            <v>781663.80500000005</v>
          </cell>
          <cell r="BF1555">
            <v>795467.88820000004</v>
          </cell>
          <cell r="BG1555">
            <v>809456.06830000004</v>
          </cell>
          <cell r="BH1555">
            <v>823628.62589999998</v>
          </cell>
          <cell r="BI1555">
            <v>837986.17110000004</v>
          </cell>
        </row>
        <row r="1567">
          <cell r="F1567">
            <v>48571.10615</v>
          </cell>
          <cell r="G1567">
            <v>49156.962379999997</v>
          </cell>
          <cell r="H1567">
            <v>49805.65191</v>
          </cell>
          <cell r="I1567">
            <v>50492.574139999997</v>
          </cell>
          <cell r="J1567">
            <v>51216.412409999997</v>
          </cell>
          <cell r="K1567">
            <v>51973.058449999997</v>
          </cell>
          <cell r="L1567">
            <v>52721.45463</v>
          </cell>
          <cell r="M1567">
            <v>53488.574180000003</v>
          </cell>
          <cell r="N1567">
            <v>54271.017509999998</v>
          </cell>
          <cell r="O1567">
            <v>55067.195820000001</v>
          </cell>
          <cell r="P1567">
            <v>55940.548580000002</v>
          </cell>
          <cell r="Q1567">
            <v>56771.173450000002</v>
          </cell>
          <cell r="R1567">
            <v>57612.814109999999</v>
          </cell>
          <cell r="S1567">
            <v>58462.266770000002</v>
          </cell>
          <cell r="T1567">
            <v>59319.136709999999</v>
          </cell>
          <cell r="U1567">
            <v>60183.712800000001</v>
          </cell>
          <cell r="V1567">
            <v>61056.593869999997</v>
          </cell>
          <cell r="W1567">
            <v>61938.551489999998</v>
          </cell>
          <cell r="X1567">
            <v>62830.439599999998</v>
          </cell>
          <cell r="Y1567">
            <v>63733.131329999997</v>
          </cell>
          <cell r="Z1567">
            <v>64599.400459999997</v>
          </cell>
          <cell r="AA1567">
            <v>65518.390379999997</v>
          </cell>
          <cell r="AB1567">
            <v>66450.51453</v>
          </cell>
          <cell r="AC1567">
            <v>67398.457559999995</v>
          </cell>
          <cell r="AD1567">
            <v>68362.920559999999</v>
          </cell>
          <cell r="AE1567">
            <v>69205.133960000006</v>
          </cell>
          <cell r="AF1567">
            <v>70114.507700000002</v>
          </cell>
          <cell r="AG1567">
            <v>71029.039059999996</v>
          </cell>
          <cell r="AH1567">
            <v>71954.308080000003</v>
          </cell>
          <cell r="AI1567">
            <v>72893.040229999999</v>
          </cell>
          <cell r="AJ1567">
            <v>73847.06482</v>
          </cell>
          <cell r="AK1567">
            <v>74817.61378</v>
          </cell>
          <cell r="AL1567">
            <v>75805.441330000001</v>
          </cell>
          <cell r="AM1567">
            <v>76810.936889999997</v>
          </cell>
          <cell r="AN1567">
            <v>77834.234460000007</v>
          </cell>
          <cell r="AO1567">
            <v>78875.307520000002</v>
          </cell>
          <cell r="AP1567">
            <v>79900.191130000007</v>
          </cell>
          <cell r="AQ1567">
            <v>80936.603140000007</v>
          </cell>
          <cell r="AR1567">
            <v>81984.286789999998</v>
          </cell>
          <cell r="AS1567">
            <v>83044.39688</v>
          </cell>
          <cell r="AT1567">
            <v>84118.169540000003</v>
          </cell>
          <cell r="AU1567">
            <v>85206.681559999997</v>
          </cell>
          <cell r="AV1567">
            <v>86310.792830000006</v>
          </cell>
          <cell r="AW1567">
            <v>87431.144029999996</v>
          </cell>
          <cell r="AX1567">
            <v>88568.183199999999</v>
          </cell>
          <cell r="AY1567">
            <v>89722.207680000007</v>
          </cell>
          <cell r="AZ1567">
            <v>90896.503979999994</v>
          </cell>
          <cell r="BA1567">
            <v>92088.679359999995</v>
          </cell>
          <cell r="BB1567">
            <v>93298.853449999995</v>
          </cell>
          <cell r="BC1567">
            <v>94526.9519</v>
          </cell>
          <cell r="BD1567">
            <v>95772.900760000004</v>
          </cell>
          <cell r="BE1567">
            <v>104551.2357</v>
          </cell>
          <cell r="BF1567">
            <v>106267.7761</v>
          </cell>
          <cell r="BG1567">
            <v>108015.0258</v>
          </cell>
          <cell r="BH1567">
            <v>109793.6344</v>
          </cell>
          <cell r="BI1567">
            <v>111604.26330000001</v>
          </cell>
        </row>
        <row r="1572">
          <cell r="F1572">
            <v>1513908.568</v>
          </cell>
          <cell r="G1572">
            <v>1533424.8459999999</v>
          </cell>
          <cell r="H1572">
            <v>1554985.311</v>
          </cell>
          <cell r="I1572">
            <v>1577934.7080000001</v>
          </cell>
          <cell r="J1572">
            <v>1602168.7050000001</v>
          </cell>
          <cell r="K1572">
            <v>1627543.084</v>
          </cell>
          <cell r="L1572">
            <v>1652794.8019999999</v>
          </cell>
          <cell r="M1572">
            <v>1678634.3419999999</v>
          </cell>
          <cell r="N1572">
            <v>1705033.0249999999</v>
          </cell>
          <cell r="O1572">
            <v>1731961.3259999999</v>
          </cell>
          <cell r="P1572">
            <v>1761370.497</v>
          </cell>
          <cell r="Q1572">
            <v>1789801.183</v>
          </cell>
          <cell r="R1572">
            <v>1818562.7949999999</v>
          </cell>
          <cell r="S1572">
            <v>1847650.8489999999</v>
          </cell>
          <cell r="T1572">
            <v>1877062.3430000001</v>
          </cell>
          <cell r="U1572">
            <v>1906801.4439999999</v>
          </cell>
          <cell r="V1572">
            <v>1936878.977</v>
          </cell>
          <cell r="W1572">
            <v>1967310.2450000001</v>
          </cell>
          <cell r="X1572">
            <v>1998112.82</v>
          </cell>
          <cell r="Y1572">
            <v>2029304.8870000001</v>
          </cell>
          <cell r="Z1572">
            <v>2059429.1640000001</v>
          </cell>
          <cell r="AA1572">
            <v>2091056.0009999999</v>
          </cell>
          <cell r="AB1572">
            <v>2123211.2420000001</v>
          </cell>
          <cell r="AC1572">
            <v>2155898.4589999998</v>
          </cell>
          <cell r="AD1572">
            <v>2189122.0630000001</v>
          </cell>
          <cell r="AE1572">
            <v>2218614.2749999999</v>
          </cell>
          <cell r="AF1572">
            <v>2249735.5299999998</v>
          </cell>
          <cell r="AG1572">
            <v>2281077.2149999999</v>
          </cell>
          <cell r="AH1572">
            <v>2312721.5490000001</v>
          </cell>
          <cell r="AI1572">
            <v>2344742.344</v>
          </cell>
          <cell r="AJ1572">
            <v>2377197.5240000002</v>
          </cell>
          <cell r="AK1572">
            <v>2410128.3360000001</v>
          </cell>
          <cell r="AL1572">
            <v>2443561.514</v>
          </cell>
          <cell r="AM1572">
            <v>2477512.5759999999</v>
          </cell>
          <cell r="AN1572">
            <v>2511989.2379999999</v>
          </cell>
          <cell r="AO1572">
            <v>2546994.3840000001</v>
          </cell>
          <cell r="AP1572">
            <v>2581490.7859999998</v>
          </cell>
          <cell r="AQ1572">
            <v>2616224.247</v>
          </cell>
          <cell r="AR1572">
            <v>2651253.4509999999</v>
          </cell>
          <cell r="AS1572">
            <v>2686630.4219999998</v>
          </cell>
          <cell r="AT1572">
            <v>2722401.7370000002</v>
          </cell>
          <cell r="AU1572">
            <v>2758607.3330000001</v>
          </cell>
          <cell r="AV1572">
            <v>2795279.6630000002</v>
          </cell>
          <cell r="AW1572">
            <v>2832443.7710000002</v>
          </cell>
          <cell r="AX1572">
            <v>2870118.199</v>
          </cell>
          <cell r="AY1572">
            <v>2908316.429</v>
          </cell>
          <cell r="AZ1572">
            <v>2947143.1979999999</v>
          </cell>
          <cell r="BA1572">
            <v>2986539.7459999998</v>
          </cell>
          <cell r="BB1572">
            <v>3026507.8509999998</v>
          </cell>
          <cell r="BC1572">
            <v>3067045.4619999998</v>
          </cell>
          <cell r="BD1572">
            <v>3108151.2510000002</v>
          </cell>
          <cell r="BE1572">
            <v>3421146.1329999999</v>
          </cell>
          <cell r="BF1572">
            <v>3478549.7910000002</v>
          </cell>
          <cell r="BG1572">
            <v>3536883.7719999999</v>
          </cell>
          <cell r="BH1572">
            <v>3596166.577</v>
          </cell>
          <cell r="BI1572">
            <v>3656417.5589999999</v>
          </cell>
        </row>
        <row r="1575">
          <cell r="F1575">
            <v>-2029.2272170000001</v>
          </cell>
          <cell r="G1575">
            <v>-2061.3507410000002</v>
          </cell>
          <cell r="H1575">
            <v>-2071.5629049999998</v>
          </cell>
          <cell r="I1575">
            <v>-2078.5601919999999</v>
          </cell>
          <cell r="J1575">
            <v>-2089.2642580000002</v>
          </cell>
          <cell r="K1575">
            <v>-2105.0898179999999</v>
          </cell>
          <cell r="L1575">
            <v>-2126.5200279999999</v>
          </cell>
          <cell r="M1575">
            <v>-2149.6003420000002</v>
          </cell>
          <cell r="N1575">
            <v>-2174.754567</v>
          </cell>
          <cell r="O1575">
            <v>-2201.496263</v>
          </cell>
          <cell r="P1575">
            <v>-2227.8009590000001</v>
          </cell>
          <cell r="Q1575">
            <v>-2259.9861850000002</v>
          </cell>
          <cell r="R1575">
            <v>-2290.086491</v>
          </cell>
          <cell r="S1575">
            <v>-2319.969231</v>
          </cell>
          <cell r="T1575">
            <v>-2350.0041379999998</v>
          </cell>
          <cell r="U1575">
            <v>-2380.2406689999998</v>
          </cell>
          <cell r="V1575">
            <v>-2410.6802189999999</v>
          </cell>
          <cell r="W1575">
            <v>-2441.3270699999998</v>
          </cell>
          <cell r="X1575">
            <v>-2472.193608</v>
          </cell>
          <cell r="Y1575">
            <v>-2503.2977569999998</v>
          </cell>
          <cell r="Z1575">
            <v>-2535.7777350000001</v>
          </cell>
          <cell r="AA1575">
            <v>-2564.7380779999999</v>
          </cell>
          <cell r="AB1575">
            <v>-2595.9381819999999</v>
          </cell>
          <cell r="AC1575">
            <v>-2627.9115959999999</v>
          </cell>
          <cell r="AD1575">
            <v>-2660.350011</v>
          </cell>
          <cell r="AE1575">
            <v>-2696.4174859999998</v>
          </cell>
          <cell r="AF1575">
            <v>-2723.4790790000002</v>
          </cell>
          <cell r="AG1575">
            <v>-2752.9183119999998</v>
          </cell>
          <cell r="AH1575">
            <v>-2783.053167</v>
          </cell>
          <cell r="AI1575">
            <v>-2813.5538150000002</v>
          </cell>
          <cell r="AJ1575">
            <v>-2844.4019010000002</v>
          </cell>
          <cell r="AK1575">
            <v>-2875.6345030000002</v>
          </cell>
          <cell r="AL1575">
            <v>-2907.2888670000002</v>
          </cell>
          <cell r="AM1575">
            <v>-2939.3913870000001</v>
          </cell>
          <cell r="AN1575">
            <v>-2971.9573540000001</v>
          </cell>
          <cell r="AO1575">
            <v>-3004.9933609999998</v>
          </cell>
          <cell r="AP1575">
            <v>-3039.2719040000002</v>
          </cell>
          <cell r="AQ1575">
            <v>-3072.1567030000001</v>
          </cell>
          <cell r="AR1575">
            <v>-3104.985032</v>
          </cell>
          <cell r="AS1575">
            <v>-3138.0621230000002</v>
          </cell>
          <cell r="AT1575">
            <v>-3171.46837</v>
          </cell>
          <cell r="AU1575">
            <v>-3205.2405859999999</v>
          </cell>
          <cell r="AV1575">
            <v>-3239.406219</v>
          </cell>
          <cell r="AW1575">
            <v>-3273.987905</v>
          </cell>
          <cell r="AX1575">
            <v>-3309.0034620000001</v>
          </cell>
          <cell r="AY1575">
            <v>-3344.4663110000001</v>
          </cell>
          <cell r="AZ1575">
            <v>-3380.3194090000002</v>
          </cell>
          <cell r="BA1575">
            <v>-3416.8080989999999</v>
          </cell>
          <cell r="BB1575">
            <v>-3453.8371360000001</v>
          </cell>
          <cell r="BC1575">
            <v>-3491.3091979999999</v>
          </cell>
          <cell r="BD1575">
            <v>-3529.2219340000001</v>
          </cell>
          <cell r="BE1575">
            <v>-3861.2418819999998</v>
          </cell>
          <cell r="BF1575">
            <v>-3916.1006659999998</v>
          </cell>
          <cell r="BG1575">
            <v>-3971.8087999999998</v>
          </cell>
          <cell r="BH1575">
            <v>-4028.391533</v>
          </cell>
          <cell r="BI1575">
            <v>-4085.8743770000001</v>
          </cell>
        </row>
        <row r="1577">
          <cell r="F1577">
            <v>-613.16616880000004</v>
          </cell>
          <cell r="G1577">
            <v>-619.24248320000004</v>
          </cell>
          <cell r="H1577">
            <v>-622.12187400000005</v>
          </cell>
          <cell r="I1577">
            <v>-624.95296489999998</v>
          </cell>
          <cell r="J1577">
            <v>-628.92143369999997</v>
          </cell>
          <cell r="K1577">
            <v>-634.21492750000004</v>
          </cell>
          <cell r="L1577">
            <v>-640.51520619999997</v>
          </cell>
          <cell r="M1577">
            <v>-647.42360159999998</v>
          </cell>
          <cell r="N1577">
            <v>-654.86206219999997</v>
          </cell>
          <cell r="O1577">
            <v>-662.69161880000001</v>
          </cell>
          <cell r="P1577">
            <v>-671.02334759999997</v>
          </cell>
          <cell r="Q1577">
            <v>-679.79294900000002</v>
          </cell>
          <cell r="R1577">
            <v>-688.44883500000003</v>
          </cell>
          <cell r="S1577">
            <v>-697.17306900000005</v>
          </cell>
          <cell r="T1577">
            <v>-705.98297639999998</v>
          </cell>
          <cell r="U1577">
            <v>-714.87174400000004</v>
          </cell>
          <cell r="V1577">
            <v>-723.83298209999998</v>
          </cell>
          <cell r="W1577">
            <v>-732.86371729999996</v>
          </cell>
          <cell r="X1577">
            <v>-741.96377459999997</v>
          </cell>
          <cell r="Y1577">
            <v>-751.13485300000002</v>
          </cell>
          <cell r="Z1577">
            <v>-760.21649820000005</v>
          </cell>
          <cell r="AA1577">
            <v>-769.20765919999997</v>
          </cell>
          <cell r="AB1577">
            <v>-778.48711219999996</v>
          </cell>
          <cell r="AC1577">
            <v>-787.90036759999998</v>
          </cell>
          <cell r="AD1577">
            <v>-797.42373680000003</v>
          </cell>
          <cell r="AE1577">
            <v>-806.58448009999995</v>
          </cell>
          <cell r="AF1577">
            <v>-815.14959639999995</v>
          </cell>
          <cell r="AG1577">
            <v>-823.97126200000002</v>
          </cell>
          <cell r="AH1577">
            <v>-832.87020319999999</v>
          </cell>
          <cell r="AI1577">
            <v>-841.8309769</v>
          </cell>
          <cell r="AJ1577">
            <v>-850.86678970000003</v>
          </cell>
          <cell r="AK1577">
            <v>-859.99300849999997</v>
          </cell>
          <cell r="AL1577">
            <v>-869.22215170000004</v>
          </cell>
          <cell r="AM1577">
            <v>-878.56335149999995</v>
          </cell>
          <cell r="AN1577">
            <v>-888.02282960000002</v>
          </cell>
          <cell r="AO1577">
            <v>-897.60458449999999</v>
          </cell>
          <cell r="AP1577">
            <v>-907.1970106</v>
          </cell>
          <cell r="AQ1577">
            <v>-916.68407530000002</v>
          </cell>
          <cell r="AR1577">
            <v>-926.210015</v>
          </cell>
          <cell r="AS1577">
            <v>-935.80826420000005</v>
          </cell>
          <cell r="AT1577">
            <v>-945.49257929999999</v>
          </cell>
          <cell r="AU1577">
            <v>-955.27313530000004</v>
          </cell>
          <cell r="AV1577">
            <v>-965.1587432</v>
          </cell>
          <cell r="AW1577">
            <v>-975.15683639999997</v>
          </cell>
          <cell r="AX1577">
            <v>-985.27334289999999</v>
          </cell>
          <cell r="AY1577">
            <v>-995.51273279999998</v>
          </cell>
          <cell r="AZ1577">
            <v>-1005.888476</v>
          </cell>
          <cell r="BA1577">
            <v>-1016.4132949999999</v>
          </cell>
          <cell r="BB1577">
            <v>-1027.075693</v>
          </cell>
          <cell r="BC1577">
            <v>-1037.8739619999999</v>
          </cell>
          <cell r="BD1577">
            <v>-1048.808149</v>
          </cell>
          <cell r="BE1577">
            <v>-1144.325685</v>
          </cell>
          <cell r="BF1577">
            <v>-1160.095908</v>
          </cell>
          <cell r="BG1577">
            <v>-1176.1073469999999</v>
          </cell>
          <cell r="BH1577">
            <v>-1192.3669970000001</v>
          </cell>
          <cell r="BI1577">
            <v>-1208.8823600000001</v>
          </cell>
        </row>
        <row r="1579">
          <cell r="F1579">
            <v>495.70005170000002</v>
          </cell>
        </row>
        <row r="1580">
          <cell r="F1580">
            <v>40630.107230000001</v>
          </cell>
          <cell r="G1580">
            <v>40928.329579999998</v>
          </cell>
          <cell r="H1580">
            <v>41196.521780000003</v>
          </cell>
          <cell r="I1580">
            <v>41474.059379999999</v>
          </cell>
          <cell r="J1580">
            <v>41773.76354</v>
          </cell>
          <cell r="K1580">
            <v>42102.435969999999</v>
          </cell>
          <cell r="L1580">
            <v>42437.970840000002</v>
          </cell>
          <cell r="M1580">
            <v>42791.233240000001</v>
          </cell>
          <cell r="N1580">
            <v>43159.62932</v>
          </cell>
          <cell r="O1580">
            <v>43539.238140000001</v>
          </cell>
          <cell r="P1580">
            <v>43966.565119999999</v>
          </cell>
          <cell r="Q1580">
            <v>44373.523150000001</v>
          </cell>
          <cell r="R1580">
            <v>44779.395360000002</v>
          </cell>
          <cell r="S1580">
            <v>45186.3655</v>
          </cell>
          <cell r="T1580">
            <v>45594.950629999999</v>
          </cell>
          <cell r="U1580">
            <v>46005.497349999998</v>
          </cell>
          <cell r="V1580">
            <v>46418.44225</v>
          </cell>
          <cell r="W1580">
            <v>46834.344279999998</v>
          </cell>
          <cell r="X1580">
            <v>47253.863369999999</v>
          </cell>
          <cell r="Y1580">
            <v>47677.725339999997</v>
          </cell>
          <cell r="Z1580">
            <v>48078.027710000002</v>
          </cell>
          <cell r="AA1580">
            <v>48503.287920000002</v>
          </cell>
          <cell r="AB1580">
            <v>48939.208939999997</v>
          </cell>
          <cell r="AC1580">
            <v>49384.386780000001</v>
          </cell>
          <cell r="AD1580">
            <v>49838.823779999999</v>
          </cell>
          <cell r="AE1580">
            <v>50221.084609999998</v>
          </cell>
          <cell r="AF1580">
            <v>50628.874150000003</v>
          </cell>
          <cell r="AG1580">
            <v>51044.867740000002</v>
          </cell>
          <cell r="AH1580">
            <v>51468.672700000003</v>
          </cell>
          <cell r="AI1580">
            <v>51901.228569999999</v>
          </cell>
          <cell r="AJ1580">
            <v>52343.489860000001</v>
          </cell>
          <cell r="AK1580">
            <v>52796.193809999997</v>
          </cell>
          <cell r="AL1580">
            <v>53259.831109999999</v>
          </cell>
          <cell r="AM1580">
            <v>53734.669249999999</v>
          </cell>
          <cell r="AN1580">
            <v>54220.794349999996</v>
          </cell>
          <cell r="AO1580">
            <v>54718.15797</v>
          </cell>
          <cell r="AP1580">
            <v>55207.337979999997</v>
          </cell>
          <cell r="AQ1580">
            <v>55700.825049999999</v>
          </cell>
          <cell r="AR1580">
            <v>56201.013050000001</v>
          </cell>
          <cell r="AS1580">
            <v>56708.965300000003</v>
          </cell>
          <cell r="AT1580">
            <v>57225.375840000001</v>
          </cell>
          <cell r="AU1580">
            <v>57750.762790000001</v>
          </cell>
          <cell r="AV1580">
            <v>58285.519829999997</v>
          </cell>
          <cell r="AW1580">
            <v>58829.945010000003</v>
          </cell>
          <cell r="AX1580">
            <v>59384.238409999998</v>
          </cell>
          <cell r="AY1580">
            <v>59948.457190000001</v>
          </cell>
          <cell r="AZ1580">
            <v>60523.92871</v>
          </cell>
          <cell r="BA1580">
            <v>61107.297590000002</v>
          </cell>
          <cell r="BB1580">
            <v>61697.558429999997</v>
          </cell>
          <cell r="BC1580">
            <v>62296.291539999998</v>
          </cell>
          <cell r="BD1580">
            <v>62904.913789999999</v>
          </cell>
          <cell r="BE1580">
            <v>66761.92697</v>
          </cell>
          <cell r="BF1580">
            <v>67613.189150000006</v>
          </cell>
          <cell r="BG1580">
            <v>68479.501260000005</v>
          </cell>
          <cell r="BH1580">
            <v>69361.150169999994</v>
          </cell>
          <cell r="BI1580">
            <v>70258.379430000001</v>
          </cell>
        </row>
        <row r="1600">
          <cell r="F1600">
            <v>468662.33020000003</v>
          </cell>
          <cell r="G1600">
            <v>471741.49119999999</v>
          </cell>
          <cell r="H1600">
            <v>476109.36459999997</v>
          </cell>
          <cell r="I1600">
            <v>481305.69260000001</v>
          </cell>
          <cell r="J1600">
            <v>487068.3076</v>
          </cell>
          <cell r="K1600">
            <v>493251.41609999997</v>
          </cell>
          <cell r="L1600">
            <v>499576.21120000002</v>
          </cell>
          <cell r="M1600">
            <v>506050.44150000002</v>
          </cell>
          <cell r="N1600">
            <v>512688.21919999999</v>
          </cell>
          <cell r="O1600">
            <v>519498.5148</v>
          </cell>
          <cell r="P1600">
            <v>526458.38529999997</v>
          </cell>
          <cell r="Q1600">
            <v>533889.04779999994</v>
          </cell>
          <cell r="R1600">
            <v>541652.12860000005</v>
          </cell>
          <cell r="S1600">
            <v>549676.58929999999</v>
          </cell>
          <cell r="T1600">
            <v>557931.92220000003</v>
          </cell>
          <cell r="U1600">
            <v>566406.12890000001</v>
          </cell>
          <cell r="V1600">
            <v>575076.44709999999</v>
          </cell>
          <cell r="W1600">
            <v>583947.58519999997</v>
          </cell>
          <cell r="X1600">
            <v>593023.07770000002</v>
          </cell>
          <cell r="Y1600">
            <v>602305.12419999996</v>
          </cell>
          <cell r="Z1600">
            <v>611547.97750000004</v>
          </cell>
          <cell r="AA1600">
            <v>621057.10959999997</v>
          </cell>
          <cell r="AB1600">
            <v>630817.38199999998</v>
          </cell>
          <cell r="AC1600">
            <v>640813.27350000001</v>
          </cell>
          <cell r="AD1600">
            <v>651036.11239999998</v>
          </cell>
          <cell r="AE1600">
            <v>660766.45609999995</v>
          </cell>
          <cell r="AF1600">
            <v>670548.89190000005</v>
          </cell>
          <cell r="AG1600">
            <v>680407.46710000001</v>
          </cell>
          <cell r="AH1600">
            <v>690347.96299999999</v>
          </cell>
          <cell r="AI1600">
            <v>700377.81579999998</v>
          </cell>
          <cell r="AJ1600">
            <v>710504.29269999999</v>
          </cell>
          <cell r="AK1600">
            <v>720738.43810000003</v>
          </cell>
          <cell r="AL1600">
            <v>731081.24829999998</v>
          </cell>
          <cell r="AM1600">
            <v>741531.5612</v>
          </cell>
          <cell r="AN1600">
            <v>752086.39269999997</v>
          </cell>
          <cell r="AO1600">
            <v>762741.47990000003</v>
          </cell>
          <cell r="AP1600">
            <v>773373.93850000005</v>
          </cell>
          <cell r="AQ1600">
            <v>784000.66969999997</v>
          </cell>
          <cell r="AR1600">
            <v>794634.28020000004</v>
          </cell>
          <cell r="AS1600">
            <v>805281.48640000005</v>
          </cell>
          <cell r="AT1600">
            <v>815946.92379999999</v>
          </cell>
          <cell r="AU1600">
            <v>826644.348</v>
          </cell>
          <cell r="AV1600">
            <v>837375.50199999998</v>
          </cell>
          <cell r="AW1600">
            <v>848142.53220000002</v>
          </cell>
          <cell r="AX1600">
            <v>858947.54410000006</v>
          </cell>
          <cell r="AY1600">
            <v>869792.38439999998</v>
          </cell>
          <cell r="AZ1600">
            <v>880728.32239999995</v>
          </cell>
          <cell r="BA1600">
            <v>891744.48580000002</v>
          </cell>
          <cell r="BB1600">
            <v>902833.3138</v>
          </cell>
          <cell r="BC1600">
            <v>913990.23369999998</v>
          </cell>
          <cell r="BD1600">
            <v>925212.92760000005</v>
          </cell>
          <cell r="BE1600">
            <v>1177882.68</v>
          </cell>
          <cell r="BF1600">
            <v>1199509.7779999999</v>
          </cell>
          <cell r="BG1600">
            <v>1221370.1200000001</v>
          </cell>
          <cell r="BH1600">
            <v>1243459.7209999999</v>
          </cell>
          <cell r="BI1600">
            <v>1265775.415</v>
          </cell>
        </row>
        <row r="1601">
          <cell r="F1601">
            <v>4391.3999130000002</v>
          </cell>
          <cell r="G1601">
            <v>4399.9837699999998</v>
          </cell>
          <cell r="H1601">
            <v>4417.8951610000004</v>
          </cell>
          <cell r="I1601">
            <v>4445.308556</v>
          </cell>
          <cell r="J1601">
            <v>4481.3800430000001</v>
          </cell>
          <cell r="K1601">
            <v>4524.9656230000001</v>
          </cell>
          <cell r="L1601">
            <v>4573.0712329999997</v>
          </cell>
          <cell r="M1601">
            <v>4625.1534080000001</v>
          </cell>
          <cell r="N1601">
            <v>4680.7762510000002</v>
          </cell>
          <cell r="O1601">
            <v>4739.5372450000004</v>
          </cell>
          <cell r="P1601">
            <v>4800.0227500000001</v>
          </cell>
          <cell r="Q1601">
            <v>4866.9498139999996</v>
          </cell>
          <cell r="R1601">
            <v>4937.9849409999997</v>
          </cell>
          <cell r="S1601">
            <v>5011.9892849999997</v>
          </cell>
          <cell r="T1601">
            <v>5088.4600899999996</v>
          </cell>
          <cell r="U1601">
            <v>5167.13951</v>
          </cell>
          <cell r="V1601">
            <v>5247.6660359999996</v>
          </cell>
          <cell r="W1601">
            <v>5329.9783189999998</v>
          </cell>
          <cell r="X1601">
            <v>5414.004919</v>
          </cell>
          <cell r="Y1601">
            <v>5499.6919980000002</v>
          </cell>
          <cell r="Z1601">
            <v>5584.6872249999997</v>
          </cell>
          <cell r="AA1601">
            <v>5671.7110419999999</v>
          </cell>
          <cell r="AB1601">
            <v>5760.7264740000001</v>
          </cell>
          <cell r="AC1601">
            <v>5851.623294</v>
          </cell>
          <cell r="AD1601">
            <v>5944.3359609999998</v>
          </cell>
          <cell r="AE1601">
            <v>6032.1317600000002</v>
          </cell>
          <cell r="AF1601">
            <v>6119.8253329999998</v>
          </cell>
          <cell r="AG1601">
            <v>6207.8777879999998</v>
          </cell>
          <cell r="AH1601">
            <v>6296.5228260000004</v>
          </cell>
          <cell r="AI1601">
            <v>6385.98243</v>
          </cell>
          <cell r="AJ1601">
            <v>6476.4554539999999</v>
          </cell>
          <cell r="AK1601">
            <v>6568.1609539999999</v>
          </cell>
          <cell r="AL1601">
            <v>6661.1950239999996</v>
          </cell>
          <cell r="AM1601">
            <v>6755.6214239999999</v>
          </cell>
          <cell r="AN1601">
            <v>6851.4710029999997</v>
          </cell>
          <cell r="AO1601">
            <v>6948.7529169999998</v>
          </cell>
          <cell r="AP1601">
            <v>7046.4202459999997</v>
          </cell>
          <cell r="AQ1601">
            <v>7144.5779329999996</v>
          </cell>
          <cell r="AR1601">
            <v>7243.4169140000004</v>
          </cell>
          <cell r="AS1601">
            <v>7343.062696</v>
          </cell>
          <cell r="AT1601">
            <v>7443.615409</v>
          </cell>
          <cell r="AU1601">
            <v>7545.2691169999998</v>
          </cell>
          <cell r="AV1601">
            <v>7648.0851940000002</v>
          </cell>
          <cell r="AW1601">
            <v>7752.1274659999999</v>
          </cell>
          <cell r="AX1601">
            <v>7857.4439410000005</v>
          </cell>
          <cell r="AY1601">
            <v>7964.0692550000003</v>
          </cell>
          <cell r="AZ1601">
            <v>8072.5387730000002</v>
          </cell>
          <cell r="BA1601">
            <v>8182.7492380000003</v>
          </cell>
          <cell r="BB1601">
            <v>8294.6376849999997</v>
          </cell>
          <cell r="BC1601">
            <v>8408.1386500000008</v>
          </cell>
          <cell r="BD1601">
            <v>8523.1957920000004</v>
          </cell>
          <cell r="BE1601">
            <v>10315.183279999999</v>
          </cell>
          <cell r="BF1601">
            <v>10501.124680000001</v>
          </cell>
          <cell r="BG1601">
            <v>10690.10708</v>
          </cell>
          <cell r="BH1601">
            <v>10882.175730000001</v>
          </cell>
          <cell r="BI1601">
            <v>11077.383040000001</v>
          </cell>
        </row>
        <row r="1604">
          <cell r="F1604">
            <v>232614.27669999999</v>
          </cell>
          <cell r="G1604">
            <v>234128.9676</v>
          </cell>
          <cell r="H1604">
            <v>236349.84109999999</v>
          </cell>
          <cell r="I1604">
            <v>238985.4466</v>
          </cell>
          <cell r="J1604">
            <v>241878.21429999999</v>
          </cell>
          <cell r="K1604">
            <v>244946.1079</v>
          </cell>
          <cell r="L1604">
            <v>248061.67319999999</v>
          </cell>
          <cell r="M1604">
            <v>251225.4809</v>
          </cell>
          <cell r="N1604">
            <v>254447.68429999999</v>
          </cell>
          <cell r="O1604">
            <v>257738.54740000001</v>
          </cell>
          <cell r="P1604">
            <v>261052.9682</v>
          </cell>
          <cell r="Q1604">
            <v>264633.89049999998</v>
          </cell>
          <cell r="R1604">
            <v>268395.43449999997</v>
          </cell>
          <cell r="S1604">
            <v>272297.7905</v>
          </cell>
          <cell r="T1604">
            <v>276325.54489999998</v>
          </cell>
          <cell r="U1604">
            <v>280474.2267</v>
          </cell>
          <cell r="V1604">
            <v>284733.86310000002</v>
          </cell>
          <cell r="W1604">
            <v>289109.99440000003</v>
          </cell>
          <cell r="X1604">
            <v>293607.14289999998</v>
          </cell>
          <cell r="Y1604">
            <v>298228.8443</v>
          </cell>
          <cell r="Z1604">
            <v>302870.40370000002</v>
          </cell>
          <cell r="AA1604">
            <v>307658.70689999999</v>
          </cell>
          <cell r="AB1604">
            <v>312593.19569999998</v>
          </cell>
          <cell r="AC1604">
            <v>317669.76899999997</v>
          </cell>
          <cell r="AD1604">
            <v>322885.45860000001</v>
          </cell>
          <cell r="AE1604">
            <v>327928.0232</v>
          </cell>
          <cell r="AF1604">
            <v>333011.74180000002</v>
          </cell>
          <cell r="AG1604">
            <v>338149.27559999999</v>
          </cell>
          <cell r="AH1604">
            <v>343343.2255</v>
          </cell>
          <cell r="AI1604">
            <v>348594.96029999998</v>
          </cell>
          <cell r="AJ1604">
            <v>353905.06229999999</v>
          </cell>
          <cell r="AK1604">
            <v>359276.28759999998</v>
          </cell>
          <cell r="AL1604">
            <v>364706.17489999998</v>
          </cell>
          <cell r="AM1604">
            <v>370191.51150000002</v>
          </cell>
          <cell r="AN1604">
            <v>375728.3273</v>
          </cell>
          <cell r="AO1604">
            <v>381312.08270000003</v>
          </cell>
          <cell r="AP1604">
            <v>386893.08</v>
          </cell>
          <cell r="AQ1604">
            <v>392467.81319999998</v>
          </cell>
          <cell r="AR1604">
            <v>398036.07040000003</v>
          </cell>
          <cell r="AS1604">
            <v>403596.93770000001</v>
          </cell>
          <cell r="AT1604">
            <v>409149.1447</v>
          </cell>
          <cell r="AU1604">
            <v>414696.79470000003</v>
          </cell>
          <cell r="AV1604">
            <v>420237.71299999999</v>
          </cell>
          <cell r="AW1604">
            <v>425770.54190000001</v>
          </cell>
          <cell r="AX1604">
            <v>431294.3444</v>
          </cell>
          <cell r="AY1604">
            <v>436808.42560000002</v>
          </cell>
          <cell r="AZ1604">
            <v>442337.78830000001</v>
          </cell>
          <cell r="BA1604">
            <v>447876.16350000002</v>
          </cell>
          <cell r="BB1604">
            <v>453419.45699999999</v>
          </cell>
          <cell r="BC1604">
            <v>458965.13280000002</v>
          </cell>
          <cell r="BD1604">
            <v>464511.8518</v>
          </cell>
          <cell r="BE1604">
            <v>617742.98450000002</v>
          </cell>
          <cell r="BF1604">
            <v>629611.85600000003</v>
          </cell>
          <cell r="BG1604">
            <v>641570.32310000004</v>
          </cell>
          <cell r="BH1604">
            <v>653612.58900000004</v>
          </cell>
          <cell r="BI1604">
            <v>665733.37950000004</v>
          </cell>
        </row>
        <row r="1616">
          <cell r="F1616">
            <v>7876.822897</v>
          </cell>
          <cell r="G1616">
            <v>7908.9426789999998</v>
          </cell>
          <cell r="H1616">
            <v>7976.8704989999997</v>
          </cell>
          <cell r="I1616">
            <v>8061.4539839999998</v>
          </cell>
          <cell r="J1616">
            <v>8155.4593130000003</v>
          </cell>
          <cell r="K1616">
            <v>8255.7357080000002</v>
          </cell>
          <cell r="L1616">
            <v>8356.3611299999993</v>
          </cell>
          <cell r="M1616">
            <v>8458.2988430000005</v>
          </cell>
          <cell r="N1616">
            <v>8561.8278499999997</v>
          </cell>
          <cell r="O1616">
            <v>8666.9000520000009</v>
          </cell>
          <cell r="P1616">
            <v>8768.2552770000002</v>
          </cell>
          <cell r="Q1616">
            <v>8882.3711359999998</v>
          </cell>
          <cell r="R1616">
            <v>9002.1694389999993</v>
          </cell>
          <cell r="S1616">
            <v>9124.8482199999999</v>
          </cell>
          <cell r="T1616">
            <v>9249.4240379999992</v>
          </cell>
          <cell r="U1616">
            <v>9375.563682</v>
          </cell>
          <cell r="V1616">
            <v>9502.5467979999994</v>
          </cell>
          <cell r="W1616">
            <v>9630.6903139999995</v>
          </cell>
          <cell r="X1616">
            <v>9760.1659010000003</v>
          </cell>
          <cell r="Y1616">
            <v>9891.0880940000006</v>
          </cell>
          <cell r="Z1616">
            <v>10018.42938</v>
          </cell>
          <cell r="AA1616">
            <v>10149.6967</v>
          </cell>
          <cell r="AB1616">
            <v>10283.81756</v>
          </cell>
          <cell r="AC1616">
            <v>10420.32591</v>
          </cell>
          <cell r="AD1616">
            <v>10559.10267</v>
          </cell>
          <cell r="AE1616">
            <v>10685.435090000001</v>
          </cell>
          <cell r="AF1616">
            <v>10813.901760000001</v>
          </cell>
          <cell r="AG1616">
            <v>10944.03751</v>
          </cell>
          <cell r="AH1616">
            <v>11075.658100000001</v>
          </cell>
          <cell r="AI1616">
            <v>11208.864380000001</v>
          </cell>
          <cell r="AJ1616">
            <v>11343.829680000001</v>
          </cell>
          <cell r="AK1616">
            <v>11480.899960000001</v>
          </cell>
          <cell r="AL1616">
            <v>11620.09511</v>
          </cell>
          <cell r="AM1616">
            <v>11761.44112</v>
          </cell>
          <cell r="AN1616">
            <v>11904.94663</v>
          </cell>
          <cell r="AO1616">
            <v>12050.60016</v>
          </cell>
          <cell r="AP1616">
            <v>12196.64755</v>
          </cell>
          <cell r="AQ1616">
            <v>12343.65632</v>
          </cell>
          <cell r="AR1616">
            <v>12491.938029999999</v>
          </cell>
          <cell r="AS1616">
            <v>12641.64795</v>
          </cell>
          <cell r="AT1616">
            <v>12792.888059999999</v>
          </cell>
          <cell r="AU1616">
            <v>12946.050569999999</v>
          </cell>
          <cell r="AV1616">
            <v>13101.061100000001</v>
          </cell>
          <cell r="AW1616">
            <v>13257.91678</v>
          </cell>
          <cell r="AX1616">
            <v>13416.6345</v>
          </cell>
          <cell r="AY1616">
            <v>13577.23005</v>
          </cell>
          <cell r="AZ1616">
            <v>13741.13176</v>
          </cell>
          <cell r="BA1616">
            <v>13907.67236</v>
          </cell>
          <cell r="BB1616">
            <v>14076.55121</v>
          </cell>
          <cell r="BC1616">
            <v>14247.62808</v>
          </cell>
          <cell r="BD1616">
            <v>14420.82979</v>
          </cell>
          <cell r="BE1616">
            <v>18304.411169999999</v>
          </cell>
          <cell r="BF1616">
            <v>18627.571029999999</v>
          </cell>
          <cell r="BG1616">
            <v>18956.537619999999</v>
          </cell>
          <cell r="BH1616">
            <v>19291.396369999999</v>
          </cell>
          <cell r="BI1616">
            <v>19632.235570000001</v>
          </cell>
        </row>
        <row r="1621">
          <cell r="F1621">
            <v>217953.1292</v>
          </cell>
          <cell r="G1621">
            <v>219467.33489999999</v>
          </cell>
          <cell r="H1621">
            <v>221515.3285</v>
          </cell>
          <cell r="I1621">
            <v>223947.44409999999</v>
          </cell>
          <cell r="J1621">
            <v>226665.10200000001</v>
          </cell>
          <cell r="K1621">
            <v>229607.75690000001</v>
          </cell>
          <cell r="L1621">
            <v>232635.36139999999</v>
          </cell>
          <cell r="M1621">
            <v>235754.9094</v>
          </cell>
          <cell r="N1621">
            <v>238971.1398</v>
          </cell>
          <cell r="O1621">
            <v>242284.11480000001</v>
          </cell>
          <cell r="P1621">
            <v>245725.0355</v>
          </cell>
          <cell r="Q1621">
            <v>249345.78520000001</v>
          </cell>
          <cell r="R1621">
            <v>253105.58309999999</v>
          </cell>
          <cell r="S1621">
            <v>256978.2623</v>
          </cell>
          <cell r="T1621">
            <v>260950.6361</v>
          </cell>
          <cell r="U1621">
            <v>265015.94790000003</v>
          </cell>
          <cell r="V1621">
            <v>269162.8076</v>
          </cell>
          <cell r="W1621">
            <v>273390.14769999997</v>
          </cell>
          <cell r="X1621">
            <v>277696.89449999999</v>
          </cell>
          <cell r="Y1621">
            <v>282081.64939999999</v>
          </cell>
          <cell r="Z1621">
            <v>286413.38089999999</v>
          </cell>
          <cell r="AA1621">
            <v>290857.01250000001</v>
          </cell>
          <cell r="AB1621">
            <v>295399.1421</v>
          </cell>
          <cell r="AC1621">
            <v>300029.11330000003</v>
          </cell>
          <cell r="AD1621">
            <v>304741.46990000003</v>
          </cell>
          <cell r="AE1621">
            <v>309158.00510000001</v>
          </cell>
          <cell r="AF1621">
            <v>313583.41230000003</v>
          </cell>
          <cell r="AG1621">
            <v>318028.4362</v>
          </cell>
          <cell r="AH1621">
            <v>322496.06390000001</v>
          </cell>
          <cell r="AI1621">
            <v>326991.89490000001</v>
          </cell>
          <cell r="AJ1621">
            <v>331522.07919999998</v>
          </cell>
          <cell r="AK1621">
            <v>336094.12800000003</v>
          </cell>
          <cell r="AL1621">
            <v>340711.26429999998</v>
          </cell>
          <cell r="AM1621">
            <v>345375.3518</v>
          </cell>
          <cell r="AN1621">
            <v>350087.26610000001</v>
          </cell>
          <cell r="AO1621">
            <v>354847.23729999998</v>
          </cell>
          <cell r="AP1621">
            <v>359586.1054</v>
          </cell>
          <cell r="AQ1621">
            <v>364323.25449999998</v>
          </cell>
          <cell r="AR1621">
            <v>369070.68190000003</v>
          </cell>
          <cell r="AS1621">
            <v>373835.57799999998</v>
          </cell>
          <cell r="AT1621">
            <v>378623.5699</v>
          </cell>
          <cell r="AU1621">
            <v>383443.59580000001</v>
          </cell>
          <cell r="AV1621">
            <v>388299.58299999998</v>
          </cell>
          <cell r="AW1621">
            <v>393194.97169999999</v>
          </cell>
          <cell r="AX1621">
            <v>398132.74349999998</v>
          </cell>
          <cell r="AY1621">
            <v>403115.40010000003</v>
          </cell>
          <cell r="AZ1621">
            <v>408166.79759999999</v>
          </cell>
          <cell r="BA1621">
            <v>413283.23979999998</v>
          </cell>
          <cell r="BB1621">
            <v>418461.72129999998</v>
          </cell>
          <cell r="BC1621">
            <v>423700.49369999999</v>
          </cell>
          <cell r="BD1621">
            <v>428998.77779999998</v>
          </cell>
          <cell r="BE1621">
            <v>520690.10560000001</v>
          </cell>
          <cell r="BF1621">
            <v>529771.0233</v>
          </cell>
          <cell r="BG1621">
            <v>538983.70779999997</v>
          </cell>
          <cell r="BH1621">
            <v>548329.81590000005</v>
          </cell>
          <cell r="BI1621">
            <v>557811.28489999997</v>
          </cell>
        </row>
        <row r="1624">
          <cell r="F1624">
            <v>2221.3875149999999</v>
          </cell>
          <cell r="G1624">
            <v>2223.7003020000002</v>
          </cell>
          <cell r="H1624">
            <v>2228.2104180000001</v>
          </cell>
          <cell r="I1624">
            <v>2234.5969919999998</v>
          </cell>
          <cell r="J1624">
            <v>2243.4352159999999</v>
          </cell>
          <cell r="K1624">
            <v>2254.9666980000002</v>
          </cell>
          <cell r="L1624">
            <v>2268.1607020000001</v>
          </cell>
          <cell r="M1624">
            <v>2283.0283880000002</v>
          </cell>
          <cell r="N1624">
            <v>2299.397301</v>
          </cell>
          <cell r="O1624">
            <v>2317.0024830000002</v>
          </cell>
          <cell r="P1624">
            <v>2334.4231249999998</v>
          </cell>
          <cell r="Q1624">
            <v>2355.0910570000001</v>
          </cell>
          <cell r="R1624">
            <v>2377.6509769999998</v>
          </cell>
          <cell r="S1624">
            <v>2401.4291819999999</v>
          </cell>
          <cell r="T1624">
            <v>2426.1435839999999</v>
          </cell>
          <cell r="U1624">
            <v>2451.658113</v>
          </cell>
          <cell r="V1624">
            <v>2477.7765840000002</v>
          </cell>
          <cell r="W1624">
            <v>2504.4859700000002</v>
          </cell>
          <cell r="X1624">
            <v>2531.7572610000002</v>
          </cell>
          <cell r="Y1624">
            <v>2559.5557199999998</v>
          </cell>
          <cell r="Z1624">
            <v>2586.7977620000001</v>
          </cell>
          <cell r="AA1624">
            <v>2614.8772330000002</v>
          </cell>
          <cell r="AB1624">
            <v>2643.6285790000002</v>
          </cell>
          <cell r="AC1624">
            <v>2672.9319260000002</v>
          </cell>
          <cell r="AD1624">
            <v>2702.7367370000002</v>
          </cell>
          <cell r="AE1624">
            <v>2730.017488</v>
          </cell>
          <cell r="AF1624">
            <v>2757.4486390000002</v>
          </cell>
          <cell r="AG1624">
            <v>2785.0614019999998</v>
          </cell>
          <cell r="AH1624">
            <v>2812.8266149999999</v>
          </cell>
          <cell r="AI1624">
            <v>2840.7658430000001</v>
          </cell>
          <cell r="AJ1624">
            <v>2868.9226100000001</v>
          </cell>
          <cell r="AK1624">
            <v>2897.3758429999998</v>
          </cell>
          <cell r="AL1624">
            <v>2926.152133</v>
          </cell>
          <cell r="AM1624">
            <v>2955.2786110000002</v>
          </cell>
          <cell r="AN1624">
            <v>2984.7788799999998</v>
          </cell>
          <cell r="AO1624">
            <v>3014.6721640000001</v>
          </cell>
          <cell r="AP1624">
            <v>3044.5681</v>
          </cell>
          <cell r="AQ1624">
            <v>3074.5755399999998</v>
          </cell>
          <cell r="AR1624">
            <v>3104.7841920000001</v>
          </cell>
          <cell r="AS1624">
            <v>3135.2513749999998</v>
          </cell>
          <cell r="AT1624">
            <v>3166.0179939999998</v>
          </cell>
          <cell r="AU1624">
            <v>3197.1685750000001</v>
          </cell>
          <cell r="AV1624">
            <v>3228.7067229999998</v>
          </cell>
          <cell r="AW1624">
            <v>3260.6451320000001</v>
          </cell>
          <cell r="AX1624">
            <v>3292.9993669999999</v>
          </cell>
          <cell r="AY1624">
            <v>3325.783876</v>
          </cell>
          <cell r="AZ1624">
            <v>3359.2592399999999</v>
          </cell>
          <cell r="BA1624">
            <v>3393.3294940000001</v>
          </cell>
          <cell r="BB1624">
            <v>3427.9537489999998</v>
          </cell>
          <cell r="BC1624">
            <v>3463.1205660000001</v>
          </cell>
          <cell r="BD1624">
            <v>3498.8290099999999</v>
          </cell>
          <cell r="BE1624">
            <v>4426.5473080000002</v>
          </cell>
          <cell r="BF1624">
            <v>4495.1861529999996</v>
          </cell>
          <cell r="BG1624">
            <v>4564.88544</v>
          </cell>
          <cell r="BH1624">
            <v>4635.66716</v>
          </cell>
          <cell r="BI1624">
            <v>4707.5559839999996</v>
          </cell>
        </row>
        <row r="1629">
          <cell r="F1629">
            <v>3605.3139620000002</v>
          </cell>
          <cell r="G1629">
            <v>3612.5619040000001</v>
          </cell>
          <cell r="H1629">
            <v>3621.2189629999998</v>
          </cell>
          <cell r="I1629">
            <v>3631.4423729999999</v>
          </cell>
          <cell r="J1629">
            <v>3644.716754</v>
          </cell>
          <cell r="K1629">
            <v>3661.8832969999999</v>
          </cell>
          <cell r="L1629">
            <v>3681.5835769999999</v>
          </cell>
          <cell r="M1629">
            <v>3703.5705830000002</v>
          </cell>
          <cell r="N1629">
            <v>3727.393716</v>
          </cell>
          <cell r="O1629">
            <v>3752.4128689999998</v>
          </cell>
          <cell r="P1629">
            <v>3777.6803570000002</v>
          </cell>
          <cell r="Q1629">
            <v>3804.9602129999998</v>
          </cell>
          <cell r="R1629">
            <v>3833.3057389999999</v>
          </cell>
          <cell r="S1629">
            <v>3862.2698019999998</v>
          </cell>
          <cell r="T1629">
            <v>3891.713522</v>
          </cell>
          <cell r="U1629">
            <v>3921.5929999999998</v>
          </cell>
          <cell r="V1629">
            <v>3951.7870330000001</v>
          </cell>
          <cell r="W1629">
            <v>3982.28856</v>
          </cell>
          <cell r="X1629">
            <v>4013.1121929999999</v>
          </cell>
          <cell r="Y1629">
            <v>4044.294684</v>
          </cell>
          <cell r="Z1629">
            <v>4074.2785210000002</v>
          </cell>
          <cell r="AA1629">
            <v>4105.1052470000004</v>
          </cell>
          <cell r="AB1629">
            <v>4136.8715199999997</v>
          </cell>
          <cell r="AC1629">
            <v>4169.510029</v>
          </cell>
          <cell r="AD1629">
            <v>4203.0085300000001</v>
          </cell>
          <cell r="AE1629">
            <v>4232.8435259999997</v>
          </cell>
          <cell r="AF1629">
            <v>4262.562062</v>
          </cell>
          <cell r="AG1629">
            <v>4292.7786070000002</v>
          </cell>
          <cell r="AH1629">
            <v>4323.6660110000003</v>
          </cell>
          <cell r="AI1629">
            <v>4355.3479010000001</v>
          </cell>
          <cell r="AJ1629">
            <v>4387.9434959999999</v>
          </cell>
          <cell r="AK1629">
            <v>4421.5856979999999</v>
          </cell>
          <cell r="AL1629">
            <v>4456.3668539999999</v>
          </cell>
          <cell r="AM1629">
            <v>4492.3568329999998</v>
          </cell>
          <cell r="AN1629">
            <v>4529.6028880000003</v>
          </cell>
          <cell r="AO1629">
            <v>4568.1346039999999</v>
          </cell>
          <cell r="AP1629">
            <v>4607.1172109999998</v>
          </cell>
          <cell r="AQ1629">
            <v>4646.7921150000002</v>
          </cell>
          <cell r="AR1629">
            <v>4687.3887580000001</v>
          </cell>
          <cell r="AS1629">
            <v>4729.0085900000004</v>
          </cell>
          <cell r="AT1629">
            <v>4771.6876510000002</v>
          </cell>
          <cell r="AU1629">
            <v>4815.4692219999997</v>
          </cell>
          <cell r="AV1629">
            <v>4860.3529840000001</v>
          </cell>
          <cell r="AW1629">
            <v>4906.3292419999998</v>
          </cell>
          <cell r="AX1629">
            <v>4953.3783489999996</v>
          </cell>
          <cell r="AY1629">
            <v>5001.4755709999999</v>
          </cell>
          <cell r="AZ1629">
            <v>5050.8066360000003</v>
          </cell>
          <cell r="BA1629">
            <v>5101.3313340000004</v>
          </cell>
          <cell r="BB1629">
            <v>5152.992827</v>
          </cell>
          <cell r="BC1629">
            <v>5205.7199490000003</v>
          </cell>
          <cell r="BD1629">
            <v>5259.4434259999998</v>
          </cell>
          <cell r="BE1629">
            <v>6403.448018</v>
          </cell>
          <cell r="BF1629">
            <v>6503.0164150000001</v>
          </cell>
          <cell r="BG1629">
            <v>6604.5586430000003</v>
          </cell>
          <cell r="BH1629">
            <v>6708.0768269999999</v>
          </cell>
          <cell r="BI1629">
            <v>6813.5759399999997</v>
          </cell>
        </row>
        <row r="1639">
          <cell r="F1639">
            <v>473222.20449999999</v>
          </cell>
          <cell r="G1639">
            <v>479535.71799999999</v>
          </cell>
          <cell r="H1639">
            <v>486404.21620000002</v>
          </cell>
          <cell r="I1639">
            <v>493756.32160000002</v>
          </cell>
          <cell r="J1639">
            <v>501524.69660000002</v>
          </cell>
          <cell r="K1639">
            <v>509663.84749999997</v>
          </cell>
          <cell r="L1639">
            <v>517948.18280000001</v>
          </cell>
          <cell r="M1639">
            <v>526410.65689999994</v>
          </cell>
          <cell r="N1639">
            <v>535078.52879999997</v>
          </cell>
          <cell r="O1639">
            <v>543968.3112</v>
          </cell>
          <cell r="P1639">
            <v>553440.23609999998</v>
          </cell>
          <cell r="Q1639">
            <v>563065.29269999999</v>
          </cell>
          <cell r="R1639">
            <v>572866.74780000001</v>
          </cell>
          <cell r="S1639">
            <v>582865.13520000002</v>
          </cell>
          <cell r="T1639">
            <v>593069.4804</v>
          </cell>
          <cell r="U1639">
            <v>603483.72750000004</v>
          </cell>
          <cell r="V1639">
            <v>614110.22360000003</v>
          </cell>
          <cell r="W1639">
            <v>624950.97450000001</v>
          </cell>
          <cell r="X1639">
            <v>636007.82849999995</v>
          </cell>
          <cell r="Y1639">
            <v>647282.27859999996</v>
          </cell>
          <cell r="Z1639">
            <v>658510.55299999996</v>
          </cell>
          <cell r="AA1639">
            <v>670018.11320000002</v>
          </cell>
          <cell r="AB1639">
            <v>681788.45440000005</v>
          </cell>
          <cell r="AC1639">
            <v>693804.71589999995</v>
          </cell>
          <cell r="AD1639">
            <v>706056.9031</v>
          </cell>
          <cell r="AE1639">
            <v>717765.83059999999</v>
          </cell>
          <cell r="AF1639">
            <v>729504.46380000003</v>
          </cell>
          <cell r="AG1639">
            <v>741298.69669999997</v>
          </cell>
          <cell r="AH1639">
            <v>753155.01020000002</v>
          </cell>
          <cell r="AI1639">
            <v>765081.60789999994</v>
          </cell>
          <cell r="AJ1639">
            <v>777086.3591</v>
          </cell>
          <cell r="AK1639">
            <v>789174.87</v>
          </cell>
          <cell r="AL1639">
            <v>801349.80110000004</v>
          </cell>
          <cell r="AM1639">
            <v>813611.05669999996</v>
          </cell>
          <cell r="AN1639">
            <v>825956.42440000002</v>
          </cell>
          <cell r="AO1639">
            <v>838382.36239999998</v>
          </cell>
          <cell r="AP1639">
            <v>850694.96979999996</v>
          </cell>
          <cell r="AQ1639">
            <v>862930.71739999996</v>
          </cell>
          <cell r="AR1639">
            <v>875116.26710000006</v>
          </cell>
          <cell r="AS1639">
            <v>887268.72759999998</v>
          </cell>
          <cell r="AT1639">
            <v>899400.95730000001</v>
          </cell>
          <cell r="AU1639">
            <v>911523.86580000003</v>
          </cell>
          <cell r="AV1639">
            <v>923647.1298</v>
          </cell>
          <cell r="AW1639">
            <v>935779.36780000001</v>
          </cell>
          <cell r="AX1639">
            <v>947928.24899999995</v>
          </cell>
          <cell r="AY1639">
            <v>960100.6888</v>
          </cell>
          <cell r="AZ1639">
            <v>972320.42859999998</v>
          </cell>
          <cell r="BA1639">
            <v>984590.03749999998</v>
          </cell>
          <cell r="BB1639">
            <v>996913.12549999997</v>
          </cell>
          <cell r="BC1639">
            <v>1009294.171</v>
          </cell>
          <cell r="BD1639">
            <v>1021738.414</v>
          </cell>
          <cell r="BE1639">
            <v>1178106.1470000001</v>
          </cell>
          <cell r="BF1639">
            <v>1199473.1200000001</v>
          </cell>
          <cell r="BG1639">
            <v>1221043.7919999999</v>
          </cell>
          <cell r="BH1639">
            <v>1242814.6680000001</v>
          </cell>
          <cell r="BI1639">
            <v>1264783.2679999999</v>
          </cell>
        </row>
        <row r="1640">
          <cell r="F1640">
            <v>4444.0176270000002</v>
          </cell>
          <cell r="G1640">
            <v>4488.0620580000004</v>
          </cell>
          <cell r="H1640">
            <v>4532.6467700000003</v>
          </cell>
          <cell r="I1640">
            <v>4582.2372619999996</v>
          </cell>
          <cell r="J1640">
            <v>4637.9010749999998</v>
          </cell>
          <cell r="K1640">
            <v>4699.4452170000004</v>
          </cell>
          <cell r="L1640">
            <v>4764.3885289999998</v>
          </cell>
          <cell r="M1640">
            <v>4832.4695449999999</v>
          </cell>
          <cell r="N1640">
            <v>4903.4569190000002</v>
          </cell>
          <cell r="O1640">
            <v>4977.1101099999996</v>
          </cell>
          <cell r="P1640">
            <v>5056.5187219999998</v>
          </cell>
          <cell r="Q1640">
            <v>5137.5110080000004</v>
          </cell>
          <cell r="R1640">
            <v>5219.9802659999996</v>
          </cell>
          <cell r="S1640">
            <v>5303.930257</v>
          </cell>
          <cell r="T1640">
            <v>5389.3211110000002</v>
          </cell>
          <cell r="U1640">
            <v>5476.1104580000001</v>
          </cell>
          <cell r="V1640">
            <v>5564.2748140000003</v>
          </cell>
          <cell r="W1640">
            <v>5653.8114859999996</v>
          </cell>
          <cell r="X1640">
            <v>5744.7326750000002</v>
          </cell>
          <cell r="Y1640">
            <v>5837.0585549999996</v>
          </cell>
          <cell r="Z1640">
            <v>5928.3355840000004</v>
          </cell>
          <cell r="AA1640">
            <v>6021.5515089999999</v>
          </cell>
          <cell r="AB1640">
            <v>6116.6896909999996</v>
          </cell>
          <cell r="AC1640">
            <v>6213.6633680000004</v>
          </cell>
          <cell r="AD1640">
            <v>6312.4292180000002</v>
          </cell>
          <cell r="AE1640">
            <v>6405.7649449999999</v>
          </cell>
          <cell r="AF1640">
            <v>6498.8306689999999</v>
          </cell>
          <cell r="AG1640">
            <v>6592.1205040000004</v>
          </cell>
          <cell r="AH1640">
            <v>6685.8917430000001</v>
          </cell>
          <cell r="AI1640">
            <v>6780.4005049999996</v>
          </cell>
          <cell r="AJ1640">
            <v>6875.8779519999998</v>
          </cell>
          <cell r="AK1640">
            <v>6972.5078350000003</v>
          </cell>
          <cell r="AL1640">
            <v>7070.4217200000003</v>
          </cell>
          <cell r="AM1640">
            <v>7169.7052439999998</v>
          </cell>
          <cell r="AN1640">
            <v>7270.4089180000001</v>
          </cell>
          <cell r="AO1640">
            <v>7372.5594639999999</v>
          </cell>
          <cell r="AP1640">
            <v>7474.4116610000001</v>
          </cell>
          <cell r="AQ1640">
            <v>7576.3010379999996</v>
          </cell>
          <cell r="AR1640">
            <v>7678.5395339999995</v>
          </cell>
          <cell r="AS1640">
            <v>7781.3699740000002</v>
          </cell>
          <cell r="AT1640">
            <v>7884.9984260000001</v>
          </cell>
          <cell r="AU1640">
            <v>7989.6052259999997</v>
          </cell>
          <cell r="AV1640">
            <v>8095.3451029999997</v>
          </cell>
          <cell r="AW1640">
            <v>8202.3458289999999</v>
          </cell>
          <cell r="AX1640">
            <v>8310.7088910000002</v>
          </cell>
          <cell r="AY1640">
            <v>8420.5122219999994</v>
          </cell>
          <cell r="AZ1640">
            <v>8531.9724750000005</v>
          </cell>
          <cell r="BA1640">
            <v>8645.1093600000004</v>
          </cell>
          <cell r="BB1640">
            <v>8759.9395199999999</v>
          </cell>
          <cell r="BC1640">
            <v>8876.4714619999995</v>
          </cell>
          <cell r="BD1640">
            <v>8994.7104469999995</v>
          </cell>
          <cell r="BE1640">
            <v>10203.664870000001</v>
          </cell>
          <cell r="BF1640">
            <v>10378.79773</v>
          </cell>
          <cell r="BG1640">
            <v>10556.48702</v>
          </cell>
          <cell r="BH1640">
            <v>10736.797769999999</v>
          </cell>
          <cell r="BI1640">
            <v>10919.79932</v>
          </cell>
        </row>
        <row r="1643">
          <cell r="F1643">
            <v>235100.95420000001</v>
          </cell>
          <cell r="G1643">
            <v>238344.5226</v>
          </cell>
          <cell r="H1643">
            <v>241920.59419999999</v>
          </cell>
          <cell r="I1643">
            <v>245745.02059999999</v>
          </cell>
          <cell r="J1643">
            <v>249762.5914</v>
          </cell>
          <cell r="K1643">
            <v>253946.9259</v>
          </cell>
          <cell r="L1643">
            <v>258201.81140000001</v>
          </cell>
          <cell r="M1643">
            <v>262543.01459999999</v>
          </cell>
          <cell r="N1643">
            <v>266988.00469999999</v>
          </cell>
          <cell r="O1643">
            <v>271550.33140000002</v>
          </cell>
          <cell r="P1643">
            <v>276394.68900000001</v>
          </cell>
          <cell r="Q1643">
            <v>281345.98479999998</v>
          </cell>
          <cell r="R1643">
            <v>286411.80930000002</v>
          </cell>
          <cell r="S1643">
            <v>291601.40600000002</v>
          </cell>
          <cell r="T1643">
            <v>296920.24190000002</v>
          </cell>
          <cell r="U1643">
            <v>302371.5025</v>
          </cell>
          <cell r="V1643">
            <v>307957.24550000002</v>
          </cell>
          <cell r="W1643">
            <v>313678.9595</v>
          </cell>
          <cell r="X1643">
            <v>319537.72519999999</v>
          </cell>
          <cell r="Y1643">
            <v>325534.18520000001</v>
          </cell>
          <cell r="Z1643">
            <v>331551.12560000003</v>
          </cell>
          <cell r="AA1643">
            <v>337724.21899999998</v>
          </cell>
          <cell r="AB1643">
            <v>344050.01890000002</v>
          </cell>
          <cell r="AC1643">
            <v>350521.8898</v>
          </cell>
          <cell r="AD1643">
            <v>357134.49540000001</v>
          </cell>
          <cell r="AE1643">
            <v>363540.1017</v>
          </cell>
          <cell r="AF1643">
            <v>369966.99890000001</v>
          </cell>
          <cell r="AG1643">
            <v>376427.0282</v>
          </cell>
          <cell r="AH1643">
            <v>382921.5368</v>
          </cell>
          <cell r="AI1643">
            <v>389450.804</v>
          </cell>
          <cell r="AJ1643">
            <v>396014.40879999998</v>
          </cell>
          <cell r="AK1643">
            <v>402610.96629999997</v>
          </cell>
          <cell r="AL1643">
            <v>409237.97979999997</v>
          </cell>
          <cell r="AM1643">
            <v>415891.91729999997</v>
          </cell>
          <cell r="AN1643">
            <v>422568.46039999998</v>
          </cell>
          <cell r="AO1643">
            <v>429262.83840000001</v>
          </cell>
          <cell r="AP1643">
            <v>435885.40120000002</v>
          </cell>
          <cell r="AQ1643">
            <v>442443.24699999997</v>
          </cell>
          <cell r="AR1643">
            <v>448942.93089999998</v>
          </cell>
          <cell r="AS1643">
            <v>455388.5552</v>
          </cell>
          <cell r="AT1643">
            <v>461783.05959999998</v>
          </cell>
          <cell r="AU1643">
            <v>468128.98590000003</v>
          </cell>
          <cell r="AV1643">
            <v>474428.79379999998</v>
          </cell>
          <cell r="AW1643">
            <v>480684.96189999999</v>
          </cell>
          <cell r="AX1643">
            <v>486900.03259999998</v>
          </cell>
          <cell r="AY1643">
            <v>493076.67249999999</v>
          </cell>
          <cell r="AZ1643">
            <v>499225.49550000002</v>
          </cell>
          <cell r="BA1643">
            <v>505348.59840000002</v>
          </cell>
          <cell r="BB1643">
            <v>511448.57020000002</v>
          </cell>
          <cell r="BC1643">
            <v>517528.63699999999</v>
          </cell>
          <cell r="BD1643">
            <v>523592.67509999999</v>
          </cell>
          <cell r="BE1643">
            <v>617696.26529999997</v>
          </cell>
          <cell r="BF1643">
            <v>629357.23699999996</v>
          </cell>
          <cell r="BG1643">
            <v>641083.97759999998</v>
          </cell>
          <cell r="BH1643">
            <v>652870.74470000004</v>
          </cell>
          <cell r="BI1643">
            <v>664712.53189999994</v>
          </cell>
        </row>
        <row r="1655">
          <cell r="F1655">
            <v>8024.1639029999997</v>
          </cell>
          <cell r="G1655">
            <v>8132.0422669999998</v>
          </cell>
          <cell r="H1655">
            <v>8248.5171609999998</v>
          </cell>
          <cell r="I1655">
            <v>8372.0966570000001</v>
          </cell>
          <cell r="J1655">
            <v>8501.6821060000002</v>
          </cell>
          <cell r="K1655">
            <v>8636.3994629999997</v>
          </cell>
          <cell r="L1655">
            <v>8771.2897630000007</v>
          </cell>
          <cell r="M1655">
            <v>8907.7087549999997</v>
          </cell>
          <cell r="N1655">
            <v>9046.1770909999996</v>
          </cell>
          <cell r="O1655">
            <v>9186.8322289999996</v>
          </cell>
          <cell r="P1655">
            <v>9337.1962430000003</v>
          </cell>
          <cell r="Q1655">
            <v>9486.3876650000002</v>
          </cell>
          <cell r="R1655">
            <v>9636.1222120000002</v>
          </cell>
          <cell r="S1655">
            <v>9787.2138730000006</v>
          </cell>
          <cell r="T1655">
            <v>9939.9767819999997</v>
          </cell>
          <cell r="U1655">
            <v>10094.56666</v>
          </cell>
          <cell r="V1655">
            <v>10251.10512</v>
          </cell>
          <cell r="W1655">
            <v>10409.71551</v>
          </cell>
          <cell r="X1655">
            <v>10570.5272</v>
          </cell>
          <cell r="Y1655">
            <v>10733.67079</v>
          </cell>
          <cell r="Z1655">
            <v>10893.636490000001</v>
          </cell>
          <cell r="AA1655">
            <v>11058.68102</v>
          </cell>
          <cell r="AB1655">
            <v>11227.617469999999</v>
          </cell>
          <cell r="AC1655">
            <v>11399.929700000001</v>
          </cell>
          <cell r="AD1655">
            <v>11575.47306</v>
          </cell>
          <cell r="AE1655">
            <v>11737.84527</v>
          </cell>
          <cell r="AF1655">
            <v>11902.896059999999</v>
          </cell>
          <cell r="AG1655">
            <v>12070.222540000001</v>
          </cell>
          <cell r="AH1655">
            <v>12239.661</v>
          </cell>
          <cell r="AI1655">
            <v>12411.33244</v>
          </cell>
          <cell r="AJ1655">
            <v>12585.427439999999</v>
          </cell>
          <cell r="AK1655">
            <v>12762.11658</v>
          </cell>
          <cell r="AL1655">
            <v>12941.522800000001</v>
          </cell>
          <cell r="AM1655">
            <v>13123.72055</v>
          </cell>
          <cell r="AN1655">
            <v>13308.745269999999</v>
          </cell>
          <cell r="AO1655">
            <v>13496.605729999999</v>
          </cell>
          <cell r="AP1655">
            <v>13683.2808</v>
          </cell>
          <cell r="AQ1655">
            <v>13870.48345</v>
          </cell>
          <cell r="AR1655">
            <v>14059.033009999999</v>
          </cell>
          <cell r="AS1655">
            <v>14249.329400000001</v>
          </cell>
          <cell r="AT1655">
            <v>14441.620199999999</v>
          </cell>
          <cell r="AU1655">
            <v>14636.091119999999</v>
          </cell>
          <cell r="AV1655">
            <v>14832.89234</v>
          </cell>
          <cell r="AW1655">
            <v>15032.145490000001</v>
          </cell>
          <cell r="AX1655">
            <v>15233.94686</v>
          </cell>
          <cell r="AY1655">
            <v>15438.37138</v>
          </cell>
          <cell r="AZ1655">
            <v>15645.845020000001</v>
          </cell>
          <cell r="BA1655">
            <v>15856.25864</v>
          </cell>
          <cell r="BB1655">
            <v>16069.578310000001</v>
          </cell>
          <cell r="BC1655">
            <v>16285.801589999999</v>
          </cell>
          <cell r="BD1655">
            <v>16504.938399999999</v>
          </cell>
          <cell r="BE1655">
            <v>18375.041580000001</v>
          </cell>
          <cell r="BF1655">
            <v>18700.720560000002</v>
          </cell>
          <cell r="BG1655">
            <v>19032.156940000001</v>
          </cell>
          <cell r="BH1655">
            <v>19369.446889999999</v>
          </cell>
          <cell r="BI1655">
            <v>19712.689709999999</v>
          </cell>
        </row>
        <row r="1660">
          <cell r="F1660">
            <v>219751.9693</v>
          </cell>
          <cell r="G1660">
            <v>222616.73790000001</v>
          </cell>
          <cell r="H1660">
            <v>225704.5876</v>
          </cell>
          <cell r="I1660">
            <v>229017.53779999999</v>
          </cell>
          <cell r="J1660">
            <v>232539.38310000001</v>
          </cell>
          <cell r="K1660">
            <v>236250.1574</v>
          </cell>
          <cell r="L1660">
            <v>240029.6177</v>
          </cell>
          <cell r="M1660">
            <v>243893.4762</v>
          </cell>
          <cell r="N1660">
            <v>247851.334</v>
          </cell>
          <cell r="O1660">
            <v>251906.64920000001</v>
          </cell>
          <cell r="P1660">
            <v>256240.83590000001</v>
          </cell>
          <cell r="Q1660">
            <v>260620.41329999999</v>
          </cell>
          <cell r="R1660">
            <v>265059.50229999999</v>
          </cell>
          <cell r="S1660">
            <v>269568.36979999999</v>
          </cell>
          <cell r="T1660">
            <v>274150.20850000001</v>
          </cell>
          <cell r="U1660">
            <v>278805.63020000001</v>
          </cell>
          <cell r="V1660">
            <v>283534.80050000001</v>
          </cell>
          <cell r="W1660">
            <v>288338.07860000001</v>
          </cell>
          <cell r="X1660">
            <v>293216.03649999999</v>
          </cell>
          <cell r="Y1660">
            <v>298169.30599999998</v>
          </cell>
          <cell r="Z1660">
            <v>303062.07120000001</v>
          </cell>
          <cell r="AA1660">
            <v>308069.12119999999</v>
          </cell>
          <cell r="AB1660">
            <v>313178.66519999999</v>
          </cell>
          <cell r="AC1660">
            <v>318381.2635</v>
          </cell>
          <cell r="AD1660">
            <v>323672.50180000003</v>
          </cell>
          <cell r="AE1660">
            <v>328652.71100000001</v>
          </cell>
          <cell r="AF1660">
            <v>333638.8849</v>
          </cell>
          <cell r="AG1660">
            <v>338644.32669999998</v>
          </cell>
          <cell r="AH1660">
            <v>343673.94640000002</v>
          </cell>
          <cell r="AI1660">
            <v>348735.15139999997</v>
          </cell>
          <cell r="AJ1660">
            <v>353835.6508</v>
          </cell>
          <cell r="AK1660">
            <v>358981.92969999998</v>
          </cell>
          <cell r="AL1660">
            <v>364178.76240000001</v>
          </cell>
          <cell r="AM1660">
            <v>369429.3248</v>
          </cell>
          <cell r="AN1660">
            <v>374735.5638</v>
          </cell>
          <cell r="AO1660">
            <v>380098.62239999999</v>
          </cell>
          <cell r="AP1660">
            <v>385421.92349999998</v>
          </cell>
          <cell r="AQ1660">
            <v>390732.23239999998</v>
          </cell>
          <cell r="AR1660">
            <v>396048.08360000001</v>
          </cell>
          <cell r="AS1660">
            <v>401381.58529999998</v>
          </cell>
          <cell r="AT1660">
            <v>406742.04149999999</v>
          </cell>
          <cell r="AU1660">
            <v>412137.33720000001</v>
          </cell>
          <cell r="AV1660">
            <v>417574.29239999998</v>
          </cell>
          <cell r="AW1660">
            <v>423058.72240000003</v>
          </cell>
          <cell r="AX1660">
            <v>428595.49579999998</v>
          </cell>
          <cell r="AY1660">
            <v>434188.66710000002</v>
          </cell>
          <cell r="AZ1660">
            <v>439850.54849999998</v>
          </cell>
          <cell r="BA1660">
            <v>445581.87439999997</v>
          </cell>
          <cell r="BB1660">
            <v>451383.82049999997</v>
          </cell>
          <cell r="BC1660">
            <v>457257.57059999998</v>
          </cell>
          <cell r="BD1660">
            <v>463204.34389999998</v>
          </cell>
          <cell r="BE1660">
            <v>521119.83889999997</v>
          </cell>
          <cell r="BF1660">
            <v>530169.70979999995</v>
          </cell>
          <cell r="BG1660">
            <v>539346.7709</v>
          </cell>
          <cell r="BH1660">
            <v>548653.06019999995</v>
          </cell>
          <cell r="BI1660">
            <v>558090.89249999996</v>
          </cell>
        </row>
        <row r="1663">
          <cell r="F1663">
            <v>2252.437441</v>
          </cell>
          <cell r="G1663">
            <v>2272.7715079999998</v>
          </cell>
          <cell r="H1663">
            <v>2289.9450120000001</v>
          </cell>
          <cell r="I1663">
            <v>2307.390758</v>
          </cell>
          <cell r="J1663">
            <v>2326.783179</v>
          </cell>
          <cell r="K1663">
            <v>2348.7159959999999</v>
          </cell>
          <cell r="L1663">
            <v>2372.272974</v>
          </cell>
          <cell r="M1663">
            <v>2397.497034</v>
          </cell>
          <cell r="N1663">
            <v>2424.2398410000001</v>
          </cell>
          <cell r="O1663">
            <v>2452.2855359999999</v>
          </cell>
          <cell r="P1663">
            <v>2483.0136830000001</v>
          </cell>
          <cell r="Q1663">
            <v>2514.1315129999998</v>
          </cell>
          <cell r="R1663">
            <v>2545.7482500000001</v>
          </cell>
          <cell r="S1663">
            <v>2577.9376160000002</v>
          </cell>
          <cell r="T1663">
            <v>2610.6974580000001</v>
          </cell>
          <cell r="U1663">
            <v>2644.0019010000001</v>
          </cell>
          <cell r="V1663">
            <v>2677.82503</v>
          </cell>
          <cell r="W1663">
            <v>2712.1478350000002</v>
          </cell>
          <cell r="X1663">
            <v>2746.9588140000001</v>
          </cell>
          <cell r="Y1663">
            <v>2782.25272</v>
          </cell>
          <cell r="Z1663">
            <v>2816.859246</v>
          </cell>
          <cell r="AA1663">
            <v>2852.3653439999998</v>
          </cell>
          <cell r="AB1663">
            <v>2888.605689</v>
          </cell>
          <cell r="AC1663">
            <v>2925.467173</v>
          </cell>
          <cell r="AD1663">
            <v>2962.910738</v>
          </cell>
          <cell r="AE1663">
            <v>2997.546531</v>
          </cell>
          <cell r="AF1663">
            <v>3032.3524750000001</v>
          </cell>
          <cell r="AG1663">
            <v>3067.383902</v>
          </cell>
          <cell r="AH1663">
            <v>3102.6169880000002</v>
          </cell>
          <cell r="AI1663">
            <v>3138.0768330000001</v>
          </cell>
          <cell r="AJ1663">
            <v>3173.8103409999999</v>
          </cell>
          <cell r="AK1663">
            <v>3209.867272</v>
          </cell>
          <cell r="AL1663">
            <v>3246.292038</v>
          </cell>
          <cell r="AM1663">
            <v>3283.1212169999999</v>
          </cell>
          <cell r="AN1663">
            <v>3320.3836209999999</v>
          </cell>
          <cell r="AO1663">
            <v>3358.1014129999999</v>
          </cell>
          <cell r="AP1663">
            <v>3395.473947</v>
          </cell>
          <cell r="AQ1663">
            <v>3432.7992220000001</v>
          </cell>
          <cell r="AR1663">
            <v>3470.253232</v>
          </cell>
          <cell r="AS1663">
            <v>3507.9270769999998</v>
          </cell>
          <cell r="AT1663">
            <v>3545.8782550000001</v>
          </cell>
          <cell r="AU1663">
            <v>3584.1513719999998</v>
          </cell>
          <cell r="AV1663">
            <v>3622.784533</v>
          </cell>
          <cell r="AW1663">
            <v>3661.8107810000001</v>
          </cell>
          <cell r="AX1663">
            <v>3701.258061</v>
          </cell>
          <cell r="AY1663">
            <v>3741.1482449999999</v>
          </cell>
          <cell r="AZ1663">
            <v>3781.565689</v>
          </cell>
          <cell r="BA1663">
            <v>3822.4931470000001</v>
          </cell>
          <cell r="BB1663">
            <v>3863.917242</v>
          </cell>
          <cell r="BC1663">
            <v>3905.859285</v>
          </cell>
          <cell r="BD1663">
            <v>3948.3491319999998</v>
          </cell>
          <cell r="BE1663">
            <v>4416.6468480000003</v>
          </cell>
          <cell r="BF1663">
            <v>4483.9938819999998</v>
          </cell>
          <cell r="BG1663">
            <v>4552.3246609999997</v>
          </cell>
          <cell r="BH1663">
            <v>4621.6617919999999</v>
          </cell>
          <cell r="BI1663">
            <v>4692.0295589999996</v>
          </cell>
        </row>
        <row r="1668">
          <cell r="F1668">
            <v>3648.662045</v>
          </cell>
          <cell r="G1668">
            <v>3681.5816500000001</v>
          </cell>
          <cell r="H1668">
            <v>3707.9254270000001</v>
          </cell>
          <cell r="I1668">
            <v>3732.0385390000001</v>
          </cell>
          <cell r="J1668">
            <v>3756.3557019999998</v>
          </cell>
          <cell r="K1668">
            <v>3782.2036250000001</v>
          </cell>
          <cell r="L1668">
            <v>3808.8024650000002</v>
          </cell>
          <cell r="M1668">
            <v>3836.4908</v>
          </cell>
          <cell r="N1668">
            <v>3865.3162649999999</v>
          </cell>
          <cell r="O1668">
            <v>3895.1027159999999</v>
          </cell>
          <cell r="P1668">
            <v>3927.9826189999999</v>
          </cell>
          <cell r="Q1668">
            <v>3960.864513</v>
          </cell>
          <cell r="R1668">
            <v>3993.5854760000002</v>
          </cell>
          <cell r="S1668">
            <v>4026.2776789999998</v>
          </cell>
          <cell r="T1668">
            <v>4059.0346300000001</v>
          </cell>
          <cell r="U1668">
            <v>4091.9157749999999</v>
          </cell>
          <cell r="V1668">
            <v>4124.9725820000003</v>
          </cell>
          <cell r="W1668">
            <v>4158.2615839999999</v>
          </cell>
          <cell r="X1668">
            <v>4191.84807</v>
          </cell>
          <cell r="Y1668">
            <v>4225.8053579999996</v>
          </cell>
          <cell r="Z1668">
            <v>4258.5247810000001</v>
          </cell>
          <cell r="AA1668">
            <v>4292.1750609999999</v>
          </cell>
          <cell r="AB1668">
            <v>4326.8575300000002</v>
          </cell>
          <cell r="AC1668">
            <v>4362.5023780000001</v>
          </cell>
          <cell r="AD1668">
            <v>4399.0929299999998</v>
          </cell>
          <cell r="AE1668">
            <v>4431.8610859999999</v>
          </cell>
          <cell r="AF1668">
            <v>4464.5008189999999</v>
          </cell>
          <cell r="AG1668">
            <v>4497.6148210000001</v>
          </cell>
          <cell r="AH1668">
            <v>4531.3573290000004</v>
          </cell>
          <cell r="AI1668">
            <v>4565.8427389999997</v>
          </cell>
          <cell r="AJ1668">
            <v>4601.1837379999997</v>
          </cell>
          <cell r="AK1668">
            <v>4637.4823280000001</v>
          </cell>
          <cell r="AL1668">
            <v>4674.8224010000004</v>
          </cell>
          <cell r="AM1668">
            <v>4713.2675730000001</v>
          </cell>
          <cell r="AN1668">
            <v>4752.8623699999998</v>
          </cell>
          <cell r="AO1668">
            <v>4793.6350549999997</v>
          </cell>
          <cell r="AP1668">
            <v>4834.4787070000002</v>
          </cell>
          <cell r="AQ1668">
            <v>4875.6542870000003</v>
          </cell>
          <cell r="AR1668">
            <v>4917.4267849999997</v>
          </cell>
          <cell r="AS1668">
            <v>4959.9606450000001</v>
          </cell>
          <cell r="AT1668">
            <v>5003.3593709999996</v>
          </cell>
          <cell r="AU1668">
            <v>5047.6949679999998</v>
          </cell>
          <cell r="AV1668">
            <v>5093.0215500000004</v>
          </cell>
          <cell r="AW1668">
            <v>5139.3814220000004</v>
          </cell>
          <cell r="AX1668">
            <v>5186.8067689999998</v>
          </cell>
          <cell r="AY1668">
            <v>5235.3173610000003</v>
          </cell>
          <cell r="AZ1668">
            <v>5285.0013609999996</v>
          </cell>
          <cell r="BA1668">
            <v>5335.7035249999999</v>
          </cell>
          <cell r="BB1668">
            <v>5387.2997880000003</v>
          </cell>
          <cell r="BC1668">
            <v>5439.831126</v>
          </cell>
          <cell r="BD1668">
            <v>5493.3967579999999</v>
          </cell>
          <cell r="BE1668">
            <v>6294.689676</v>
          </cell>
          <cell r="BF1668">
            <v>6382.6613719999996</v>
          </cell>
          <cell r="BG1668">
            <v>6472.0753290000002</v>
          </cell>
          <cell r="BH1668">
            <v>6562.95615</v>
          </cell>
          <cell r="BI1668">
            <v>6655.3246710000003</v>
          </cell>
        </row>
        <row r="1702">
          <cell r="F1702">
            <v>1197244.7919999999</v>
          </cell>
          <cell r="G1702">
            <v>1205729.852</v>
          </cell>
          <cell r="H1702">
            <v>1215674.5149999999</v>
          </cell>
          <cell r="I1702">
            <v>1227217.3500000001</v>
          </cell>
          <cell r="J1702">
            <v>1240292.446</v>
          </cell>
          <cell r="K1702">
            <v>1254831.4550000001</v>
          </cell>
          <cell r="L1702">
            <v>1270159.3840000001</v>
          </cell>
          <cell r="M1702">
            <v>1286330.696</v>
          </cell>
          <cell r="N1702">
            <v>1303327.726</v>
          </cell>
          <cell r="O1702">
            <v>1321092.8149999999</v>
          </cell>
          <cell r="P1702">
            <v>1340171.324</v>
          </cell>
          <cell r="Q1702">
            <v>1359774.858</v>
          </cell>
          <cell r="R1702">
            <v>1380063.4010000001</v>
          </cell>
          <cell r="S1702">
            <v>1401009.629</v>
          </cell>
          <cell r="T1702">
            <v>1422539.2439999999</v>
          </cell>
          <cell r="U1702">
            <v>1444571.5649999999</v>
          </cell>
          <cell r="V1702">
            <v>1467003.6</v>
          </cell>
          <cell r="W1702">
            <v>1489762.605</v>
          </cell>
          <cell r="X1702">
            <v>1512791.622</v>
          </cell>
          <cell r="Y1702">
            <v>1536043.612</v>
          </cell>
          <cell r="Z1702">
            <v>1558714.6850000001</v>
          </cell>
          <cell r="AA1702">
            <v>1581725.2009999999</v>
          </cell>
          <cell r="AB1702">
            <v>1605003.9040000001</v>
          </cell>
          <cell r="AC1702">
            <v>1628517.882</v>
          </cell>
          <cell r="AD1702">
            <v>1652243.6070000001</v>
          </cell>
          <cell r="AE1702">
            <v>1673951.9480000001</v>
          </cell>
          <cell r="AF1702">
            <v>1695336.898</v>
          </cell>
          <cell r="AG1702">
            <v>1716491.4569999999</v>
          </cell>
          <cell r="AH1702">
            <v>1737534.166</v>
          </cell>
          <cell r="AI1702">
            <v>1758573.175</v>
          </cell>
          <cell r="AJ1702">
            <v>1779695.2320000001</v>
          </cell>
          <cell r="AK1702">
            <v>1800972.662</v>
          </cell>
          <cell r="AL1702">
            <v>1822450.9890000001</v>
          </cell>
          <cell r="AM1702">
            <v>1844158.848</v>
          </cell>
          <cell r="AN1702">
            <v>1866114.912</v>
          </cell>
          <cell r="AO1702">
            <v>1888332.3640000001</v>
          </cell>
          <cell r="AP1702">
            <v>1910371.0109999999</v>
          </cell>
          <cell r="AQ1702">
            <v>1932367.9180000001</v>
          </cell>
          <cell r="AR1702">
            <v>1954405.5419999999</v>
          </cell>
          <cell r="AS1702">
            <v>1976553.8049999999</v>
          </cell>
          <cell r="AT1702">
            <v>1998877.4040000001</v>
          </cell>
          <cell r="AU1702">
            <v>2021446.45</v>
          </cell>
          <cell r="AV1702">
            <v>2044308.024</v>
          </cell>
          <cell r="AW1702">
            <v>2067493.7409999999</v>
          </cell>
          <cell r="AX1702">
            <v>2091024.3870000001</v>
          </cell>
          <cell r="AY1702">
            <v>2114912.9389999998</v>
          </cell>
          <cell r="AZ1702">
            <v>2139260.696</v>
          </cell>
          <cell r="BA1702">
            <v>2164062.7050000001</v>
          </cell>
          <cell r="BB1702">
            <v>2189301.0329999998</v>
          </cell>
          <cell r="BC1702">
            <v>2214957.6439999999</v>
          </cell>
          <cell r="BD1702">
            <v>2241018.6290000002</v>
          </cell>
          <cell r="BE1702">
            <v>2578303.1260000002</v>
          </cell>
          <cell r="BF1702">
            <v>2616559.395</v>
          </cell>
          <cell r="BG1702">
            <v>2655344.5720000002</v>
          </cell>
          <cell r="BH1702">
            <v>2694674.9</v>
          </cell>
          <cell r="BI1702">
            <v>2734568.8939999999</v>
          </cell>
        </row>
        <row r="1731">
          <cell r="F1731">
            <v>1202984.926</v>
          </cell>
          <cell r="G1731">
            <v>1218429.125</v>
          </cell>
          <cell r="H1731">
            <v>1234998.9720000001</v>
          </cell>
          <cell r="I1731">
            <v>1252452.5930000001</v>
          </cell>
          <cell r="J1731">
            <v>1270716.763</v>
          </cell>
          <cell r="K1731">
            <v>1289816.5049999999</v>
          </cell>
          <cell r="L1731">
            <v>1309182.9140000001</v>
          </cell>
          <cell r="M1731">
            <v>1328965.3359999999</v>
          </cell>
          <cell r="N1731">
            <v>1349231.845</v>
          </cell>
          <cell r="O1731">
            <v>1370000.6510000001</v>
          </cell>
          <cell r="P1731">
            <v>1392318.794</v>
          </cell>
          <cell r="Q1731">
            <v>1414841.2560000001</v>
          </cell>
          <cell r="R1731">
            <v>1437589.7560000001</v>
          </cell>
          <cell r="S1731">
            <v>1460541.0830000001</v>
          </cell>
          <cell r="T1731">
            <v>1483671.7139999999</v>
          </cell>
          <cell r="U1731">
            <v>1506967.818</v>
          </cell>
          <cell r="V1731">
            <v>1530424.6529999999</v>
          </cell>
          <cell r="W1731">
            <v>1554043.49</v>
          </cell>
          <cell r="X1731">
            <v>1577828.804</v>
          </cell>
          <cell r="Y1731">
            <v>1601786.466</v>
          </cell>
          <cell r="Z1731">
            <v>1625133.1229999999</v>
          </cell>
          <cell r="AA1731">
            <v>1648849.0079999999</v>
          </cell>
          <cell r="AB1731">
            <v>1672897.05</v>
          </cell>
          <cell r="AC1731">
            <v>1697269.878</v>
          </cell>
          <cell r="AD1731">
            <v>1721961.953</v>
          </cell>
          <cell r="AE1731">
            <v>1744684.3259999999</v>
          </cell>
          <cell r="AF1731">
            <v>1767155.689</v>
          </cell>
          <cell r="AG1731">
            <v>1789481.3019999999</v>
          </cell>
          <cell r="AH1731">
            <v>1811794.179</v>
          </cell>
          <cell r="AI1731">
            <v>1834213.182</v>
          </cell>
          <cell r="AJ1731">
            <v>1856831.0490000001</v>
          </cell>
          <cell r="AK1731">
            <v>1879714.1880000001</v>
          </cell>
          <cell r="AL1731">
            <v>1902907.084</v>
          </cell>
          <cell r="AM1731">
            <v>1926438.023</v>
          </cell>
          <cell r="AN1731">
            <v>1950324.48</v>
          </cell>
          <cell r="AO1731">
            <v>1974577.466</v>
          </cell>
          <cell r="AP1731">
            <v>1998657.446</v>
          </cell>
          <cell r="AQ1731">
            <v>2022691.6580000001</v>
          </cell>
          <cell r="AR1731">
            <v>2046778.5889999999</v>
          </cell>
          <cell r="AS1731">
            <v>2071007.237</v>
          </cell>
          <cell r="AT1731">
            <v>2095457.1950000001</v>
          </cell>
          <cell r="AU1731">
            <v>2120195.8280000002</v>
          </cell>
          <cell r="AV1731">
            <v>2145276.804</v>
          </cell>
          <cell r="AW1731">
            <v>2170740.5219999999</v>
          </cell>
          <cell r="AX1731">
            <v>2196615.8810000001</v>
          </cell>
          <cell r="AY1731">
            <v>2222922.696</v>
          </cell>
          <cell r="AZ1731">
            <v>2249723.2620000001</v>
          </cell>
          <cell r="BA1731">
            <v>2277015.77</v>
          </cell>
          <cell r="BB1731">
            <v>2304798.35</v>
          </cell>
          <cell r="BC1731">
            <v>2333068.1290000002</v>
          </cell>
          <cell r="BD1731">
            <v>2361822.0070000002</v>
          </cell>
          <cell r="BE1731">
            <v>2577085.8969999999</v>
          </cell>
          <cell r="BF1731">
            <v>2615222.8059999999</v>
          </cell>
          <cell r="BG1731">
            <v>2653889.335</v>
          </cell>
          <cell r="BH1731">
            <v>2693104.4959999998</v>
          </cell>
          <cell r="BI1731">
            <v>2732888.68</v>
          </cell>
        </row>
        <row r="1760">
          <cell r="F1760">
            <v>0.99843787709999998</v>
          </cell>
          <cell r="G1760">
            <v>1.015194299</v>
          </cell>
          <cell r="H1760">
            <v>1.0315084640000001</v>
          </cell>
          <cell r="I1760">
            <v>1.0479982619999999</v>
          </cell>
          <cell r="J1760">
            <v>1.065039617</v>
          </cell>
          <cell r="K1760">
            <v>1.082831887</v>
          </cell>
          <cell r="L1760">
            <v>1.101439584</v>
          </cell>
          <cell r="M1760">
            <v>1.1208894540000001</v>
          </cell>
          <cell r="N1760">
            <v>1.141194673</v>
          </cell>
          <cell r="O1760">
            <v>1.1623620610000001</v>
          </cell>
          <cell r="P1760">
            <v>1.184277303</v>
          </cell>
          <cell r="Q1760">
            <v>1.2071368629999999</v>
          </cell>
          <cell r="R1760">
            <v>1.231004679</v>
          </cell>
          <cell r="S1760">
            <v>1.2558823400000001</v>
          </cell>
          <cell r="T1760">
            <v>1.2817417879999999</v>
          </cell>
          <cell r="U1760">
            <v>1.3085426360000001</v>
          </cell>
          <cell r="V1760">
            <v>1.3362494949999999</v>
          </cell>
          <cell r="W1760">
            <v>1.364810504</v>
          </cell>
          <cell r="X1760">
            <v>1.3941758769999999</v>
          </cell>
          <cell r="Y1760">
            <v>1.4242987140000001</v>
          </cell>
          <cell r="Z1760">
            <v>1.4550925690000001</v>
          </cell>
          <cell r="AA1760">
            <v>1.486538066</v>
          </cell>
          <cell r="AB1760">
            <v>1.518609739</v>
          </cell>
          <cell r="AC1760">
            <v>1.551280607</v>
          </cell>
          <cell r="AD1760">
            <v>1.584526052</v>
          </cell>
          <cell r="AE1760">
            <v>1.618200442</v>
          </cell>
          <cell r="AF1760">
            <v>1.6522844459999999</v>
          </cell>
          <cell r="AG1760">
            <v>1.6867756840000001</v>
          </cell>
          <cell r="AH1760">
            <v>1.721674717</v>
          </cell>
          <cell r="AI1760">
            <v>1.7569863990000001</v>
          </cell>
          <cell r="AJ1760">
            <v>1.792721644</v>
          </cell>
          <cell r="AK1760">
            <v>1.828893989</v>
          </cell>
          <cell r="AL1760">
            <v>1.8655298229999999</v>
          </cell>
          <cell r="AM1760">
            <v>1.90266018</v>
          </cell>
          <cell r="AN1760">
            <v>1.940319202</v>
          </cell>
          <cell r="AO1760">
            <v>1.978542958</v>
          </cell>
          <cell r="AP1760">
            <v>2.0172925080000002</v>
          </cell>
          <cell r="AQ1760">
            <v>2.0566132349999999</v>
          </cell>
          <cell r="AR1760">
            <v>2.0965534049999999</v>
          </cell>
          <cell r="AS1760">
            <v>2.1371571810000001</v>
          </cell>
          <cell r="AT1760">
            <v>2.1784637419999999</v>
          </cell>
          <cell r="AU1760">
            <v>2.2205006219999999</v>
          </cell>
          <cell r="AV1760">
            <v>2.2633061830000001</v>
          </cell>
          <cell r="AW1760">
            <v>2.3069169879999998</v>
          </cell>
          <cell r="AX1760">
            <v>2.351367711</v>
          </cell>
          <cell r="AY1760">
            <v>2.396691294</v>
          </cell>
          <cell r="AZ1760">
            <v>2.442890529</v>
          </cell>
          <cell r="BA1760">
            <v>2.4900144160000002</v>
          </cell>
          <cell r="BB1760">
            <v>2.538106151</v>
          </cell>
          <cell r="BC1760">
            <v>2.587201774</v>
          </cell>
          <cell r="BD1760">
            <v>2.6373312919999998</v>
          </cell>
          <cell r="BE1760">
            <v>2.807915903</v>
          </cell>
          <cell r="BF1760">
            <v>2.8628385230000002</v>
          </cell>
          <cell r="BG1760">
            <v>2.9186834789999998</v>
          </cell>
          <cell r="BH1760">
            <v>2.9754758730000002</v>
          </cell>
          <cell r="BI1760">
            <v>3.0332420710000001</v>
          </cell>
        </row>
        <row r="1789">
          <cell r="F1789">
            <v>0.99928330850000002</v>
          </cell>
          <cell r="G1789">
            <v>1.017989158</v>
          </cell>
          <cell r="H1789">
            <v>1.036837593</v>
          </cell>
          <cell r="I1789">
            <v>1.056122352</v>
          </cell>
          <cell r="J1789">
            <v>1.0760451769999999</v>
          </cell>
          <cell r="K1789">
            <v>1.0967217010000001</v>
          </cell>
          <cell r="L1789">
            <v>1.118178039</v>
          </cell>
          <cell r="M1789">
            <v>1.1404204389999999</v>
          </cell>
          <cell r="N1789">
            <v>1.163445136</v>
          </cell>
          <cell r="O1789">
            <v>1.1872427350000001</v>
          </cell>
          <cell r="P1789">
            <v>1.211853488</v>
          </cell>
          <cell r="Q1789">
            <v>1.2372341600000001</v>
          </cell>
          <cell r="R1789">
            <v>1.2633510699999999</v>
          </cell>
          <cell r="S1789">
            <v>1.290175216</v>
          </cell>
          <cell r="T1789">
            <v>1.3176784210000001</v>
          </cell>
          <cell r="U1789">
            <v>1.3458319910000001</v>
          </cell>
          <cell r="V1789">
            <v>1.3746071550000001</v>
          </cell>
          <cell r="W1789">
            <v>1.403976232</v>
          </cell>
          <cell r="X1789">
            <v>1.4339138469999999</v>
          </cell>
          <cell r="Y1789">
            <v>1.464397886</v>
          </cell>
          <cell r="Z1789">
            <v>1.4953689400000001</v>
          </cell>
          <cell r="AA1789">
            <v>1.526832296</v>
          </cell>
          <cell r="AB1789">
            <v>1.5587890310000001</v>
          </cell>
          <cell r="AC1789">
            <v>1.5912391029999999</v>
          </cell>
          <cell r="AD1789">
            <v>1.6241844649999999</v>
          </cell>
          <cell r="AE1789">
            <v>1.657508985</v>
          </cell>
          <cell r="AF1789">
            <v>1.691219611</v>
          </cell>
          <cell r="AG1789">
            <v>1.7253282350000001</v>
          </cell>
          <cell r="AH1789">
            <v>1.7598483110000001</v>
          </cell>
          <cell r="AI1789">
            <v>1.794796778</v>
          </cell>
          <cell r="AJ1789">
            <v>1.830195534</v>
          </cell>
          <cell r="AK1789">
            <v>1.8660716129999999</v>
          </cell>
          <cell r="AL1789">
            <v>1.902456366</v>
          </cell>
          <cell r="AM1789">
            <v>1.9393841890000001</v>
          </cell>
          <cell r="AN1789">
            <v>1.976891205</v>
          </cell>
          <cell r="AO1789">
            <v>2.01501412</v>
          </cell>
          <cell r="AP1789">
            <v>2.0537577520000001</v>
          </cell>
          <cell r="AQ1789">
            <v>2.0931402050000001</v>
          </cell>
          <cell r="AR1789">
            <v>2.1331864679999999</v>
          </cell>
          <cell r="AS1789">
            <v>2.1739241690000002</v>
          </cell>
          <cell r="AT1789">
            <v>2.215381931</v>
          </cell>
          <cell r="AU1789">
            <v>2.2575890250000001</v>
          </cell>
          <cell r="AV1789">
            <v>2.3005753819999999</v>
          </cell>
          <cell r="AW1789">
            <v>2.34437155</v>
          </cell>
          <cell r="AX1789">
            <v>2.389008493</v>
          </cell>
          <cell r="AY1789">
            <v>2.4345172960000001</v>
          </cell>
          <cell r="AZ1789">
            <v>2.4809319909999998</v>
          </cell>
          <cell r="BA1789">
            <v>2.528284787</v>
          </cell>
          <cell r="BB1789">
            <v>2.5766066049999998</v>
          </cell>
          <cell r="BC1789">
            <v>2.6259271050000002</v>
          </cell>
          <cell r="BD1789">
            <v>2.676274705</v>
          </cell>
          <cell r="BE1789">
            <v>2.7865971890000001</v>
          </cell>
          <cell r="BF1789">
            <v>2.8403224690000002</v>
          </cell>
          <cell r="BG1789">
            <v>2.894939376</v>
          </cell>
          <cell r="BH1789">
            <v>2.950470615</v>
          </cell>
          <cell r="BI1789">
            <v>3.0069409239999998</v>
          </cell>
        </row>
      </sheetData>
      <sheetData sheetId="7"/>
      <sheetData sheetId="8">
        <row r="820">
          <cell r="B820">
            <v>350.5914343</v>
          </cell>
          <cell r="C820">
            <v>352.95918829999999</v>
          </cell>
          <cell r="D820">
            <v>355.1013524</v>
          </cell>
          <cell r="E820">
            <v>357.50077909999999</v>
          </cell>
          <cell r="F820">
            <v>360.28418240000002</v>
          </cell>
          <cell r="G820">
            <v>363.50913209999999</v>
          </cell>
          <cell r="H820">
            <v>366.97360429999998</v>
          </cell>
          <cell r="I820">
            <v>370.70665639999999</v>
          </cell>
          <cell r="J820">
            <v>374.66677679999998</v>
          </cell>
          <cell r="K820">
            <v>378.8064996</v>
          </cell>
          <cell r="L820">
            <v>383.39145619999999</v>
          </cell>
          <cell r="M820">
            <v>387.92491530000001</v>
          </cell>
          <cell r="N820">
            <v>392.50193359999997</v>
          </cell>
          <cell r="O820">
            <v>397.13402430000002</v>
          </cell>
          <cell r="P820">
            <v>401.81830129999997</v>
          </cell>
          <cell r="Q820">
            <v>406.5509735</v>
          </cell>
          <cell r="R820">
            <v>411.32977260000001</v>
          </cell>
          <cell r="S820">
            <v>416.15408650000001</v>
          </cell>
          <cell r="T820">
            <v>421.02463849999998</v>
          </cell>
          <cell r="U820">
            <v>425.94312500000001</v>
          </cell>
          <cell r="V820">
            <v>430.68878210000003</v>
          </cell>
          <cell r="W820">
            <v>435.60816010000002</v>
          </cell>
          <cell r="X820">
            <v>440.61967620000001</v>
          </cell>
          <cell r="Y820">
            <v>445.7078927</v>
          </cell>
          <cell r="Z820">
            <v>450.87080839999999</v>
          </cell>
          <cell r="AA820">
            <v>455.46838910000002</v>
          </cell>
          <cell r="AB820">
            <v>460.18464970000002</v>
          </cell>
          <cell r="AC820">
            <v>464.93809160000001</v>
          </cell>
          <cell r="AD820">
            <v>469.72401280000003</v>
          </cell>
          <cell r="AE820">
            <v>474.5509515</v>
          </cell>
          <cell r="AF820">
            <v>479.42876669999998</v>
          </cell>
          <cell r="AG820">
            <v>484.3659571</v>
          </cell>
          <cell r="AH820">
            <v>489.36906750000003</v>
          </cell>
          <cell r="AI820">
            <v>494.4427627</v>
          </cell>
          <cell r="AJ820">
            <v>499.59011659999999</v>
          </cell>
          <cell r="AK820">
            <v>504.81296229999998</v>
          </cell>
          <cell r="AL820">
            <v>509.95921290000001</v>
          </cell>
          <cell r="AM820">
            <v>515.11030549999998</v>
          </cell>
          <cell r="AN820">
            <v>520.28988370000002</v>
          </cell>
          <cell r="AO820">
            <v>525.50918569999999</v>
          </cell>
          <cell r="AP820">
            <v>530.77613710000003</v>
          </cell>
          <cell r="AQ820">
            <v>536.09717880000005</v>
          </cell>
          <cell r="AR820">
            <v>541.4776018</v>
          </cell>
          <cell r="AS820">
            <v>546.92157950000001</v>
          </cell>
          <cell r="AT820">
            <v>552.43208700000002</v>
          </cell>
          <cell r="AU820">
            <v>558.01046180000003</v>
          </cell>
          <cell r="AV820">
            <v>563.66744830000005</v>
          </cell>
          <cell r="AW820">
            <v>569.39277979999997</v>
          </cell>
          <cell r="AX820">
            <v>575.17943979999995</v>
          </cell>
          <cell r="AY820">
            <v>581.0392329</v>
          </cell>
          <cell r="AZ820">
            <v>586.98229470000001</v>
          </cell>
          <cell r="BA820">
            <v>639.6781585</v>
          </cell>
          <cell r="BB820">
            <v>648.44547050000006</v>
          </cell>
          <cell r="BC820">
            <v>657.34065229999999</v>
          </cell>
          <cell r="BD820">
            <v>666.36737129999995</v>
          </cell>
          <cell r="BE820">
            <v>675.52932920000001</v>
          </cell>
        </row>
        <row r="821">
          <cell r="B821">
            <v>215.82068699999999</v>
          </cell>
          <cell r="C821">
            <v>218.20709239999999</v>
          </cell>
          <cell r="D821">
            <v>220.73455340000001</v>
          </cell>
          <cell r="E821">
            <v>223.4761981</v>
          </cell>
          <cell r="F821">
            <v>226.4608604</v>
          </cell>
          <cell r="G821">
            <v>229.68027960000001</v>
          </cell>
          <cell r="H821">
            <v>232.97611309999999</v>
          </cell>
          <cell r="I821">
            <v>236.39875269999999</v>
          </cell>
          <cell r="J821">
            <v>239.94219290000001</v>
          </cell>
          <cell r="K821">
            <v>243.59069729999999</v>
          </cell>
          <cell r="L821">
            <v>247.57081840000001</v>
          </cell>
          <cell r="M821">
            <v>251.49256969999999</v>
          </cell>
          <cell r="N821">
            <v>255.4435742</v>
          </cell>
          <cell r="O821">
            <v>259.43598700000001</v>
          </cell>
          <cell r="P821">
            <v>263.46891720000002</v>
          </cell>
          <cell r="Q821">
            <v>267.54049379999998</v>
          </cell>
          <cell r="R821">
            <v>271.6499872</v>
          </cell>
          <cell r="S821">
            <v>275.79793419999999</v>
          </cell>
          <cell r="T821">
            <v>279.98588940000002</v>
          </cell>
          <cell r="U821">
            <v>284.2161418</v>
          </cell>
          <cell r="V821">
            <v>288.31110210000003</v>
          </cell>
          <cell r="W821">
            <v>292.55461910000002</v>
          </cell>
          <cell r="X821">
            <v>296.87729560000002</v>
          </cell>
          <cell r="Y821">
            <v>301.26773639999999</v>
          </cell>
          <cell r="Z821">
            <v>305.72553870000002</v>
          </cell>
          <cell r="AA821">
            <v>309.73055269999998</v>
          </cell>
          <cell r="AB821">
            <v>313.84786489999999</v>
          </cell>
          <cell r="AC821">
            <v>318.00346380000002</v>
          </cell>
          <cell r="AD821">
            <v>322.19305939999998</v>
          </cell>
          <cell r="AE821">
            <v>326.42455890000002</v>
          </cell>
          <cell r="AF821">
            <v>330.70665539999999</v>
          </cell>
          <cell r="AG821">
            <v>335.04653589999998</v>
          </cell>
          <cell r="AH821">
            <v>339.44955859999999</v>
          </cell>
          <cell r="AI821">
            <v>343.91941480000003</v>
          </cell>
          <cell r="AJ821">
            <v>348.45841810000002</v>
          </cell>
          <cell r="AK821">
            <v>353.06781740000002</v>
          </cell>
          <cell r="AL821">
            <v>357.62179789999999</v>
          </cell>
          <cell r="AM821">
            <v>362.18903840000002</v>
          </cell>
          <cell r="AN821">
            <v>366.78795400000001</v>
          </cell>
          <cell r="AO821">
            <v>371.42693759999997</v>
          </cell>
          <cell r="AP821">
            <v>376.1120234</v>
          </cell>
          <cell r="AQ821">
            <v>380.84824420000001</v>
          </cell>
          <cell r="AR821">
            <v>385.63982429999999</v>
          </cell>
          <cell r="AS821">
            <v>390.49022960000002</v>
          </cell>
          <cell r="AT821">
            <v>395.40224910000001</v>
          </cell>
          <cell r="AU821">
            <v>400.37813569999997</v>
          </cell>
          <cell r="AV821">
            <v>405.43125170000002</v>
          </cell>
          <cell r="AW821">
            <v>410.55334010000001</v>
          </cell>
          <cell r="AX821">
            <v>415.74273340000002</v>
          </cell>
          <cell r="AY821">
            <v>421.00052570000003</v>
          </cell>
          <cell r="AZ821">
            <v>426.32828790000002</v>
          </cell>
          <cell r="BA821">
            <v>474.56909780000001</v>
          </cell>
          <cell r="BB821">
            <v>482.29074939999998</v>
          </cell>
          <cell r="BC821">
            <v>490.12448920000003</v>
          </cell>
          <cell r="BD821">
            <v>498.07311490000001</v>
          </cell>
          <cell r="BE821">
            <v>506.13955979999997</v>
          </cell>
        </row>
        <row r="822">
          <cell r="B822">
            <v>2.7572479300000001E-2</v>
          </cell>
          <cell r="C822">
            <v>2.7809588999999999E-2</v>
          </cell>
          <cell r="D822">
            <v>2.8093171900000002E-2</v>
          </cell>
          <cell r="E822">
            <v>2.84252342E-2</v>
          </cell>
          <cell r="F822">
            <v>2.8802333100000001E-2</v>
          </cell>
          <cell r="G822">
            <v>2.92177624E-2</v>
          </cell>
          <cell r="H822">
            <v>2.9647495199999999E-2</v>
          </cell>
          <cell r="I822">
            <v>3.0095369899999998E-2</v>
          </cell>
          <cell r="J822">
            <v>3.05588431E-2</v>
          </cell>
          <cell r="K822">
            <v>3.1035655400000001E-2</v>
          </cell>
          <cell r="L822">
            <v>3.1554350100000003E-2</v>
          </cell>
          <cell r="M822">
            <v>3.2066256500000001E-2</v>
          </cell>
          <cell r="N822">
            <v>3.2583339599999997E-2</v>
          </cell>
          <cell r="O822">
            <v>3.3105612600000001E-2</v>
          </cell>
          <cell r="P822">
            <v>3.3632771800000003E-2</v>
          </cell>
          <cell r="Q822">
            <v>3.4164703900000003E-2</v>
          </cell>
          <cell r="R822">
            <v>3.4701521200000002E-2</v>
          </cell>
          <cell r="S822">
            <v>3.5243499999999997E-2</v>
          </cell>
          <cell r="T822">
            <v>3.5791012499999997E-2</v>
          </cell>
          <cell r="U822">
            <v>3.6344476399999999E-2</v>
          </cell>
          <cell r="V822">
            <v>3.6881732899999999E-2</v>
          </cell>
          <cell r="W822">
            <v>3.7438228599999998E-2</v>
          </cell>
          <cell r="X822">
            <v>3.8004683599999999E-2</v>
          </cell>
          <cell r="Y822">
            <v>3.8580796700000003E-2</v>
          </cell>
          <cell r="Z822">
            <v>3.9166629100000003E-2</v>
          </cell>
          <cell r="AA822">
            <v>3.9696930900000003E-2</v>
          </cell>
          <cell r="AB822">
            <v>4.0241883399999998E-2</v>
          </cell>
          <cell r="AC822">
            <v>4.0790200800000002E-2</v>
          </cell>
          <cell r="AD822">
            <v>4.1343509799999997E-2</v>
          </cell>
          <cell r="AE822">
            <v>4.1903663700000003E-2</v>
          </cell>
          <cell r="AF822">
            <v>4.2472173699999997E-2</v>
          </cell>
          <cell r="AG822">
            <v>4.3050117999999998E-2</v>
          </cell>
          <cell r="AH822">
            <v>4.3638188100000003E-2</v>
          </cell>
          <cell r="AI822">
            <v>4.4236773899999998E-2</v>
          </cell>
          <cell r="AJ822">
            <v>4.4846051999999997E-2</v>
          </cell>
          <cell r="AK822">
            <v>4.5466062600000003E-2</v>
          </cell>
          <cell r="AL822">
            <v>4.6080918899999997E-2</v>
          </cell>
          <cell r="AM822">
            <v>4.66990979E-2</v>
          </cell>
          <cell r="AN822">
            <v>4.73223859E-2</v>
          </cell>
          <cell r="AO822">
            <v>4.7952115599999998E-2</v>
          </cell>
          <cell r="AP822">
            <v>4.8589435399999999E-2</v>
          </cell>
          <cell r="AQ822">
            <v>4.9235315199999997E-2</v>
          </cell>
          <cell r="AR822">
            <v>4.9890527699999999E-2</v>
          </cell>
          <cell r="AS822">
            <v>5.05556494E-2</v>
          </cell>
          <cell r="AT822">
            <v>5.1231084199999999E-2</v>
          </cell>
          <cell r="AU822">
            <v>5.1917100200000003E-2</v>
          </cell>
          <cell r="AV822">
            <v>5.26153273E-2</v>
          </cell>
          <cell r="AW822">
            <v>5.3325138199999997E-2</v>
          </cell>
          <cell r="AX822">
            <v>5.40464612E-2</v>
          </cell>
          <cell r="AY822">
            <v>5.4779132000000001E-2</v>
          </cell>
          <cell r="AZ822">
            <v>5.5522994999999999E-2</v>
          </cell>
          <cell r="BA822">
            <v>6.0566186100000002E-2</v>
          </cell>
          <cell r="BB822">
            <v>6.1565169099999997E-2</v>
          </cell>
          <cell r="BC822">
            <v>6.25808957E-2</v>
          </cell>
          <cell r="BD822">
            <v>6.3613768000000001E-2</v>
          </cell>
          <cell r="BE822">
            <v>6.4664205099999997E-2</v>
          </cell>
        </row>
        <row r="823">
          <cell r="B823">
            <v>15.25268883</v>
          </cell>
          <cell r="C823">
            <v>15.454644330000001</v>
          </cell>
          <cell r="D823">
            <v>15.675064730000001</v>
          </cell>
          <cell r="E823">
            <v>15.9100652</v>
          </cell>
          <cell r="F823">
            <v>16.1579342</v>
          </cell>
          <cell r="G823">
            <v>16.417116419999999</v>
          </cell>
          <cell r="H823">
            <v>16.676856900000001</v>
          </cell>
          <cell r="I823">
            <v>16.94149316</v>
          </cell>
          <cell r="J823">
            <v>17.211566120000001</v>
          </cell>
          <cell r="K823">
            <v>17.48707194</v>
          </cell>
          <cell r="L823">
            <v>17.784381929999999</v>
          </cell>
          <cell r="M823">
            <v>18.077374720000002</v>
          </cell>
          <cell r="N823">
            <v>18.37322627</v>
          </cell>
          <cell r="O823">
            <v>18.673209629999999</v>
          </cell>
          <cell r="P823">
            <v>18.97766871</v>
          </cell>
          <cell r="Q823">
            <v>19.286804249999999</v>
          </cell>
          <cell r="R823">
            <v>19.600809850000001</v>
          </cell>
          <cell r="S823">
            <v>19.919890710000001</v>
          </cell>
          <cell r="T823">
            <v>20.244256839999998</v>
          </cell>
          <cell r="U823">
            <v>20.574111680000001</v>
          </cell>
          <cell r="V823">
            <v>20.897386560000001</v>
          </cell>
          <cell r="W823">
            <v>21.23362461</v>
          </cell>
          <cell r="X823">
            <v>21.577612469999998</v>
          </cell>
          <cell r="Y823">
            <v>21.928512439999999</v>
          </cell>
          <cell r="Z823">
            <v>22.28616315</v>
          </cell>
          <cell r="AA823">
            <v>22.614994289999999</v>
          </cell>
          <cell r="AB823">
            <v>22.95414104</v>
          </cell>
          <cell r="AC823">
            <v>23.297610670000001</v>
          </cell>
          <cell r="AD823">
            <v>23.644914910000001</v>
          </cell>
          <cell r="AE823">
            <v>23.99631522</v>
          </cell>
          <cell r="AF823">
            <v>24.352098850000001</v>
          </cell>
          <cell r="AG823">
            <v>24.712459939999999</v>
          </cell>
          <cell r="AH823">
            <v>25.0774881</v>
          </cell>
          <cell r="AI823">
            <v>25.447183639999999</v>
          </cell>
          <cell r="AJ823">
            <v>25.821481070000001</v>
          </cell>
          <cell r="AK823">
            <v>26.200273589999998</v>
          </cell>
          <cell r="AL823">
            <v>26.574777990000001</v>
          </cell>
          <cell r="AM823">
            <v>26.949753439999999</v>
          </cell>
          <cell r="AN823">
            <v>27.326279509999999</v>
          </cell>
          <cell r="AO823">
            <v>27.70480779</v>
          </cell>
          <cell r="AP823">
            <v>28.085646669999999</v>
          </cell>
          <cell r="AQ823">
            <v>28.469045220000002</v>
          </cell>
          <cell r="AR823">
            <v>28.85520846</v>
          </cell>
          <cell r="AS823">
            <v>29.244301979999999</v>
          </cell>
          <cell r="AT823">
            <v>29.636457530000001</v>
          </cell>
          <cell r="AU823">
            <v>30.031781339999998</v>
          </cell>
          <cell r="AV823">
            <v>30.43115375</v>
          </cell>
          <cell r="AW823">
            <v>30.834215950000001</v>
          </cell>
          <cell r="AX823">
            <v>31.240946359999999</v>
          </cell>
          <cell r="AY823">
            <v>31.6513785</v>
          </cell>
          <cell r="AZ823">
            <v>32.065570880000003</v>
          </cell>
          <cell r="BA823">
            <v>35.991009220000002</v>
          </cell>
          <cell r="BB823">
            <v>36.627511069999997</v>
          </cell>
          <cell r="BC823">
            <v>37.272521689999998</v>
          </cell>
          <cell r="BD823">
            <v>37.926061699999998</v>
          </cell>
          <cell r="BE823">
            <v>38.588168609999997</v>
          </cell>
        </row>
        <row r="824">
          <cell r="B824">
            <v>119.490486</v>
          </cell>
          <cell r="C824">
            <v>119.269642</v>
          </cell>
          <cell r="D824">
            <v>118.66364110000001</v>
          </cell>
          <cell r="E824">
            <v>118.0860905</v>
          </cell>
          <cell r="F824">
            <v>117.6365855</v>
          </cell>
          <cell r="G824">
            <v>117.3825183</v>
          </cell>
          <cell r="H824">
            <v>117.2909868</v>
          </cell>
          <cell r="I824">
            <v>117.33631509999999</v>
          </cell>
          <cell r="J824">
            <v>117.4824589</v>
          </cell>
          <cell r="K824">
            <v>117.69769460000001</v>
          </cell>
          <cell r="L824">
            <v>118.0047015</v>
          </cell>
          <cell r="M824">
            <v>118.3229046</v>
          </cell>
          <cell r="N824">
            <v>118.6525498</v>
          </cell>
          <cell r="O824">
            <v>118.991722</v>
          </cell>
          <cell r="P824">
            <v>119.33808260000001</v>
          </cell>
          <cell r="Q824">
            <v>119.6895107</v>
          </cell>
          <cell r="R824">
            <v>120.044274</v>
          </cell>
          <cell r="S824">
            <v>120.4010181</v>
          </cell>
          <cell r="T824">
            <v>120.7587013</v>
          </cell>
          <cell r="U824">
            <v>121.116527</v>
          </cell>
          <cell r="V824">
            <v>121.44341180000001</v>
          </cell>
          <cell r="W824">
            <v>121.7824782</v>
          </cell>
          <cell r="X824">
            <v>122.1267635</v>
          </cell>
          <cell r="Y824">
            <v>122.473063</v>
          </cell>
          <cell r="Z824">
            <v>122.81994</v>
          </cell>
          <cell r="AA824">
            <v>123.0831451</v>
          </cell>
          <cell r="AB824">
            <v>123.3424019</v>
          </cell>
          <cell r="AC824">
            <v>123.596227</v>
          </cell>
          <cell r="AD824">
            <v>123.844695</v>
          </cell>
          <cell r="AE824">
            <v>124.0881737</v>
          </cell>
          <cell r="AF824">
            <v>124.3275402</v>
          </cell>
          <cell r="AG824">
            <v>124.5639111</v>
          </cell>
          <cell r="AH824">
            <v>124.7983826</v>
          </cell>
          <cell r="AI824">
            <v>125.03192749999999</v>
          </cell>
          <cell r="AJ824">
            <v>125.26537140000001</v>
          </cell>
          <cell r="AK824">
            <v>125.49940530000001</v>
          </cell>
          <cell r="AL824">
            <v>125.71655610000001</v>
          </cell>
          <cell r="AM824">
            <v>125.9248145</v>
          </cell>
          <cell r="AN824">
            <v>126.12832779999999</v>
          </cell>
          <cell r="AO824">
            <v>126.32948829999999</v>
          </cell>
          <cell r="AP824">
            <v>126.52987760000001</v>
          </cell>
          <cell r="AQ824">
            <v>126.730654</v>
          </cell>
          <cell r="AR824">
            <v>126.93267849999999</v>
          </cell>
          <cell r="AS824">
            <v>127.1364923</v>
          </cell>
          <cell r="AT824">
            <v>127.34214919999999</v>
          </cell>
          <cell r="AU824">
            <v>127.5486277</v>
          </cell>
          <cell r="AV824">
            <v>127.7524274</v>
          </cell>
          <cell r="AW824">
            <v>127.95189860000001</v>
          </cell>
          <cell r="AX824">
            <v>128.1417136</v>
          </cell>
          <cell r="AY824">
            <v>128.3325495</v>
          </cell>
          <cell r="AZ824">
            <v>128.53291300000001</v>
          </cell>
          <cell r="BA824">
            <v>129.0574852</v>
          </cell>
          <cell r="BB824">
            <v>129.4656449</v>
          </cell>
          <cell r="BC824">
            <v>129.88106049999999</v>
          </cell>
          <cell r="BD824">
            <v>130.30458100000001</v>
          </cell>
          <cell r="BE824">
            <v>130.73693650000001</v>
          </cell>
        </row>
        <row r="825">
          <cell r="B825">
            <v>347.39432770000002</v>
          </cell>
          <cell r="C825">
            <v>348.38399600000002</v>
          </cell>
          <cell r="D825">
            <v>349.35901200000001</v>
          </cell>
          <cell r="E825">
            <v>350.66368640000002</v>
          </cell>
          <cell r="F825">
            <v>352.4599096</v>
          </cell>
          <cell r="G825">
            <v>354.76237559999998</v>
          </cell>
          <cell r="H825">
            <v>357.34011939999999</v>
          </cell>
          <cell r="I825">
            <v>360.2059959</v>
          </cell>
          <cell r="J825">
            <v>363.30291549999998</v>
          </cell>
          <cell r="K825">
            <v>366.56002810000001</v>
          </cell>
          <cell r="L825">
            <v>369.88266540000001</v>
          </cell>
          <cell r="M825">
            <v>373.5652015</v>
          </cell>
          <cell r="N825">
            <v>377.38852659999998</v>
          </cell>
          <cell r="O825">
            <v>381.31355139999999</v>
          </cell>
          <cell r="P825">
            <v>385.32641360000002</v>
          </cell>
          <cell r="Q825">
            <v>389.41678109999998</v>
          </cell>
          <cell r="R825">
            <v>393.56457369999998</v>
          </cell>
          <cell r="S825">
            <v>397.76568850000001</v>
          </cell>
          <cell r="T825">
            <v>402.01519480000002</v>
          </cell>
          <cell r="U825">
            <v>406.30878589999998</v>
          </cell>
          <cell r="V825">
            <v>410.43165010000001</v>
          </cell>
          <cell r="W825">
            <v>414.70833249999998</v>
          </cell>
          <cell r="X825">
            <v>419.05979070000001</v>
          </cell>
          <cell r="Y825">
            <v>423.46940590000003</v>
          </cell>
          <cell r="Z825">
            <v>427.93424229999999</v>
          </cell>
          <cell r="AA825">
            <v>431.8495704</v>
          </cell>
          <cell r="AB825">
            <v>435.86451269999998</v>
          </cell>
          <cell r="AC825">
            <v>439.90454019999999</v>
          </cell>
          <cell r="AD825">
            <v>443.96628500000003</v>
          </cell>
          <cell r="AE825">
            <v>448.05964829999999</v>
          </cell>
          <cell r="AF825">
            <v>452.19570279999999</v>
          </cell>
          <cell r="AG825">
            <v>456.38669119999997</v>
          </cell>
          <cell r="AH825">
            <v>460.63916219999999</v>
          </cell>
          <cell r="AI825">
            <v>464.9581159</v>
          </cell>
          <cell r="AJ825">
            <v>469.34710639999997</v>
          </cell>
          <cell r="AK825">
            <v>473.80870069999997</v>
          </cell>
          <cell r="AL825">
            <v>478.22607410000001</v>
          </cell>
          <cell r="AM825">
            <v>482.6654522</v>
          </cell>
          <cell r="AN825">
            <v>487.1458523</v>
          </cell>
          <cell r="AO825">
            <v>491.6765929</v>
          </cell>
          <cell r="AP825">
            <v>496.26402400000001</v>
          </cell>
          <cell r="AQ825">
            <v>500.91689209999998</v>
          </cell>
          <cell r="AR825">
            <v>505.63733359999998</v>
          </cell>
          <cell r="AS825">
            <v>510.42739390000003</v>
          </cell>
          <cell r="AT825">
            <v>515.2886479</v>
          </cell>
          <cell r="AU825">
            <v>520.22211059999995</v>
          </cell>
          <cell r="AV825">
            <v>525.25475689999996</v>
          </cell>
          <cell r="AW825">
            <v>530.37521700000002</v>
          </cell>
          <cell r="AX825">
            <v>535.57967940000003</v>
          </cell>
          <cell r="AY825">
            <v>540.86645169999997</v>
          </cell>
          <cell r="AZ825">
            <v>546.23453070000005</v>
          </cell>
          <cell r="BA825">
            <v>638.12864630000001</v>
          </cell>
          <cell r="BB825">
            <v>646.94552759999999</v>
          </cell>
          <cell r="BC825">
            <v>655.8961663</v>
          </cell>
          <cell r="BD825">
            <v>664.98381870000003</v>
          </cell>
          <cell r="BE825">
            <v>674.21214689999999</v>
          </cell>
        </row>
        <row r="826">
          <cell r="B826">
            <v>212.7986037</v>
          </cell>
          <cell r="C826">
            <v>213.84844390000001</v>
          </cell>
          <cell r="D826">
            <v>215.34234979999999</v>
          </cell>
          <cell r="E826">
            <v>217.14503669999999</v>
          </cell>
          <cell r="F826">
            <v>219.27029680000001</v>
          </cell>
          <cell r="G826">
            <v>221.71241169999999</v>
          </cell>
          <cell r="H826">
            <v>224.30343010000001</v>
          </cell>
          <cell r="I826">
            <v>227.07637410000001</v>
          </cell>
          <cell r="J826">
            <v>230.0085254</v>
          </cell>
          <cell r="K826">
            <v>233.068871</v>
          </cell>
          <cell r="L826">
            <v>236.1368895</v>
          </cell>
          <cell r="M826">
            <v>239.5705993</v>
          </cell>
          <cell r="N826">
            <v>243.1400979</v>
          </cell>
          <cell r="O826">
            <v>246.7983989</v>
          </cell>
          <cell r="P826">
            <v>250.52725939999999</v>
          </cell>
          <cell r="Q826">
            <v>254.3135868</v>
          </cell>
          <cell r="R826">
            <v>258.14254690000001</v>
          </cell>
          <cell r="S826">
            <v>262.00666189999998</v>
          </cell>
          <cell r="T826">
            <v>265.90068609999997</v>
          </cell>
          <cell r="U826">
            <v>269.8213495</v>
          </cell>
          <cell r="V826">
            <v>273.5966646</v>
          </cell>
          <cell r="W826">
            <v>277.49166509999998</v>
          </cell>
          <cell r="X826">
            <v>281.4405749</v>
          </cell>
          <cell r="Y826">
            <v>285.4318882</v>
          </cell>
          <cell r="Z826">
            <v>289.46516860000003</v>
          </cell>
          <cell r="AA826">
            <v>293.05131849999998</v>
          </cell>
          <cell r="AB826">
            <v>296.72274420000002</v>
          </cell>
          <cell r="AC826">
            <v>300.41441680000003</v>
          </cell>
          <cell r="AD826">
            <v>304.12445860000003</v>
          </cell>
          <cell r="AE826">
            <v>307.8622292</v>
          </cell>
          <cell r="AF826">
            <v>311.63765890000002</v>
          </cell>
          <cell r="AG826">
            <v>315.46027120000002</v>
          </cell>
          <cell r="AH826">
            <v>319.33633809999998</v>
          </cell>
          <cell r="AI826">
            <v>323.27047970000001</v>
          </cell>
          <cell r="AJ826">
            <v>327.26590640000001</v>
          </cell>
          <cell r="AK826">
            <v>331.32464490000001</v>
          </cell>
          <cell r="AL826">
            <v>335.3415751</v>
          </cell>
          <cell r="AM826">
            <v>339.37807400000003</v>
          </cell>
          <cell r="AN826">
            <v>343.45099620000002</v>
          </cell>
          <cell r="AO826">
            <v>347.56800399999997</v>
          </cell>
          <cell r="AP826">
            <v>351.7339197</v>
          </cell>
          <cell r="AQ826">
            <v>355.95398599999999</v>
          </cell>
          <cell r="AR826">
            <v>360.23015450000003</v>
          </cell>
          <cell r="AS826">
            <v>364.56372640000001</v>
          </cell>
          <cell r="AT826">
            <v>368.95540569999997</v>
          </cell>
          <cell r="AU826">
            <v>373.40534689999998</v>
          </cell>
          <cell r="AV826">
            <v>377.93072610000002</v>
          </cell>
          <cell r="AW826">
            <v>382.524204</v>
          </cell>
          <cell r="AX826">
            <v>387.18314959999998</v>
          </cell>
          <cell r="AY826">
            <v>391.90597559999998</v>
          </cell>
          <cell r="AZ826">
            <v>396.69121460000002</v>
          </cell>
          <cell r="BA826">
            <v>475.66387520000001</v>
          </cell>
          <cell r="BB826">
            <v>483.47314180000001</v>
          </cell>
          <cell r="BC826">
            <v>491.39786800000002</v>
          </cell>
          <cell r="BD826">
            <v>499.44100100000003</v>
          </cell>
          <cell r="BE826">
            <v>507.60555479999999</v>
          </cell>
        </row>
        <row r="827">
          <cell r="B827">
            <v>2.7080309E-2</v>
          </cell>
          <cell r="C827">
            <v>2.7140754499999999E-2</v>
          </cell>
          <cell r="D827">
            <v>2.7276463099999999E-2</v>
          </cell>
          <cell r="E827">
            <v>2.7478323700000001E-2</v>
          </cell>
          <cell r="F827">
            <v>2.7738583099999999E-2</v>
          </cell>
          <cell r="G827">
            <v>2.8047606199999998E-2</v>
          </cell>
          <cell r="H827">
            <v>2.8378829099999999E-2</v>
          </cell>
          <cell r="I827">
            <v>2.87339377E-2</v>
          </cell>
          <cell r="J827">
            <v>2.9108509000000001E-2</v>
          </cell>
          <cell r="K827">
            <v>2.94987297E-2</v>
          </cell>
          <cell r="L827">
            <v>2.9890318200000002E-2</v>
          </cell>
          <cell r="M827">
            <v>3.0332158500000001E-2</v>
          </cell>
          <cell r="N827">
            <v>3.0786863800000001E-2</v>
          </cell>
          <cell r="O827">
            <v>3.1250801699999997E-2</v>
          </cell>
          <cell r="P827">
            <v>3.1722000700000003E-2</v>
          </cell>
          <cell r="Q827">
            <v>3.2199026899999997E-2</v>
          </cell>
          <cell r="R827">
            <v>3.2679117600000002E-2</v>
          </cell>
          <cell r="S827">
            <v>3.3162344099999998E-2</v>
          </cell>
          <cell r="T827">
            <v>3.3648268500000002E-2</v>
          </cell>
          <cell r="U827">
            <v>3.4136717099999998E-2</v>
          </cell>
          <cell r="V827">
            <v>3.4606660999999997E-2</v>
          </cell>
          <cell r="W827">
            <v>3.5090690899999999E-2</v>
          </cell>
          <cell r="X827">
            <v>3.5580259500000003E-2</v>
          </cell>
          <cell r="Y827">
            <v>3.6074965799999997E-2</v>
          </cell>
          <cell r="Z827">
            <v>3.6574833000000001E-2</v>
          </cell>
          <cell r="AA827">
            <v>3.7019761700000001E-2</v>
          </cell>
          <cell r="AB827">
            <v>3.7474841000000002E-2</v>
          </cell>
          <cell r="AC827">
            <v>3.7930032099999997E-2</v>
          </cell>
          <cell r="AD827">
            <v>3.8386954000000001E-2</v>
          </cell>
          <cell r="AE827">
            <v>3.8847381399999999E-2</v>
          </cell>
          <cell r="AF827">
            <v>3.9312775299999998E-2</v>
          </cell>
          <cell r="AG827">
            <v>3.9784702200000001E-2</v>
          </cell>
          <cell r="AH827">
            <v>4.0263635800000003E-2</v>
          </cell>
          <cell r="AI827">
            <v>4.0749977E-2</v>
          </cell>
          <cell r="AJ827">
            <v>4.12439047E-2</v>
          </cell>
          <cell r="AK827">
            <v>4.1745463400000002E-2</v>
          </cell>
          <cell r="AL827">
            <v>4.2245039700000001E-2</v>
          </cell>
          <cell r="AM827">
            <v>4.2747740999999999E-2</v>
          </cell>
          <cell r="AN827">
            <v>4.3254924399999999E-2</v>
          </cell>
          <cell r="AO827">
            <v>4.3767339099999997E-2</v>
          </cell>
          <cell r="AP827">
            <v>4.4285584199999999E-2</v>
          </cell>
          <cell r="AQ827">
            <v>4.4810980399999999E-2</v>
          </cell>
          <cell r="AR827">
            <v>4.5343573499999998E-2</v>
          </cell>
          <cell r="AS827">
            <v>4.5883623599999999E-2</v>
          </cell>
          <cell r="AT827">
            <v>4.6431250399999999E-2</v>
          </cell>
          <cell r="AU827">
            <v>4.6986483400000001E-2</v>
          </cell>
          <cell r="AV827">
            <v>4.7553424099999998E-2</v>
          </cell>
          <cell r="AW827">
            <v>4.8129969600000003E-2</v>
          </cell>
          <cell r="AX827">
            <v>4.8715666499999997E-2</v>
          </cell>
          <cell r="AY827">
            <v>4.9310009299999999E-2</v>
          </cell>
          <cell r="AZ827">
            <v>4.9912557400000002E-2</v>
          </cell>
          <cell r="BA827">
            <v>6.0330790299999999E-2</v>
          </cell>
          <cell r="BB827">
            <v>6.1318025399999997E-2</v>
          </cell>
          <cell r="BC827">
            <v>6.2321753899999999E-2</v>
          </cell>
          <cell r="BD827">
            <v>6.3342322300000004E-2</v>
          </cell>
          <cell r="BE827">
            <v>6.4380092700000002E-2</v>
          </cell>
        </row>
        <row r="828">
          <cell r="B828">
            <v>15.07815776</v>
          </cell>
          <cell r="C828">
            <v>15.20067755</v>
          </cell>
          <cell r="D828">
            <v>15.36531611</v>
          </cell>
          <cell r="E828">
            <v>15.553724839999999</v>
          </cell>
          <cell r="F828">
            <v>15.759707130000001</v>
          </cell>
          <cell r="G828">
            <v>15.979472380000001</v>
          </cell>
          <cell r="H828">
            <v>16.200833039999999</v>
          </cell>
          <cell r="I828">
            <v>16.42728705</v>
          </cell>
          <cell r="J828">
            <v>16.65879095</v>
          </cell>
          <cell r="K828">
            <v>16.894920089999999</v>
          </cell>
          <cell r="L828">
            <v>17.137010650000001</v>
          </cell>
          <cell r="M828">
            <v>17.39192899</v>
          </cell>
          <cell r="N828">
            <v>17.653716299999999</v>
          </cell>
          <cell r="O828">
            <v>17.920502070000001</v>
          </cell>
          <cell r="P828">
            <v>18.191578969999998</v>
          </cell>
          <cell r="Q828">
            <v>18.466667380000001</v>
          </cell>
          <cell r="R828">
            <v>18.744998389999999</v>
          </cell>
          <cell r="S828">
            <v>19.02700858</v>
          </cell>
          <cell r="T828">
            <v>19.312898860000001</v>
          </cell>
          <cell r="U828">
            <v>19.602853929999998</v>
          </cell>
          <cell r="V828">
            <v>19.885306409999998</v>
          </cell>
          <cell r="W828">
            <v>20.179127430000001</v>
          </cell>
          <cell r="X828">
            <v>20.47931887</v>
          </cell>
          <cell r="Y828">
            <v>20.785134899999999</v>
          </cell>
          <cell r="Z828">
            <v>21.096503290000001</v>
          </cell>
          <cell r="AA828">
            <v>21.37960108</v>
          </cell>
          <cell r="AB828">
            <v>21.672471130000002</v>
          </cell>
          <cell r="AC828">
            <v>21.96925658</v>
          </cell>
          <cell r="AD828">
            <v>22.269534360000002</v>
          </cell>
          <cell r="AE828">
            <v>22.573610599999999</v>
          </cell>
          <cell r="AF828">
            <v>22.881814559999999</v>
          </cell>
          <cell r="AG828">
            <v>23.194593309999998</v>
          </cell>
          <cell r="AH828">
            <v>23.51196629</v>
          </cell>
          <cell r="AI828">
            <v>23.83394638</v>
          </cell>
          <cell r="AJ828">
            <v>24.160488359999999</v>
          </cell>
          <cell r="AK828">
            <v>24.491501249999999</v>
          </cell>
          <cell r="AL828">
            <v>24.820700739999999</v>
          </cell>
          <cell r="AM828">
            <v>25.151519019999999</v>
          </cell>
          <cell r="AN828">
            <v>25.484684420000001</v>
          </cell>
          <cell r="AO828">
            <v>25.820440380000001</v>
          </cell>
          <cell r="AP828">
            <v>26.158921339999999</v>
          </cell>
          <cell r="AQ828">
            <v>26.500569540000001</v>
          </cell>
          <cell r="AR828">
            <v>26.845284249999999</v>
          </cell>
          <cell r="AS828">
            <v>27.193078530000001</v>
          </cell>
          <cell r="AT828">
            <v>27.54396376</v>
          </cell>
          <cell r="AU828">
            <v>27.897938029999999</v>
          </cell>
          <cell r="AV828">
            <v>28.256950109999998</v>
          </cell>
          <cell r="AW828">
            <v>28.619908949999999</v>
          </cell>
          <cell r="AX828">
            <v>28.986525060000002</v>
          </cell>
          <cell r="AY828">
            <v>29.35664937</v>
          </cell>
          <cell r="AZ828">
            <v>29.730187480000001</v>
          </cell>
          <cell r="BA828">
            <v>35.928563740000001</v>
          </cell>
          <cell r="BB828">
            <v>36.565780830000001</v>
          </cell>
          <cell r="BC828">
            <v>37.211903579999998</v>
          </cell>
          <cell r="BD828">
            <v>37.866942590000001</v>
          </cell>
          <cell r="BE828">
            <v>38.530919849999997</v>
          </cell>
        </row>
        <row r="829">
          <cell r="B829">
            <v>119.490486</v>
          </cell>
          <cell r="C829">
            <v>119.30773379999999</v>
          </cell>
          <cell r="D829">
            <v>118.6240696</v>
          </cell>
          <cell r="E829">
            <v>117.93744649999999</v>
          </cell>
          <cell r="F829">
            <v>117.4021671</v>
          </cell>
          <cell r="G829">
            <v>117.04244389999999</v>
          </cell>
          <cell r="H829">
            <v>116.8074774</v>
          </cell>
          <cell r="I829">
            <v>116.6736008</v>
          </cell>
          <cell r="J829">
            <v>116.60649069999999</v>
          </cell>
          <cell r="K829">
            <v>116.5667383</v>
          </cell>
          <cell r="L829">
            <v>116.5788749</v>
          </cell>
          <cell r="M829">
            <v>116.57234099999999</v>
          </cell>
          <cell r="N829">
            <v>116.5639255</v>
          </cell>
          <cell r="O829">
            <v>116.5633996</v>
          </cell>
          <cell r="P829">
            <v>116.5758532</v>
          </cell>
          <cell r="Q829">
            <v>116.6043279</v>
          </cell>
          <cell r="R829">
            <v>116.6443493</v>
          </cell>
          <cell r="S829">
            <v>116.6988557</v>
          </cell>
          <cell r="T829">
            <v>116.76796160000001</v>
          </cell>
          <cell r="U829">
            <v>116.85044569999999</v>
          </cell>
          <cell r="V829">
            <v>116.91507249999999</v>
          </cell>
          <cell r="W829">
            <v>117.0024492</v>
          </cell>
          <cell r="X829">
            <v>117.1043166</v>
          </cell>
          <cell r="Y829">
            <v>117.2163079</v>
          </cell>
          <cell r="Z829">
            <v>117.3359955</v>
          </cell>
          <cell r="AA829">
            <v>117.38163110000001</v>
          </cell>
          <cell r="AB829">
            <v>117.4318226</v>
          </cell>
          <cell r="AC829">
            <v>117.4829368</v>
          </cell>
          <cell r="AD829">
            <v>117.5339051</v>
          </cell>
          <cell r="AE829">
            <v>117.5849612</v>
          </cell>
          <cell r="AF829">
            <v>117.6369165</v>
          </cell>
          <cell r="AG829">
            <v>117.692042</v>
          </cell>
          <cell r="AH829">
            <v>117.75059419999999</v>
          </cell>
          <cell r="AI829">
            <v>117.8129398</v>
          </cell>
          <cell r="AJ829">
            <v>117.87946770000001</v>
          </cell>
          <cell r="AK829">
            <v>117.9508091</v>
          </cell>
          <cell r="AL829">
            <v>118.0215532</v>
          </cell>
          <cell r="AM829">
            <v>118.09311150000001</v>
          </cell>
          <cell r="AN829">
            <v>118.1669167</v>
          </cell>
          <cell r="AO829">
            <v>118.24438120000001</v>
          </cell>
          <cell r="AP829">
            <v>118.32689739999999</v>
          </cell>
          <cell r="AQ829">
            <v>118.4175256</v>
          </cell>
          <cell r="AR829">
            <v>118.51655119999999</v>
          </cell>
          <cell r="AS829">
            <v>118.6247054</v>
          </cell>
          <cell r="AT829">
            <v>118.7428472</v>
          </cell>
          <cell r="AU829">
            <v>118.8718392</v>
          </cell>
          <cell r="AV829">
            <v>119.01952729999999</v>
          </cell>
          <cell r="AW829">
            <v>119.1829741</v>
          </cell>
          <cell r="AX829">
            <v>119.36128909999999</v>
          </cell>
          <cell r="AY829">
            <v>119.5545168</v>
          </cell>
          <cell r="AZ829">
            <v>119.76321609999999</v>
          </cell>
          <cell r="BA829">
            <v>126.47587660000001</v>
          </cell>
          <cell r="BB829">
            <v>126.845287</v>
          </cell>
          <cell r="BC829">
            <v>127.2240729</v>
          </cell>
          <cell r="BD829">
            <v>127.6125328</v>
          </cell>
          <cell r="BE829">
            <v>128.01129209999999</v>
          </cell>
        </row>
        <row r="830">
          <cell r="A830" t="str">
            <v>ems_ci_co2_sagr_2</v>
          </cell>
          <cell r="B830">
            <v>14.086958360000001</v>
          </cell>
          <cell r="C830">
            <v>14.11936914</v>
          </cell>
          <cell r="D830">
            <v>14.184914389999999</v>
          </cell>
          <cell r="E830">
            <v>14.283964449999999</v>
          </cell>
          <cell r="F830">
            <v>14.41610906</v>
          </cell>
          <cell r="G830">
            <v>14.57856144</v>
          </cell>
          <cell r="H830">
            <v>14.759281980000001</v>
          </cell>
          <cell r="I830">
            <v>14.95735552</v>
          </cell>
          <cell r="J830">
            <v>15.170207980000001</v>
          </cell>
          <cell r="K830">
            <v>15.395271129999999</v>
          </cell>
          <cell r="L830">
            <v>15.624412510000001</v>
          </cell>
          <cell r="M830">
            <v>15.88222412</v>
          </cell>
          <cell r="N830">
            <v>16.152171639999999</v>
          </cell>
          <cell r="O830">
            <v>16.43053888</v>
          </cell>
          <cell r="P830">
            <v>16.715683089999999</v>
          </cell>
          <cell r="Q830">
            <v>17.006371130000002</v>
          </cell>
          <cell r="R830">
            <v>17.30257546</v>
          </cell>
          <cell r="S830">
            <v>17.602333770000001</v>
          </cell>
          <cell r="T830">
            <v>17.9049142</v>
          </cell>
          <cell r="U830">
            <v>18.209914479999998</v>
          </cell>
          <cell r="V830">
            <v>18.506618679999999</v>
          </cell>
          <cell r="W830">
            <v>18.809674179999998</v>
          </cell>
          <cell r="X830">
            <v>19.116569649999999</v>
          </cell>
          <cell r="Y830">
            <v>19.426800409999998</v>
          </cell>
          <cell r="Z830">
            <v>19.74032171</v>
          </cell>
          <cell r="AA830">
            <v>20.026807359999999</v>
          </cell>
          <cell r="AB830">
            <v>20.31401116</v>
          </cell>
          <cell r="AC830">
            <v>20.601137919999999</v>
          </cell>
          <cell r="AD830">
            <v>20.8889718</v>
          </cell>
          <cell r="AE830">
            <v>21.178590669999998</v>
          </cell>
          <cell r="AF830">
            <v>21.47096067</v>
          </cell>
          <cell r="AG830">
            <v>21.766534329999999</v>
          </cell>
          <cell r="AH830">
            <v>22.066250400000001</v>
          </cell>
          <cell r="AI830">
            <v>22.370558840000001</v>
          </cell>
          <cell r="AJ830">
            <v>22.679736859999998</v>
          </cell>
          <cell r="AK830">
            <v>22.99396166</v>
          </cell>
          <cell r="AL830">
            <v>23.303013140000001</v>
          </cell>
          <cell r="AM830">
            <v>23.61333252</v>
          </cell>
          <cell r="AN830">
            <v>23.92650905</v>
          </cell>
          <cell r="AO830">
            <v>24.24325151</v>
          </cell>
          <cell r="AP830">
            <v>24.56404942</v>
          </cell>
          <cell r="AQ830">
            <v>24.888774519999998</v>
          </cell>
          <cell r="AR830">
            <v>25.218324299999999</v>
          </cell>
          <cell r="AS830">
            <v>25.552978790000001</v>
          </cell>
          <cell r="AT830">
            <v>25.89286658</v>
          </cell>
          <cell r="AU830">
            <v>26.2380441</v>
          </cell>
          <cell r="AV830">
            <v>26.587339490000002</v>
          </cell>
          <cell r="AW830">
            <v>26.942635840000001</v>
          </cell>
          <cell r="AX830">
            <v>27.30402496</v>
          </cell>
          <cell r="AY830">
            <v>27.671346159999999</v>
          </cell>
          <cell r="AZ830">
            <v>28.044407679999999</v>
          </cell>
          <cell r="BA830">
            <v>32.314755179999999</v>
          </cell>
          <cell r="BB830">
            <v>32.851295200000003</v>
          </cell>
          <cell r="BC830">
            <v>33.39604851</v>
          </cell>
          <cell r="BD830">
            <v>33.949292190000001</v>
          </cell>
          <cell r="BE830">
            <v>34.511300030000001</v>
          </cell>
        </row>
        <row r="832">
          <cell r="A832" t="str">
            <v>ems_ci_co2_sfor_2</v>
          </cell>
          <cell r="B832">
            <v>0.58055811499999999</v>
          </cell>
          <cell r="C832">
            <v>0.58190051779999996</v>
          </cell>
          <cell r="D832">
            <v>0.57799062570000004</v>
          </cell>
          <cell r="E832">
            <v>0.57453861149999996</v>
          </cell>
          <cell r="F832">
            <v>0.57238366549999997</v>
          </cell>
          <cell r="G832">
            <v>0.57151829040000002</v>
          </cell>
          <cell r="H832">
            <v>0.5715455773</v>
          </cell>
          <cell r="I832">
            <v>0.57228250579999995</v>
          </cell>
          <cell r="J832">
            <v>0.57349786729999996</v>
          </cell>
          <cell r="K832">
            <v>0.57496891500000002</v>
          </cell>
          <cell r="L832">
            <v>0.57671641529999995</v>
          </cell>
          <cell r="M832">
            <v>0.57908168979999997</v>
          </cell>
          <cell r="N832">
            <v>0.58167307150000003</v>
          </cell>
          <cell r="O832">
            <v>0.58445407760000001</v>
          </cell>
          <cell r="P832">
            <v>0.58741218529999994</v>
          </cell>
          <cell r="Q832">
            <v>0.59052917449999998</v>
          </cell>
          <cell r="R832">
            <v>0.59396154229999998</v>
          </cell>
          <cell r="S832">
            <v>0.59751012130000003</v>
          </cell>
          <cell r="T832">
            <v>0.60115186730000003</v>
          </cell>
          <cell r="U832">
            <v>0.60488342269999995</v>
          </cell>
          <cell r="V832">
            <v>0.60842354219999994</v>
          </cell>
          <cell r="W832">
            <v>0.61218930969999996</v>
          </cell>
          <cell r="X832">
            <v>0.61611142900000004</v>
          </cell>
          <cell r="Y832">
            <v>0.62015496960000005</v>
          </cell>
          <cell r="Z832">
            <v>0.62430727109999995</v>
          </cell>
          <cell r="AA832">
            <v>0.62776669019999998</v>
          </cell>
          <cell r="AB832">
            <v>0.63126787829999997</v>
          </cell>
          <cell r="AC832">
            <v>0.63489005779999996</v>
          </cell>
          <cell r="AD832">
            <v>0.63862587339999999</v>
          </cell>
          <cell r="AE832">
            <v>0.64247095480000005</v>
          </cell>
          <cell r="AF832">
            <v>0.64642720279999999</v>
          </cell>
          <cell r="AG832">
            <v>0.65044709609999996</v>
          </cell>
          <cell r="AH832">
            <v>0.65458982450000003</v>
          </cell>
          <cell r="AI832">
            <v>0.65886457509999996</v>
          </cell>
          <cell r="AJ832">
            <v>0.66327503389999998</v>
          </cell>
          <cell r="AK832">
            <v>0.66782431019999999</v>
          </cell>
          <cell r="AL832">
            <v>0.67182732820000002</v>
          </cell>
          <cell r="AM832">
            <v>0.67588617299999998</v>
          </cell>
          <cell r="AN832">
            <v>0.68007745379999995</v>
          </cell>
          <cell r="AO832">
            <v>0.68440599160000004</v>
          </cell>
          <cell r="AP832">
            <v>0.68886806690000002</v>
          </cell>
          <cell r="AQ832">
            <v>0.69337553610000002</v>
          </cell>
          <cell r="AR832">
            <v>0.69801223170000004</v>
          </cell>
          <cell r="AS832">
            <v>0.70278365580000002</v>
          </cell>
          <cell r="AT832">
            <v>0.70768795630000003</v>
          </cell>
          <cell r="AU832">
            <v>0.71272387969999995</v>
          </cell>
          <cell r="AV832">
            <v>0.71760175169999996</v>
          </cell>
          <cell r="AW832">
            <v>0.72261837340000001</v>
          </cell>
          <cell r="AX832">
            <v>0.72779208370000004</v>
          </cell>
          <cell r="AY832">
            <v>0.73311444309999996</v>
          </cell>
          <cell r="AZ832">
            <v>0.73857924949999998</v>
          </cell>
          <cell r="BA832">
            <v>0.66328333900000003</v>
          </cell>
          <cell r="BB832">
            <v>0.66823135369999997</v>
          </cell>
          <cell r="BC832">
            <v>0.67327790379999997</v>
          </cell>
          <cell r="BD832">
            <v>0.67842593929999995</v>
          </cell>
          <cell r="BE832">
            <v>0.68367935170000005</v>
          </cell>
        </row>
        <row r="834">
          <cell r="A834" t="str">
            <v>ems_ci_co2_sfoo_2</v>
          </cell>
          <cell r="B834">
            <v>8.637597542</v>
          </cell>
          <cell r="C834">
            <v>8.6516803420000006</v>
          </cell>
          <cell r="D834">
            <v>8.6817220259999992</v>
          </cell>
          <cell r="E834">
            <v>8.7300432640000007</v>
          </cell>
          <cell r="F834">
            <v>8.7986901240000002</v>
          </cell>
          <cell r="G834">
            <v>8.8871173199999998</v>
          </cell>
          <cell r="H834">
            <v>8.9882074129999996</v>
          </cell>
          <cell r="I834">
            <v>9.1012058610000004</v>
          </cell>
          <cell r="J834">
            <v>9.2242098400000003</v>
          </cell>
          <cell r="K834">
            <v>9.3553468560000006</v>
          </cell>
          <cell r="L834">
            <v>9.4911745100000005</v>
          </cell>
          <cell r="M834">
            <v>9.6407718659999997</v>
          </cell>
          <cell r="N834">
            <v>9.7974633799999999</v>
          </cell>
          <cell r="O834">
            <v>9.9596691800000006</v>
          </cell>
          <cell r="P834">
            <v>10.12632088</v>
          </cell>
          <cell r="Q834">
            <v>10.29642922</v>
          </cell>
          <cell r="R834">
            <v>10.46872284</v>
          </cell>
          <cell r="S834">
            <v>10.64268991</v>
          </cell>
          <cell r="T834">
            <v>10.817787969999999</v>
          </cell>
          <cell r="U834">
            <v>10.99361648</v>
          </cell>
          <cell r="V834">
            <v>11.16366779</v>
          </cell>
          <cell r="W834">
            <v>11.33630651</v>
          </cell>
          <cell r="X834">
            <v>11.51015518</v>
          </cell>
          <cell r="Y834">
            <v>11.684960670000001</v>
          </cell>
          <cell r="Z834">
            <v>11.860704350000001</v>
          </cell>
          <cell r="AA834">
            <v>12.019420139999999</v>
          </cell>
          <cell r="AB834">
            <v>12.17732309</v>
          </cell>
          <cell r="AC834">
            <v>12.33362866</v>
          </cell>
          <cell r="AD834">
            <v>12.48893634</v>
          </cell>
          <cell r="AE834">
            <v>12.64403695</v>
          </cell>
          <cell r="AF834">
            <v>12.79963414</v>
          </cell>
          <cell r="AG834">
            <v>12.95641092</v>
          </cell>
          <cell r="AH834">
            <v>13.11474372</v>
          </cell>
          <cell r="AI834">
            <v>13.274957759999999</v>
          </cell>
          <cell r="AJ834">
            <v>13.437292940000001</v>
          </cell>
          <cell r="AK834">
            <v>13.601918489999999</v>
          </cell>
          <cell r="AL834">
            <v>13.76575517</v>
          </cell>
          <cell r="AM834">
            <v>13.929807889999999</v>
          </cell>
          <cell r="AN834">
            <v>14.09474309</v>
          </cell>
          <cell r="AO834">
            <v>14.261043880000001</v>
          </cell>
          <cell r="AP834">
            <v>14.42908815</v>
          </cell>
          <cell r="AQ834">
            <v>14.59935436</v>
          </cell>
          <cell r="AR834">
            <v>14.77196541</v>
          </cell>
          <cell r="AS834">
            <v>14.947071879999999</v>
          </cell>
          <cell r="AT834">
            <v>15.124771900000001</v>
          </cell>
          <cell r="AU834">
            <v>15.30511482</v>
          </cell>
          <cell r="AV834">
            <v>15.48915502</v>
          </cell>
          <cell r="AW834">
            <v>15.676403820000001</v>
          </cell>
          <cell r="AX834">
            <v>15.86676767</v>
          </cell>
          <cell r="AY834">
            <v>16.06016769</v>
          </cell>
          <cell r="AZ834">
            <v>16.256506160000001</v>
          </cell>
          <cell r="BA834">
            <v>19.880422360000001</v>
          </cell>
          <cell r="BB834">
            <v>20.200756160000001</v>
          </cell>
          <cell r="BC834">
            <v>20.52564692</v>
          </cell>
          <cell r="BD834">
            <v>20.855267479999998</v>
          </cell>
          <cell r="BE834">
            <v>21.189792629999999</v>
          </cell>
        </row>
        <row r="836">
          <cell r="A836" t="str">
            <v>ems_ci_co2_sveh_2</v>
          </cell>
          <cell r="B836">
            <v>1.083133532</v>
          </cell>
          <cell r="C836">
            <v>1.073841509</v>
          </cell>
          <cell r="D836">
            <v>1.068780909</v>
          </cell>
          <cell r="E836">
            <v>1.0673519339999999</v>
          </cell>
          <cell r="F836">
            <v>1.0712863100000001</v>
          </cell>
          <cell r="G836">
            <v>1.0811412520000001</v>
          </cell>
          <cell r="H836">
            <v>1.095301581</v>
          </cell>
          <cell r="I836">
            <v>1.1133230869999999</v>
          </cell>
          <cell r="J836">
            <v>1.1340997150000001</v>
          </cell>
          <cell r="K836">
            <v>1.1565855819999999</v>
          </cell>
          <cell r="L836">
            <v>1.1778139700000001</v>
          </cell>
          <cell r="M836">
            <v>1.2029335139999999</v>
          </cell>
          <cell r="N836">
            <v>1.228943648</v>
          </cell>
          <cell r="O836">
            <v>1.2551499310000001</v>
          </cell>
          <cell r="P836">
            <v>1.281017141</v>
          </cell>
          <cell r="Q836">
            <v>1.306029331</v>
          </cell>
          <cell r="R836">
            <v>1.329568995</v>
          </cell>
          <cell r="S836">
            <v>1.351424696</v>
          </cell>
          <cell r="T836">
            <v>1.371407418</v>
          </cell>
          <cell r="U836">
            <v>1.38944241</v>
          </cell>
          <cell r="V836">
            <v>1.404215623</v>
          </cell>
          <cell r="W836">
            <v>1.4180369479999999</v>
          </cell>
          <cell r="X836">
            <v>1.430366781</v>
          </cell>
          <cell r="Y836">
            <v>1.441327255</v>
          </cell>
          <cell r="Z836">
            <v>1.451129286</v>
          </cell>
          <cell r="AA836">
            <v>1.4562526339999999</v>
          </cell>
          <cell r="AB836">
            <v>1.4614159840000001</v>
          </cell>
          <cell r="AC836">
            <v>1.4659336519999999</v>
          </cell>
          <cell r="AD836">
            <v>1.4700118689999999</v>
          </cell>
          <cell r="AE836">
            <v>1.473935362</v>
          </cell>
          <cell r="AF836">
            <v>1.4779564329999999</v>
          </cell>
          <cell r="AG836">
            <v>1.482333694</v>
          </cell>
          <cell r="AH836">
            <v>1.4872081399999999</v>
          </cell>
          <cell r="AI836">
            <v>1.492715461</v>
          </cell>
          <cell r="AJ836">
            <v>1.498955743</v>
          </cell>
          <cell r="AK836">
            <v>1.5059925439999999</v>
          </cell>
          <cell r="AL836">
            <v>1.5134794380000001</v>
          </cell>
          <cell r="AM836">
            <v>1.5216738430000001</v>
          </cell>
          <cell r="AN836">
            <v>1.530675451</v>
          </cell>
          <cell r="AO836">
            <v>1.540517731</v>
          </cell>
          <cell r="AP836">
            <v>1.5511866160000001</v>
          </cell>
          <cell r="AQ836">
            <v>1.562708816</v>
          </cell>
          <cell r="AR836">
            <v>1.574981296</v>
          </cell>
          <cell r="AS836">
            <v>1.5879463469999999</v>
          </cell>
          <cell r="AT836">
            <v>1.6015471939999999</v>
          </cell>
          <cell r="AU836">
            <v>1.615724581</v>
          </cell>
          <cell r="AV836">
            <v>1.6307366510000001</v>
          </cell>
          <cell r="AW836">
            <v>1.646326033</v>
          </cell>
          <cell r="AX836">
            <v>1.6624475569999999</v>
          </cell>
          <cell r="AY836">
            <v>1.679058766</v>
          </cell>
          <cell r="AZ836">
            <v>1.6960988829999999</v>
          </cell>
          <cell r="BA836">
            <v>2.502649833</v>
          </cell>
          <cell r="BB836">
            <v>2.5424036750000001</v>
          </cell>
          <cell r="BC836">
            <v>2.5831347830000002</v>
          </cell>
          <cell r="BD836">
            <v>2.6249114059999998</v>
          </cell>
          <cell r="BE836">
            <v>2.6677897210000001</v>
          </cell>
        </row>
        <row r="838">
          <cell r="A838" t="str">
            <v>ems_ci_co2_sgla_2</v>
          </cell>
          <cell r="B838">
            <v>7.7180885359999998</v>
          </cell>
          <cell r="C838">
            <v>7.759410753</v>
          </cell>
          <cell r="D838">
            <v>7.8228849260000004</v>
          </cell>
          <cell r="E838">
            <v>7.8999798889999999</v>
          </cell>
          <cell r="F838">
            <v>7.9883231920000002</v>
          </cell>
          <cell r="G838">
            <v>8.0863352699999993</v>
          </cell>
          <cell r="H838">
            <v>8.1884848340000005</v>
          </cell>
          <cell r="I838">
            <v>8.2952488970000005</v>
          </cell>
          <cell r="J838">
            <v>8.4062009740000008</v>
          </cell>
          <cell r="K838">
            <v>8.5208121329999997</v>
          </cell>
          <cell r="L838">
            <v>8.6355983649999999</v>
          </cell>
          <cell r="M838">
            <v>8.7625923290000003</v>
          </cell>
          <cell r="N838">
            <v>8.894888109</v>
          </cell>
          <cell r="O838">
            <v>9.0308438679999998</v>
          </cell>
          <cell r="P838">
            <v>9.1698128160000003</v>
          </cell>
          <cell r="Q838">
            <v>9.3114292630000008</v>
          </cell>
          <cell r="R838">
            <v>9.4550350440000006</v>
          </cell>
          <cell r="S838">
            <v>9.6007642289999993</v>
          </cell>
          <cell r="T838">
            <v>9.7486028810000001</v>
          </cell>
          <cell r="U838">
            <v>9.8985521169999995</v>
          </cell>
          <cell r="V838">
            <v>10.04564877</v>
          </cell>
          <cell r="W838">
            <v>10.19703165</v>
          </cell>
          <cell r="X838">
            <v>10.351477859999999</v>
          </cell>
          <cell r="Y838">
            <v>10.50873322</v>
          </cell>
          <cell r="Z838">
            <v>10.66876581</v>
          </cell>
          <cell r="AA838">
            <v>10.81723635</v>
          </cell>
          <cell r="AB838">
            <v>10.96787061</v>
          </cell>
          <cell r="AC838">
            <v>11.119617440000001</v>
          </cell>
          <cell r="AD838">
            <v>11.272549209999999</v>
          </cell>
          <cell r="AE838">
            <v>11.42692452</v>
          </cell>
          <cell r="AF838">
            <v>11.58298746</v>
          </cell>
          <cell r="AG838">
            <v>11.741053539999999</v>
          </cell>
          <cell r="AH838">
            <v>11.90116971</v>
          </cell>
          <cell r="AI838">
            <v>12.06338766</v>
          </cell>
          <cell r="AJ838">
            <v>12.227719159999999</v>
          </cell>
          <cell r="AK838">
            <v>12.394139389999999</v>
          </cell>
          <cell r="AL838">
            <v>12.56037456</v>
          </cell>
          <cell r="AM838">
            <v>12.72698263</v>
          </cell>
          <cell r="AN838">
            <v>12.89427384</v>
          </cell>
          <cell r="AO838">
            <v>13.062419950000001</v>
          </cell>
          <cell r="AP838">
            <v>13.23152546</v>
          </cell>
          <cell r="AQ838">
            <v>13.40186714</v>
          </cell>
          <cell r="AR838">
            <v>13.57337003</v>
          </cell>
          <cell r="AS838">
            <v>13.746042149999999</v>
          </cell>
          <cell r="AT838">
            <v>13.91988972</v>
          </cell>
          <cell r="AU838">
            <v>14.09490768</v>
          </cell>
          <cell r="AV838">
            <v>14.27213562</v>
          </cell>
          <cell r="AW838">
            <v>14.450998630000001</v>
          </cell>
          <cell r="AX838">
            <v>14.631355689999999</v>
          </cell>
          <cell r="AY838">
            <v>14.81313587</v>
          </cell>
          <cell r="AZ838">
            <v>14.99628594</v>
          </cell>
          <cell r="BA838">
            <v>18.902690150000002</v>
          </cell>
          <cell r="BB838">
            <v>19.241249150000002</v>
          </cell>
          <cell r="BC838">
            <v>19.583814780000001</v>
          </cell>
          <cell r="BD838">
            <v>19.930375250000001</v>
          </cell>
          <cell r="BE838">
            <v>20.28092526</v>
          </cell>
        </row>
        <row r="840">
          <cell r="A840" t="str">
            <v>ems_ci_co2_spap_2</v>
          </cell>
          <cell r="B840">
            <v>2.501478471</v>
          </cell>
          <cell r="C840">
            <v>2.510049719</v>
          </cell>
          <cell r="D840">
            <v>2.5288050040000001</v>
          </cell>
          <cell r="E840">
            <v>2.5527094510000001</v>
          </cell>
          <cell r="F840">
            <v>2.580582927</v>
          </cell>
          <cell r="G840">
            <v>2.6117635350000001</v>
          </cell>
          <cell r="H840">
            <v>2.643916097</v>
          </cell>
          <cell r="I840">
            <v>2.6776028549999999</v>
          </cell>
          <cell r="J840">
            <v>2.7126562029999999</v>
          </cell>
          <cell r="K840">
            <v>2.7488155399999998</v>
          </cell>
          <cell r="L840">
            <v>2.7838939119999999</v>
          </cell>
          <cell r="M840">
            <v>2.8245603240000001</v>
          </cell>
          <cell r="N840">
            <v>2.866758999</v>
          </cell>
          <cell r="O840">
            <v>2.909723965</v>
          </cell>
          <cell r="P840">
            <v>2.953232002</v>
          </cell>
          <cell r="Q840">
            <v>2.997171195</v>
          </cell>
          <cell r="R840">
            <v>3.0412403979999998</v>
          </cell>
          <cell r="S840">
            <v>3.085559978</v>
          </cell>
          <cell r="T840">
            <v>3.130131746</v>
          </cell>
          <cell r="U840">
            <v>3.1749539090000001</v>
          </cell>
          <cell r="V840">
            <v>3.217926335</v>
          </cell>
          <cell r="W840">
            <v>3.2624655649999998</v>
          </cell>
          <cell r="X840">
            <v>3.307658644</v>
          </cell>
          <cell r="Y840">
            <v>3.3533508919999999</v>
          </cell>
          <cell r="Z840">
            <v>3.3995372740000001</v>
          </cell>
          <cell r="AA840">
            <v>3.4401956459999998</v>
          </cell>
          <cell r="AB840">
            <v>3.4823096570000001</v>
          </cell>
          <cell r="AC840">
            <v>3.5248327929999999</v>
          </cell>
          <cell r="AD840">
            <v>3.5676817779999999</v>
          </cell>
          <cell r="AE840">
            <v>3.61094435</v>
          </cell>
          <cell r="AF840">
            <v>3.654720685</v>
          </cell>
          <cell r="AG840">
            <v>3.6991600450000002</v>
          </cell>
          <cell r="AH840">
            <v>3.7442709270000001</v>
          </cell>
          <cell r="AI840">
            <v>3.7900819120000002</v>
          </cell>
          <cell r="AJ840">
            <v>3.8366109989999999</v>
          </cell>
          <cell r="AK840">
            <v>3.8838647979999998</v>
          </cell>
          <cell r="AL840">
            <v>3.9310514909999998</v>
          </cell>
          <cell r="AM840">
            <v>3.9785460349999999</v>
          </cell>
          <cell r="AN840">
            <v>4.026486953</v>
          </cell>
          <cell r="AO840">
            <v>4.0749413859999999</v>
          </cell>
          <cell r="AP840">
            <v>4.1239538769999999</v>
          </cell>
          <cell r="AQ840">
            <v>4.1736684200000003</v>
          </cell>
          <cell r="AR840">
            <v>4.2240311909999999</v>
          </cell>
          <cell r="AS840">
            <v>4.27504537</v>
          </cell>
          <cell r="AT840">
            <v>4.3267159059999996</v>
          </cell>
          <cell r="AU840">
            <v>4.3790427579999998</v>
          </cell>
          <cell r="AV840">
            <v>4.4325463049999998</v>
          </cell>
          <cell r="AW840">
            <v>4.4868622650000001</v>
          </cell>
          <cell r="AX840">
            <v>4.5419144200000003</v>
          </cell>
          <cell r="AY840">
            <v>4.5976718119999997</v>
          </cell>
          <cell r="AZ840">
            <v>4.6541122259999996</v>
          </cell>
          <cell r="BA840">
            <v>5.7686918350000003</v>
          </cell>
          <cell r="BB840">
            <v>5.8662594649999997</v>
          </cell>
          <cell r="BC840">
            <v>5.9654531390000001</v>
          </cell>
          <cell r="BD840">
            <v>6.0663068249999998</v>
          </cell>
          <cell r="BE840">
            <v>6.1688547480000002</v>
          </cell>
        </row>
        <row r="842">
          <cell r="A842" t="str">
            <v>ems_ci_co2_sche_2</v>
          </cell>
          <cell r="B842">
            <v>13.23538132</v>
          </cell>
          <cell r="C842">
            <v>13.29816973</v>
          </cell>
          <cell r="D842">
            <v>13.424616220000001</v>
          </cell>
          <cell r="E842">
            <v>13.574341970000001</v>
          </cell>
          <cell r="F842">
            <v>13.739790230000001</v>
          </cell>
          <cell r="G842">
            <v>13.91779824</v>
          </cell>
          <cell r="H842">
            <v>14.095008460000001</v>
          </cell>
          <cell r="I842">
            <v>14.277239059999999</v>
          </cell>
          <cell r="J842">
            <v>14.4640115</v>
          </cell>
          <cell r="K842">
            <v>14.65413766</v>
          </cell>
          <cell r="L842">
            <v>14.83024516</v>
          </cell>
          <cell r="M842">
            <v>15.044255769999999</v>
          </cell>
          <cell r="N842">
            <v>15.26501721</v>
          </cell>
          <cell r="O842">
            <v>15.487565500000001</v>
          </cell>
          <cell r="P842">
            <v>15.710871579999999</v>
          </cell>
          <cell r="Q842">
            <v>15.934624700000001</v>
          </cell>
          <cell r="R842">
            <v>16.157148729999999</v>
          </cell>
          <cell r="S842">
            <v>16.379763830000002</v>
          </cell>
          <cell r="T842">
            <v>16.602780469999999</v>
          </cell>
          <cell r="U842">
            <v>16.82643783</v>
          </cell>
          <cell r="V842">
            <v>17.038166870000001</v>
          </cell>
          <cell r="W842">
            <v>17.26075647</v>
          </cell>
          <cell r="X842">
            <v>17.486704419999999</v>
          </cell>
          <cell r="Y842">
            <v>17.715157909999999</v>
          </cell>
          <cell r="Z842">
            <v>17.946251050000001</v>
          </cell>
          <cell r="AA842">
            <v>18.143543430000001</v>
          </cell>
          <cell r="AB842">
            <v>18.354776380000001</v>
          </cell>
          <cell r="AC842">
            <v>18.569928390000001</v>
          </cell>
          <cell r="AD842">
            <v>18.78802619</v>
          </cell>
          <cell r="AE842">
            <v>19.009365119999998</v>
          </cell>
          <cell r="AF842">
            <v>19.234339569999999</v>
          </cell>
          <cell r="AG842">
            <v>19.463727859999999</v>
          </cell>
          <cell r="AH842">
            <v>19.69735442</v>
          </cell>
          <cell r="AI842">
            <v>19.93527302</v>
          </cell>
          <cell r="AJ842">
            <v>20.177502799999999</v>
          </cell>
          <cell r="AK842">
            <v>20.424011180000001</v>
          </cell>
          <cell r="AL842">
            <v>20.67046981</v>
          </cell>
          <cell r="AM842">
            <v>20.919561720000001</v>
          </cell>
          <cell r="AN842">
            <v>21.171866219999998</v>
          </cell>
          <cell r="AO842">
            <v>21.42756176</v>
          </cell>
          <cell r="AP842">
            <v>21.686734220000002</v>
          </cell>
          <cell r="AQ842">
            <v>21.950191319999998</v>
          </cell>
          <cell r="AR842">
            <v>22.217352389999999</v>
          </cell>
          <cell r="AS842">
            <v>22.48813431</v>
          </cell>
          <cell r="AT842">
            <v>22.762499170000002</v>
          </cell>
          <cell r="AU842">
            <v>23.040400040000002</v>
          </cell>
          <cell r="AV842">
            <v>23.325276689999999</v>
          </cell>
          <cell r="AW842">
            <v>23.61433448</v>
          </cell>
          <cell r="AX842">
            <v>23.907111910000001</v>
          </cell>
          <cell r="AY842">
            <v>24.20346524</v>
          </cell>
          <cell r="AZ842">
            <v>24.503301990000001</v>
          </cell>
          <cell r="BA842">
            <v>30.561713749999999</v>
          </cell>
          <cell r="BB842">
            <v>31.087305239999999</v>
          </cell>
          <cell r="BC842">
            <v>31.622493739999999</v>
          </cell>
          <cell r="BD842">
            <v>32.167449670000003</v>
          </cell>
          <cell r="BE842">
            <v>32.722338440000001</v>
          </cell>
        </row>
        <row r="844">
          <cell r="A844" t="str">
            <v>ems_ci_co2_spla_2</v>
          </cell>
          <cell r="B844">
            <v>1.4661717990000001</v>
          </cell>
          <cell r="C844">
            <v>1.470208001</v>
          </cell>
          <cell r="D844">
            <v>1.480896322</v>
          </cell>
          <cell r="E844">
            <v>1.4944467770000001</v>
          </cell>
          <cell r="F844">
            <v>1.5102561430000001</v>
          </cell>
          <cell r="G844">
            <v>1.5280759150000001</v>
          </cell>
          <cell r="H844">
            <v>1.5465369920000001</v>
          </cell>
          <cell r="I844">
            <v>1.566021661</v>
          </cell>
          <cell r="J844">
            <v>1.5863741609999999</v>
          </cell>
          <cell r="K844">
            <v>1.607369866</v>
          </cell>
          <cell r="L844">
            <v>1.627141516</v>
          </cell>
          <cell r="M844">
            <v>1.6508226349999999</v>
          </cell>
          <cell r="N844">
            <v>1.675446499</v>
          </cell>
          <cell r="O844">
            <v>1.700428372</v>
          </cell>
          <cell r="P844">
            <v>1.7255951890000001</v>
          </cell>
          <cell r="Q844">
            <v>1.7508585729999999</v>
          </cell>
          <cell r="R844">
            <v>1.776001406</v>
          </cell>
          <cell r="S844">
            <v>1.801111788</v>
          </cell>
          <cell r="T844">
            <v>1.8261972909999999</v>
          </cell>
          <cell r="U844">
            <v>1.8512674339999999</v>
          </cell>
          <cell r="V844">
            <v>1.8750598430000001</v>
          </cell>
          <cell r="W844">
            <v>1.8997322219999999</v>
          </cell>
          <cell r="X844">
            <v>1.9246797040000001</v>
          </cell>
          <cell r="Y844">
            <v>1.949823512</v>
          </cell>
          <cell r="Z844">
            <v>1.9751833029999999</v>
          </cell>
          <cell r="AA844">
            <v>1.99713067</v>
          </cell>
          <cell r="AB844">
            <v>2.0201032510000001</v>
          </cell>
          <cell r="AC844">
            <v>2.043353588</v>
          </cell>
          <cell r="AD844">
            <v>2.0668160000000002</v>
          </cell>
          <cell r="AE844">
            <v>2.0905420609999998</v>
          </cell>
          <cell r="AF844">
            <v>2.1145934510000002</v>
          </cell>
          <cell r="AG844">
            <v>2.139069117</v>
          </cell>
          <cell r="AH844">
            <v>2.163971815</v>
          </cell>
          <cell r="AI844">
            <v>2.1893210669999998</v>
          </cell>
          <cell r="AJ844">
            <v>2.2151292809999998</v>
          </cell>
          <cell r="AK844">
            <v>2.2413998550000001</v>
          </cell>
          <cell r="AL844">
            <v>2.2677132270000002</v>
          </cell>
          <cell r="AM844">
            <v>2.294279527</v>
          </cell>
          <cell r="AN844">
            <v>2.3211670820000001</v>
          </cell>
          <cell r="AO844">
            <v>2.348401924</v>
          </cell>
          <cell r="AP844">
            <v>2.3759943020000001</v>
          </cell>
          <cell r="AQ844">
            <v>2.4040231759999999</v>
          </cell>
          <cell r="AR844">
            <v>2.4324312699999999</v>
          </cell>
          <cell r="AS844">
            <v>2.4612061679999999</v>
          </cell>
          <cell r="AT844">
            <v>2.4903400050000002</v>
          </cell>
          <cell r="AU844">
            <v>2.519823707</v>
          </cell>
          <cell r="AV844">
            <v>2.5499968850000001</v>
          </cell>
          <cell r="AW844">
            <v>2.5806010540000002</v>
          </cell>
          <cell r="AX844">
            <v>2.6115859870000002</v>
          </cell>
          <cell r="AY844">
            <v>2.6429328999999999</v>
          </cell>
          <cell r="AZ844">
            <v>2.6746266040000002</v>
          </cell>
          <cell r="BA844">
            <v>3.4308599389999999</v>
          </cell>
          <cell r="BB844">
            <v>3.489882326</v>
          </cell>
          <cell r="BC844">
            <v>3.5498856779999999</v>
          </cell>
          <cell r="BD844">
            <v>3.6108895250000002</v>
          </cell>
          <cell r="BE844">
            <v>3.6729123210000001</v>
          </cell>
        </row>
        <row r="846">
          <cell r="A846" t="str">
            <v>ems_ci_co2_smet_2</v>
          </cell>
          <cell r="B846">
            <v>19.235773900000002</v>
          </cell>
          <cell r="C846">
            <v>19.328130229999999</v>
          </cell>
          <cell r="D846">
            <v>19.516894950000001</v>
          </cell>
          <cell r="E846">
            <v>19.73743314</v>
          </cell>
          <cell r="F846">
            <v>19.974615230000001</v>
          </cell>
          <cell r="G846">
            <v>20.224070449999999</v>
          </cell>
          <cell r="H846">
            <v>20.470271700000001</v>
          </cell>
          <cell r="I846">
            <v>20.72129005</v>
          </cell>
          <cell r="J846">
            <v>20.978288989999999</v>
          </cell>
          <cell r="K846">
            <v>21.24088253</v>
          </cell>
          <cell r="L846">
            <v>21.48650524</v>
          </cell>
          <cell r="M846">
            <v>21.78347655</v>
          </cell>
          <cell r="N846">
            <v>22.09405542</v>
          </cell>
          <cell r="O846">
            <v>22.41042504</v>
          </cell>
          <cell r="P846">
            <v>22.730731810000002</v>
          </cell>
          <cell r="Q846">
            <v>23.05447032</v>
          </cell>
          <cell r="R846">
            <v>23.37954491</v>
          </cell>
          <cell r="S846">
            <v>23.70765076</v>
          </cell>
          <cell r="T846">
            <v>24.03923657</v>
          </cell>
          <cell r="U846">
            <v>24.37455829</v>
          </cell>
          <cell r="V846">
            <v>24.697596269999998</v>
          </cell>
          <cell r="W846">
            <v>25.03580479</v>
          </cell>
          <cell r="X846">
            <v>25.38124041</v>
          </cell>
          <cell r="Y846">
            <v>25.732446960000001</v>
          </cell>
          <cell r="Z846">
            <v>26.089325949999999</v>
          </cell>
          <cell r="AA846">
            <v>26.405441280000002</v>
          </cell>
          <cell r="AB846">
            <v>26.73753215</v>
          </cell>
          <cell r="AC846">
            <v>27.075849059999999</v>
          </cell>
          <cell r="AD846">
            <v>27.418846510000002</v>
          </cell>
          <cell r="AE846">
            <v>27.766602580000001</v>
          </cell>
          <cell r="AF846">
            <v>28.119439759999999</v>
          </cell>
          <cell r="AG846">
            <v>28.478234350000001</v>
          </cell>
          <cell r="AH846">
            <v>28.84268982</v>
          </cell>
          <cell r="AI846">
            <v>29.212803019999999</v>
          </cell>
          <cell r="AJ846">
            <v>29.588554420000001</v>
          </cell>
          <cell r="AK846">
            <v>29.96986794</v>
          </cell>
          <cell r="AL846">
            <v>30.351158380000001</v>
          </cell>
          <cell r="AM846">
            <v>30.734931110000002</v>
          </cell>
          <cell r="AN846">
            <v>31.12200532</v>
          </cell>
          <cell r="AO846">
            <v>31.512710349999999</v>
          </cell>
          <cell r="AP846">
            <v>31.907210500000001</v>
          </cell>
          <cell r="AQ846">
            <v>32.306560400000002</v>
          </cell>
          <cell r="AR846">
            <v>32.710042459999997</v>
          </cell>
          <cell r="AS846">
            <v>33.117545919999998</v>
          </cell>
          <cell r="AT846">
            <v>33.529048500000002</v>
          </cell>
          <cell r="AU846">
            <v>33.94452484</v>
          </cell>
          <cell r="AV846">
            <v>34.368386510000001</v>
          </cell>
          <cell r="AW846">
            <v>34.797194380000001</v>
          </cell>
          <cell r="AX846">
            <v>35.230285330000001</v>
          </cell>
          <cell r="AY846">
            <v>35.667518510000001</v>
          </cell>
          <cell r="AZ846">
            <v>36.108850330000003</v>
          </cell>
          <cell r="BA846">
            <v>45.68449012</v>
          </cell>
          <cell r="BB846">
            <v>46.492077760000001</v>
          </cell>
          <cell r="BC846">
            <v>47.312222509999998</v>
          </cell>
          <cell r="BD846">
            <v>48.1450423</v>
          </cell>
          <cell r="BE846">
            <v>48.99065882</v>
          </cell>
        </row>
        <row r="848">
          <cell r="A848" t="str">
            <v>ems_ci_co2_sigo_2</v>
          </cell>
          <cell r="B848">
            <v>1.183527123</v>
          </cell>
          <cell r="C848">
            <v>1.188450805</v>
          </cell>
          <cell r="D848">
            <v>1.1985437480000001</v>
          </cell>
          <cell r="E848">
            <v>1.210071567</v>
          </cell>
          <cell r="F848">
            <v>1.2230450989999999</v>
          </cell>
          <cell r="G848">
            <v>1.237596151</v>
          </cell>
          <cell r="H848">
            <v>1.252562741</v>
          </cell>
          <cell r="I848">
            <v>1.2685333459999999</v>
          </cell>
          <cell r="J848">
            <v>1.285338635</v>
          </cell>
          <cell r="K848">
            <v>1.302734512</v>
          </cell>
          <cell r="L848">
            <v>1.3183566760000001</v>
          </cell>
          <cell r="M848">
            <v>1.338432896</v>
          </cell>
          <cell r="N848">
            <v>1.3593327209999999</v>
          </cell>
          <cell r="O848">
            <v>1.3805088860000001</v>
          </cell>
          <cell r="P848">
            <v>1.401794159</v>
          </cell>
          <cell r="Q848">
            <v>1.4230802600000001</v>
          </cell>
          <cell r="R848">
            <v>1.444111167</v>
          </cell>
          <cell r="S848">
            <v>1.4649841180000001</v>
          </cell>
          <cell r="T848">
            <v>1.4856843070000001</v>
          </cell>
          <cell r="U848">
            <v>1.506203881</v>
          </cell>
          <cell r="V848">
            <v>1.5252892490000001</v>
          </cell>
          <cell r="W848">
            <v>1.545220925</v>
          </cell>
          <cell r="X848">
            <v>1.565187538</v>
          </cell>
          <cell r="Y848">
            <v>1.58512963</v>
          </cell>
          <cell r="Z848">
            <v>1.6050858910000001</v>
          </cell>
          <cell r="AA848">
            <v>1.621499067</v>
          </cell>
          <cell r="AB848">
            <v>1.6392278339999999</v>
          </cell>
          <cell r="AC848">
            <v>1.657133454</v>
          </cell>
          <cell r="AD848">
            <v>1.675142235</v>
          </cell>
          <cell r="AE848">
            <v>1.693311971</v>
          </cell>
          <cell r="AF848">
            <v>1.7117089990000001</v>
          </cell>
          <cell r="AG848">
            <v>1.730442603</v>
          </cell>
          <cell r="AH848">
            <v>1.7495150399999999</v>
          </cell>
          <cell r="AI848">
            <v>1.768959044</v>
          </cell>
          <cell r="AJ848">
            <v>1.7888013650000001</v>
          </cell>
          <cell r="AK848">
            <v>1.8090588860000001</v>
          </cell>
          <cell r="AL848">
            <v>1.8293756210000001</v>
          </cell>
          <cell r="AM848">
            <v>1.849979987</v>
          </cell>
          <cell r="AN848">
            <v>1.8709280129999999</v>
          </cell>
          <cell r="AO848">
            <v>1.892243235</v>
          </cell>
          <cell r="AP848">
            <v>1.9139341809999999</v>
          </cell>
          <cell r="AQ848">
            <v>1.936081334</v>
          </cell>
          <cell r="AR848">
            <v>1.9586060219999999</v>
          </cell>
          <cell r="AS848">
            <v>1.9814927769999999</v>
          </cell>
          <cell r="AT848">
            <v>2.0047315459999999</v>
          </cell>
          <cell r="AU848">
            <v>2.028310866</v>
          </cell>
          <cell r="AV848">
            <v>2.0525857859999999</v>
          </cell>
          <cell r="AW848">
            <v>2.0772306679999999</v>
          </cell>
          <cell r="AX848">
            <v>2.1022070369999999</v>
          </cell>
          <cell r="AY848">
            <v>2.127507338</v>
          </cell>
          <cell r="AZ848">
            <v>2.153122255</v>
          </cell>
          <cell r="BA848">
            <v>2.8515174139999999</v>
          </cell>
          <cell r="BB848">
            <v>2.9011489689999999</v>
          </cell>
          <cell r="BC848">
            <v>2.9516550380000002</v>
          </cell>
          <cell r="BD848">
            <v>3.0030616079999999</v>
          </cell>
          <cell r="BE848">
            <v>3.0553923369999998</v>
          </cell>
        </row>
        <row r="850">
          <cell r="A850" t="str">
            <v>ems_ci_co2_scgo_2</v>
          </cell>
          <cell r="B850">
            <v>2.2470536170000002</v>
          </cell>
          <cell r="C850">
            <v>2.2459799249999999</v>
          </cell>
          <cell r="D850">
            <v>2.253417298</v>
          </cell>
          <cell r="E850">
            <v>2.267165946</v>
          </cell>
          <cell r="F850">
            <v>2.28666627</v>
          </cell>
          <cell r="G850">
            <v>2.3112252780000002</v>
          </cell>
          <cell r="H850">
            <v>2.338527188</v>
          </cell>
          <cell r="I850">
            <v>2.3684165529999999</v>
          </cell>
          <cell r="J850">
            <v>2.4003426170000002</v>
          </cell>
          <cell r="K850">
            <v>2.4337818900000001</v>
          </cell>
          <cell r="L850">
            <v>2.4668956230000001</v>
          </cell>
          <cell r="M850">
            <v>2.5043284780000001</v>
          </cell>
          <cell r="N850">
            <v>2.5433884510000002</v>
          </cell>
          <cell r="O850">
            <v>2.5833910919999998</v>
          </cell>
          <cell r="P850">
            <v>2.6240088529999999</v>
          </cell>
          <cell r="Q850">
            <v>2.6650055039999998</v>
          </cell>
          <cell r="R850">
            <v>2.7060201859999999</v>
          </cell>
          <cell r="S850">
            <v>2.7470217410000002</v>
          </cell>
          <cell r="T850">
            <v>2.7879474609999999</v>
          </cell>
          <cell r="U850">
            <v>2.8287648679999999</v>
          </cell>
          <cell r="V850">
            <v>2.8677224830000001</v>
          </cell>
          <cell r="W850">
            <v>2.907477836</v>
          </cell>
          <cell r="X850">
            <v>2.9474800710000002</v>
          </cell>
          <cell r="Y850">
            <v>2.9876476049999998</v>
          </cell>
          <cell r="Z850">
            <v>3.0280071049999999</v>
          </cell>
          <cell r="AA850">
            <v>3.0636024040000001</v>
          </cell>
          <cell r="AB850">
            <v>3.0997231099999998</v>
          </cell>
          <cell r="AC850">
            <v>3.1358473839999998</v>
          </cell>
          <cell r="AD850">
            <v>3.1720067460000001</v>
          </cell>
          <cell r="AE850">
            <v>3.2083384700000002</v>
          </cell>
          <cell r="AF850">
            <v>3.2449804979999999</v>
          </cell>
          <cell r="AG850">
            <v>3.282102005</v>
          </cell>
          <cell r="AH850">
            <v>3.3197655020000001</v>
          </cell>
          <cell r="AI850">
            <v>3.3580321130000002</v>
          </cell>
          <cell r="AJ850">
            <v>3.3969438260000002</v>
          </cell>
          <cell r="AK850">
            <v>3.4365240859999999</v>
          </cell>
          <cell r="AL850">
            <v>3.4761031309999999</v>
          </cell>
          <cell r="AM850">
            <v>3.5159891480000001</v>
          </cell>
          <cell r="AN850">
            <v>3.5563115330000001</v>
          </cell>
          <cell r="AO850">
            <v>3.5971261170000002</v>
          </cell>
          <cell r="AP850">
            <v>3.6384581410000001</v>
          </cell>
          <cell r="AQ850">
            <v>3.6804035509999999</v>
          </cell>
          <cell r="AR850">
            <v>3.7229217710000002</v>
          </cell>
          <cell r="AS850">
            <v>3.7660032559999999</v>
          </cell>
          <cell r="AT850">
            <v>3.8096378729999998</v>
          </cell>
          <cell r="AU850">
            <v>3.8538114569999999</v>
          </cell>
          <cell r="AV850">
            <v>3.8989164249999999</v>
          </cell>
          <cell r="AW850">
            <v>3.9447286610000001</v>
          </cell>
          <cell r="AX850">
            <v>3.9911861439999998</v>
          </cell>
          <cell r="AY850">
            <v>4.0382469790000002</v>
          </cell>
          <cell r="AZ850">
            <v>4.085870313</v>
          </cell>
          <cell r="BA850">
            <v>5.2745794760000004</v>
          </cell>
          <cell r="BB850">
            <v>5.3645123290000001</v>
          </cell>
          <cell r="BC850">
            <v>5.4558339399999998</v>
          </cell>
          <cell r="BD850">
            <v>5.5485816579999998</v>
          </cell>
          <cell r="BE850">
            <v>5.642790593</v>
          </cell>
        </row>
        <row r="852">
          <cell r="A852" t="str">
            <v>ems_ci_co2_scon_2</v>
          </cell>
          <cell r="B852">
            <v>7.677824438</v>
          </cell>
          <cell r="C852">
            <v>7.6457035439999999</v>
          </cell>
          <cell r="D852">
            <v>7.600417599</v>
          </cell>
          <cell r="E852">
            <v>7.5685321859999997</v>
          </cell>
          <cell r="F852">
            <v>7.5658160619999997</v>
          </cell>
          <cell r="G852">
            <v>7.5977021919999999</v>
          </cell>
          <cell r="H852">
            <v>7.6598872450000002</v>
          </cell>
          <cell r="I852">
            <v>7.7478491710000004</v>
          </cell>
          <cell r="J852">
            <v>7.8568250849999997</v>
          </cell>
          <cell r="K852">
            <v>7.9825595390000004</v>
          </cell>
          <cell r="L852">
            <v>8.1203277220000007</v>
          </cell>
          <cell r="M852">
            <v>8.2716087340000009</v>
          </cell>
          <cell r="N852">
            <v>8.4367201529999996</v>
          </cell>
          <cell r="O852">
            <v>8.6144593680000003</v>
          </cell>
          <cell r="P852">
            <v>8.8026829800000002</v>
          </cell>
          <cell r="Q852">
            <v>8.9989861009999998</v>
          </cell>
          <cell r="R852">
            <v>9.2011229330000006</v>
          </cell>
          <cell r="S852">
            <v>9.4071523020000001</v>
          </cell>
          <cell r="T852">
            <v>9.6155210770000004</v>
          </cell>
          <cell r="U852">
            <v>9.8250946399999997</v>
          </cell>
          <cell r="V852">
            <v>10.03086143</v>
          </cell>
          <cell r="W852">
            <v>10.23599602</v>
          </cell>
          <cell r="X852">
            <v>10.44092045</v>
          </cell>
          <cell r="Y852">
            <v>10.645787199999999</v>
          </cell>
          <cell r="Z852">
            <v>10.850756329999999</v>
          </cell>
          <cell r="AA852">
            <v>11.04355178</v>
          </cell>
          <cell r="AB852">
            <v>11.22920542</v>
          </cell>
          <cell r="AC852">
            <v>11.40911807</v>
          </cell>
          <cell r="AD852">
            <v>11.5843702</v>
          </cell>
          <cell r="AE852">
            <v>11.755968190000001</v>
          </cell>
          <cell r="AF852">
            <v>11.92483017</v>
          </cell>
          <cell r="AG852">
            <v>12.091776080000001</v>
          </cell>
          <cell r="AH852">
            <v>12.25758572</v>
          </cell>
          <cell r="AI852">
            <v>12.42295994</v>
          </cell>
          <cell r="AJ852">
            <v>12.588473349999999</v>
          </cell>
          <cell r="AK852">
            <v>12.75455554</v>
          </cell>
          <cell r="AL852">
            <v>12.918301319999999</v>
          </cell>
          <cell r="AM852">
            <v>13.079760869999999</v>
          </cell>
          <cell r="AN852">
            <v>13.23954153</v>
          </cell>
          <cell r="AO852">
            <v>13.398168999999999</v>
          </cell>
          <cell r="AP852">
            <v>13.5559347</v>
          </cell>
          <cell r="AQ852">
            <v>13.71288799</v>
          </cell>
          <cell r="AR852">
            <v>13.86905097</v>
          </cell>
          <cell r="AS852">
            <v>14.02442654</v>
          </cell>
          <cell r="AT852">
            <v>14.178978020000001</v>
          </cell>
          <cell r="AU852">
            <v>14.33263309</v>
          </cell>
          <cell r="AV852">
            <v>14.485407289999999</v>
          </cell>
          <cell r="AW852">
            <v>14.637455020000001</v>
          </cell>
          <cell r="AX852">
            <v>14.78902555</v>
          </cell>
          <cell r="AY852">
            <v>14.94026367</v>
          </cell>
          <cell r="AZ852">
            <v>15.09117028</v>
          </cell>
          <cell r="BA852">
            <v>23.246582029999999</v>
          </cell>
          <cell r="BB852">
            <v>23.652213870000001</v>
          </cell>
          <cell r="BC852">
            <v>24.054386350000001</v>
          </cell>
          <cell r="BD852">
            <v>24.453275439999999</v>
          </cell>
          <cell r="BE852">
            <v>24.84906221</v>
          </cell>
        </row>
        <row r="854">
          <cell r="A854" t="str">
            <v>ems_ci_co2_srai_2</v>
          </cell>
          <cell r="B854">
            <v>1.7148477479999999</v>
          </cell>
          <cell r="C854">
            <v>1.724595358</v>
          </cell>
          <cell r="D854">
            <v>1.738136154</v>
          </cell>
          <cell r="E854">
            <v>1.7539784439999999</v>
          </cell>
          <cell r="F854">
            <v>1.7718515420000001</v>
          </cell>
          <cell r="G854">
            <v>1.7915617479999999</v>
          </cell>
          <cell r="H854">
            <v>1.811902981</v>
          </cell>
          <cell r="I854">
            <v>1.8331577530000001</v>
          </cell>
          <cell r="J854">
            <v>1.85525578</v>
          </cell>
          <cell r="K854">
            <v>1.878057673</v>
          </cell>
          <cell r="L854">
            <v>1.901043724</v>
          </cell>
          <cell r="M854">
            <v>1.9262024470000001</v>
          </cell>
          <cell r="N854">
            <v>1.95217675</v>
          </cell>
          <cell r="O854">
            <v>1.978633477</v>
          </cell>
          <cell r="P854">
            <v>2.0054406199999999</v>
          </cell>
          <cell r="Q854">
            <v>2.032519084</v>
          </cell>
          <cell r="R854">
            <v>2.0597232459999999</v>
          </cell>
          <cell r="S854">
            <v>2.0870778510000001</v>
          </cell>
          <cell r="T854">
            <v>2.114573563</v>
          </cell>
          <cell r="U854">
            <v>2.1422043230000001</v>
          </cell>
          <cell r="V854">
            <v>2.1687827880000001</v>
          </cell>
          <cell r="W854">
            <v>2.1961606279999999</v>
          </cell>
          <cell r="X854">
            <v>2.2239152880000002</v>
          </cell>
          <cell r="Y854">
            <v>2.2519608980000001</v>
          </cell>
          <cell r="Z854">
            <v>2.2802913939999998</v>
          </cell>
          <cell r="AA854">
            <v>2.3055080879999998</v>
          </cell>
          <cell r="AB854">
            <v>2.3313270670000001</v>
          </cell>
          <cell r="AC854">
            <v>2.35733821</v>
          </cell>
          <cell r="AD854">
            <v>2.3835229259999999</v>
          </cell>
          <cell r="AE854">
            <v>2.4099441879999999</v>
          </cell>
          <cell r="AF854">
            <v>2.4366682310000001</v>
          </cell>
          <cell r="AG854">
            <v>2.463774473</v>
          </cell>
          <cell r="AH854">
            <v>2.4912814700000001</v>
          </cell>
          <cell r="AI854">
            <v>2.519208678</v>
          </cell>
          <cell r="AJ854">
            <v>2.5475678780000002</v>
          </cell>
          <cell r="AK854">
            <v>2.5763640460000001</v>
          </cell>
          <cell r="AL854">
            <v>2.6050426390000001</v>
          </cell>
          <cell r="AM854">
            <v>2.6338621039999999</v>
          </cell>
          <cell r="AN854">
            <v>2.6629219380000002</v>
          </cell>
          <cell r="AO854">
            <v>2.6922742159999999</v>
          </cell>
          <cell r="AP854">
            <v>2.7219555629999999</v>
          </cell>
          <cell r="AQ854">
            <v>2.7520377169999999</v>
          </cell>
          <cell r="AR854">
            <v>2.7825120669999999</v>
          </cell>
          <cell r="AS854">
            <v>2.8133859110000001</v>
          </cell>
          <cell r="AT854">
            <v>2.8446646169999998</v>
          </cell>
          <cell r="AU854">
            <v>2.8763496329999998</v>
          </cell>
          <cell r="AV854">
            <v>2.9086686369999999</v>
          </cell>
          <cell r="AW854">
            <v>2.9414745120000001</v>
          </cell>
          <cell r="AX854">
            <v>2.9747279679999998</v>
          </cell>
          <cell r="AY854">
            <v>3.0084113860000001</v>
          </cell>
          <cell r="AZ854">
            <v>3.0425129329999998</v>
          </cell>
          <cell r="BA854">
            <v>3.575424505</v>
          </cell>
          <cell r="BB854">
            <v>3.6299902319999999</v>
          </cell>
          <cell r="BC854">
            <v>3.6854330360000001</v>
          </cell>
          <cell r="BD854">
            <v>3.7417713899999998</v>
          </cell>
          <cell r="BE854">
            <v>3.7990240829999999</v>
          </cell>
        </row>
        <row r="856">
          <cell r="A856" t="str">
            <v>ems_ci_co2_sroa_2</v>
          </cell>
          <cell r="B856">
            <v>17.121105549999999</v>
          </cell>
          <cell r="C856">
            <v>17.220384630000002</v>
          </cell>
          <cell r="D856">
            <v>17.358073860000001</v>
          </cell>
          <cell r="E856">
            <v>17.51866124</v>
          </cell>
          <cell r="F856">
            <v>17.699038720000001</v>
          </cell>
          <cell r="G856">
            <v>17.897111219999999</v>
          </cell>
          <cell r="H856">
            <v>18.100857380000001</v>
          </cell>
          <cell r="I856">
            <v>18.3132123</v>
          </cell>
          <cell r="J856">
            <v>18.53360627</v>
          </cell>
          <cell r="K856">
            <v>18.760766520000001</v>
          </cell>
          <cell r="L856">
            <v>18.989652499999998</v>
          </cell>
          <cell r="M856">
            <v>19.240125450000001</v>
          </cell>
          <cell r="N856">
            <v>19.498619059999999</v>
          </cell>
          <cell r="O856">
            <v>19.761828820000002</v>
          </cell>
          <cell r="P856">
            <v>20.028483609999999</v>
          </cell>
          <cell r="Q856">
            <v>20.297847430000001</v>
          </cell>
          <cell r="R856">
            <v>20.568511319999999</v>
          </cell>
          <cell r="S856">
            <v>20.8407619</v>
          </cell>
          <cell r="T856">
            <v>21.11453474</v>
          </cell>
          <cell r="U856">
            <v>21.389786650000001</v>
          </cell>
          <cell r="V856">
            <v>21.654688530000001</v>
          </cell>
          <cell r="W856">
            <v>21.92772583</v>
          </cell>
          <cell r="X856">
            <v>22.20466489</v>
          </cell>
          <cell r="Y856">
            <v>22.4846325</v>
          </cell>
          <cell r="Z856">
            <v>22.767553230000001</v>
          </cell>
          <cell r="AA856">
            <v>23.019530499999998</v>
          </cell>
          <cell r="AB856">
            <v>23.27767046</v>
          </cell>
          <cell r="AC856">
            <v>23.53785706</v>
          </cell>
          <cell r="AD856">
            <v>23.7998768</v>
          </cell>
          <cell r="AE856">
            <v>24.064331559999999</v>
          </cell>
          <cell r="AF856">
            <v>24.331858879999999</v>
          </cell>
          <cell r="AG856">
            <v>24.603232169999998</v>
          </cell>
          <cell r="AH856">
            <v>24.878617859999999</v>
          </cell>
          <cell r="AI856">
            <v>25.158193480000001</v>
          </cell>
          <cell r="AJ856">
            <v>25.442063000000001</v>
          </cell>
          <cell r="AK856">
            <v>25.730265859999999</v>
          </cell>
          <cell r="AL856">
            <v>26.01728202</v>
          </cell>
          <cell r="AM856">
            <v>26.305692270000002</v>
          </cell>
          <cell r="AN856">
            <v>26.596481050000001</v>
          </cell>
          <cell r="AO856">
            <v>26.890159690000001</v>
          </cell>
          <cell r="AP856">
            <v>27.187089459999999</v>
          </cell>
          <cell r="AQ856">
            <v>27.48798897</v>
          </cell>
          <cell r="AR856">
            <v>27.79277351</v>
          </cell>
          <cell r="AS856">
            <v>28.1015175</v>
          </cell>
          <cell r="AT856">
            <v>28.414276910000002</v>
          </cell>
          <cell r="AU856">
            <v>28.731069389999998</v>
          </cell>
          <cell r="AV856">
            <v>29.054180859999999</v>
          </cell>
          <cell r="AW856">
            <v>29.382141050000001</v>
          </cell>
          <cell r="AX856">
            <v>29.71455349</v>
          </cell>
          <cell r="AY856">
            <v>30.05124052</v>
          </cell>
          <cell r="AZ856">
            <v>30.3920858</v>
          </cell>
          <cell r="BA856">
            <v>35.672975299999997</v>
          </cell>
          <cell r="BB856">
            <v>36.217518470000002</v>
          </cell>
          <cell r="BC856">
            <v>36.770833889999999</v>
          </cell>
          <cell r="BD856">
            <v>37.33310058</v>
          </cell>
          <cell r="BE856">
            <v>37.904501580000002</v>
          </cell>
        </row>
        <row r="858">
          <cell r="A858" t="str">
            <v>ems_ci_co2_swat_2</v>
          </cell>
          <cell r="B858">
            <v>3.6706452170000001</v>
          </cell>
          <cell r="C858">
            <v>3.6975314199999998</v>
          </cell>
          <cell r="D858">
            <v>3.745471819</v>
          </cell>
          <cell r="E858">
            <v>3.7973242329999999</v>
          </cell>
          <cell r="F858">
            <v>3.850869543</v>
          </cell>
          <cell r="G858">
            <v>3.9054366580000002</v>
          </cell>
          <cell r="H858">
            <v>3.9567973470000002</v>
          </cell>
          <cell r="I858">
            <v>4.0077913030000003</v>
          </cell>
          <cell r="J858">
            <v>4.0584941370000003</v>
          </cell>
          <cell r="K858">
            <v>4.1087529529999998</v>
          </cell>
          <cell r="L858">
            <v>4.1503043210000001</v>
          </cell>
          <cell r="M858">
            <v>4.2074793489999998</v>
          </cell>
          <cell r="N858">
            <v>4.2659729979999996</v>
          </cell>
          <cell r="O858">
            <v>4.3240817150000002</v>
          </cell>
          <cell r="P858">
            <v>4.3816126840000003</v>
          </cell>
          <cell r="Q858">
            <v>4.4385916480000001</v>
          </cell>
          <cell r="R858">
            <v>4.4944121880000001</v>
          </cell>
          <cell r="S858">
            <v>4.5497994229999996</v>
          </cell>
          <cell r="T858">
            <v>4.604955747</v>
          </cell>
          <cell r="U858">
            <v>4.660031461</v>
          </cell>
          <cell r="V858">
            <v>4.7109085239999997</v>
          </cell>
          <cell r="W858">
            <v>4.7658582760000003</v>
          </cell>
          <cell r="X858">
            <v>4.8216212680000003</v>
          </cell>
          <cell r="Y858">
            <v>4.8779327810000002</v>
          </cell>
          <cell r="Z858">
            <v>4.9348684289999998</v>
          </cell>
          <cell r="AA858">
            <v>4.9804009310000001</v>
          </cell>
          <cell r="AB858">
            <v>5.0323155609999999</v>
          </cell>
          <cell r="AC858">
            <v>5.0858302289999999</v>
          </cell>
          <cell r="AD858">
            <v>5.1404606859999999</v>
          </cell>
          <cell r="AE858">
            <v>5.1962073059999998</v>
          </cell>
          <cell r="AF858">
            <v>5.2531099560000003</v>
          </cell>
          <cell r="AG858">
            <v>5.3114014430000003</v>
          </cell>
          <cell r="AH858">
            <v>5.3709162749999999</v>
          </cell>
          <cell r="AI858">
            <v>5.4316344719999998</v>
          </cell>
          <cell r="AJ858">
            <v>5.4935415589999996</v>
          </cell>
          <cell r="AK858">
            <v>5.5566145669999996</v>
          </cell>
          <cell r="AL858">
            <v>5.6198946980000004</v>
          </cell>
          <cell r="AM858">
            <v>5.6841882290000001</v>
          </cell>
          <cell r="AN858">
            <v>5.7495786659999997</v>
          </cell>
          <cell r="AO858">
            <v>5.8160542800000004</v>
          </cell>
          <cell r="AP858">
            <v>5.8835844799999997</v>
          </cell>
          <cell r="AQ858">
            <v>5.9524619149999998</v>
          </cell>
          <cell r="AR858">
            <v>6.0223634439999998</v>
          </cell>
          <cell r="AS858">
            <v>6.093224663</v>
          </cell>
          <cell r="AT858">
            <v>6.1650121029999996</v>
          </cell>
          <cell r="AU858">
            <v>6.2376970509999996</v>
          </cell>
          <cell r="AV858">
            <v>6.3126860340000004</v>
          </cell>
          <cell r="AW858">
            <v>6.388701535</v>
          </cell>
          <cell r="AX858">
            <v>6.4655876990000003</v>
          </cell>
          <cell r="AY858">
            <v>6.5433160969999999</v>
          </cell>
          <cell r="AZ858">
            <v>6.6218715000000001</v>
          </cell>
          <cell r="BA858">
            <v>8.6662657089999993</v>
          </cell>
          <cell r="BB858">
            <v>8.818578381</v>
          </cell>
          <cell r="BC858">
            <v>8.9739205159999997</v>
          </cell>
          <cell r="BD858">
            <v>9.1323441750000001</v>
          </cell>
          <cell r="BE858">
            <v>9.2938972399999997</v>
          </cell>
        </row>
        <row r="860">
          <cell r="A860" t="str">
            <v>ems_ci_co2_sair_2</v>
          </cell>
          <cell r="B860">
            <v>18.832664780000002</v>
          </cell>
          <cell r="C860">
            <v>18.986667659999998</v>
          </cell>
          <cell r="D860">
            <v>19.215794590000002</v>
          </cell>
          <cell r="E860">
            <v>19.473722810000002</v>
          </cell>
          <cell r="F860">
            <v>19.754226589999998</v>
          </cell>
          <cell r="G860">
            <v>20.055576720000001</v>
          </cell>
          <cell r="H860">
            <v>20.360268850000001</v>
          </cell>
          <cell r="I860">
            <v>20.675335919999998</v>
          </cell>
          <cell r="J860">
            <v>21.00039993</v>
          </cell>
          <cell r="K860">
            <v>21.333912309999999</v>
          </cell>
          <cell r="L860">
            <v>21.65836255</v>
          </cell>
          <cell r="M860">
            <v>22.03131308</v>
          </cell>
          <cell r="N860">
            <v>22.416070990000001</v>
          </cell>
          <cell r="O860">
            <v>22.807285499999999</v>
          </cell>
          <cell r="P860">
            <v>23.203578799999999</v>
          </cell>
          <cell r="Q860">
            <v>23.604185180000002</v>
          </cell>
          <cell r="R860">
            <v>24.00646338</v>
          </cell>
          <cell r="S860">
            <v>24.41156178</v>
          </cell>
          <cell r="T860">
            <v>24.819481249999999</v>
          </cell>
          <cell r="U860">
            <v>25.230209970000001</v>
          </cell>
          <cell r="V860">
            <v>25.62447835</v>
          </cell>
          <cell r="W860">
            <v>26.03316298</v>
          </cell>
          <cell r="X860">
            <v>26.448203589999999</v>
          </cell>
          <cell r="Y860">
            <v>26.868604399999999</v>
          </cell>
          <cell r="Z860">
            <v>27.294449019999998</v>
          </cell>
          <cell r="AA860">
            <v>27.669892860000001</v>
          </cell>
          <cell r="AB860">
            <v>28.057906970000001</v>
          </cell>
          <cell r="AC860">
            <v>28.449120839999999</v>
          </cell>
          <cell r="AD860">
            <v>28.843624210000002</v>
          </cell>
          <cell r="AE860">
            <v>29.24271293</v>
          </cell>
          <cell r="AF860">
            <v>29.647613310000001</v>
          </cell>
          <cell r="AG860">
            <v>30.059901369999999</v>
          </cell>
          <cell r="AH860">
            <v>30.47979651</v>
          </cell>
          <cell r="AI860">
            <v>30.907668600000001</v>
          </cell>
          <cell r="AJ860">
            <v>31.34376082</v>
          </cell>
          <cell r="AK860">
            <v>31.788202980000001</v>
          </cell>
          <cell r="AL860">
            <v>32.2333924</v>
          </cell>
          <cell r="AM860">
            <v>32.682485229999998</v>
          </cell>
          <cell r="AN860">
            <v>33.136785889999999</v>
          </cell>
          <cell r="AO860">
            <v>33.597138450000003</v>
          </cell>
          <cell r="AP860">
            <v>34.06423272</v>
          </cell>
          <cell r="AQ860">
            <v>34.539658590000002</v>
          </cell>
          <cell r="AR860">
            <v>35.02313899</v>
          </cell>
          <cell r="AS860">
            <v>35.514879430000001</v>
          </cell>
          <cell r="AT860">
            <v>36.01504628</v>
          </cell>
          <cell r="AU860">
            <v>36.52372759</v>
          </cell>
          <cell r="AV860">
            <v>37.045842309999998</v>
          </cell>
          <cell r="AW860">
            <v>37.578109689999998</v>
          </cell>
          <cell r="AX860">
            <v>38.119901800000001</v>
          </cell>
          <cell r="AY860">
            <v>38.670948760000002</v>
          </cell>
          <cell r="AZ860">
            <v>39.231067950000003</v>
          </cell>
          <cell r="BA860">
            <v>48.979044649999999</v>
          </cell>
          <cell r="BB860">
            <v>49.925197480000001</v>
          </cell>
          <cell r="BC860">
            <v>50.890454120000001</v>
          </cell>
          <cell r="BD860">
            <v>51.87530229</v>
          </cell>
          <cell r="BE860">
            <v>52.880249550000002</v>
          </cell>
        </row>
        <row r="862">
          <cell r="A862" t="str">
            <v>ems_ci_co2_spri_2</v>
          </cell>
          <cell r="B862">
            <v>30.98421312</v>
          </cell>
          <cell r="C862">
            <v>31.13916622</v>
          </cell>
          <cell r="D862">
            <v>31.349196160000002</v>
          </cell>
          <cell r="E862">
            <v>31.613463079999999</v>
          </cell>
          <cell r="F862">
            <v>31.938947580000001</v>
          </cell>
          <cell r="G862">
            <v>32.32710522</v>
          </cell>
          <cell r="H862">
            <v>32.756111439999998</v>
          </cell>
          <cell r="I862">
            <v>33.225769749999998</v>
          </cell>
          <cell r="J862">
            <v>33.731143109999998</v>
          </cell>
          <cell r="K862">
            <v>34.266479580000002</v>
          </cell>
          <cell r="L862">
            <v>34.821690660000002</v>
          </cell>
          <cell r="M862">
            <v>35.427859820000002</v>
          </cell>
          <cell r="N862">
            <v>36.063795319999997</v>
          </cell>
          <cell r="O862">
            <v>36.722938679999999</v>
          </cell>
          <cell r="P862">
            <v>37.401052219999997</v>
          </cell>
          <cell r="Q862">
            <v>38.094441430000003</v>
          </cell>
          <cell r="R862">
            <v>38.80258757</v>
          </cell>
          <cell r="S862">
            <v>39.520232229999998</v>
          </cell>
          <cell r="T862">
            <v>40.245084159999998</v>
          </cell>
          <cell r="U862">
            <v>40.975665509999999</v>
          </cell>
          <cell r="V862">
            <v>41.687112120000002</v>
          </cell>
          <cell r="W862">
            <v>42.411985229999999</v>
          </cell>
          <cell r="X862">
            <v>43.144745729999997</v>
          </cell>
          <cell r="Y862">
            <v>43.884061950000003</v>
          </cell>
          <cell r="Z862">
            <v>44.629808769999997</v>
          </cell>
          <cell r="AA862">
            <v>45.31251795</v>
          </cell>
          <cell r="AB862">
            <v>45.994439210000003</v>
          </cell>
          <cell r="AC862">
            <v>46.674143389999998</v>
          </cell>
          <cell r="AD862">
            <v>47.3531987</v>
          </cell>
          <cell r="AE862">
            <v>48.0340761</v>
          </cell>
          <cell r="AF862">
            <v>48.71913928</v>
          </cell>
          <cell r="AG862">
            <v>49.409588390000003</v>
          </cell>
          <cell r="AH862">
            <v>50.10782553</v>
          </cell>
          <cell r="AI862">
            <v>50.815205839999997</v>
          </cell>
          <cell r="AJ862">
            <v>51.532711190000001</v>
          </cell>
          <cell r="AK862">
            <v>52.261059940000003</v>
          </cell>
          <cell r="AL862">
            <v>52.976385270000002</v>
          </cell>
          <cell r="AM862">
            <v>53.692896130000001</v>
          </cell>
          <cell r="AN862">
            <v>54.414415679999998</v>
          </cell>
          <cell r="AO862">
            <v>55.142941120000003</v>
          </cell>
          <cell r="AP862">
            <v>55.879881560000001</v>
          </cell>
          <cell r="AQ862">
            <v>56.625023650000003</v>
          </cell>
          <cell r="AR862">
            <v>57.380370499999998</v>
          </cell>
          <cell r="AS862">
            <v>58.146599930000001</v>
          </cell>
          <cell r="AT862">
            <v>58.924081139999998</v>
          </cell>
          <cell r="AU862">
            <v>59.713006900000003</v>
          </cell>
          <cell r="AV862">
            <v>60.5105565</v>
          </cell>
          <cell r="AW862">
            <v>61.320585690000001</v>
          </cell>
          <cell r="AX862">
            <v>62.143403319999997</v>
          </cell>
          <cell r="AY862">
            <v>62.978940799999997</v>
          </cell>
          <cell r="AZ862">
            <v>63.827010860000001</v>
          </cell>
          <cell r="BA862">
            <v>72.575607649999995</v>
          </cell>
          <cell r="BB862">
            <v>73.768639559999997</v>
          </cell>
          <cell r="BC862">
            <v>74.977568120000001</v>
          </cell>
          <cell r="BD862">
            <v>76.2029991</v>
          </cell>
          <cell r="BE862">
            <v>77.445539460000006</v>
          </cell>
        </row>
        <row r="864">
          <cell r="A864" t="str">
            <v>ems_ci_co2_spub_2</v>
          </cell>
          <cell r="B864">
            <v>14.31038846</v>
          </cell>
          <cell r="C864">
            <v>14.476319139999999</v>
          </cell>
          <cell r="D864">
            <v>14.652129309999999</v>
          </cell>
          <cell r="E864">
            <v>14.833884299999999</v>
          </cell>
          <cell r="F864">
            <v>15.026301180000001</v>
          </cell>
          <cell r="G864">
            <v>15.23251421</v>
          </cell>
          <cell r="H864">
            <v>15.44096948</v>
          </cell>
          <cell r="I864">
            <v>15.66072902</v>
          </cell>
          <cell r="J864">
            <v>15.891837389999999</v>
          </cell>
          <cell r="K864">
            <v>16.133136560000001</v>
          </cell>
          <cell r="L864">
            <v>16.40108171</v>
          </cell>
          <cell r="M864">
            <v>16.663238010000001</v>
          </cell>
          <cell r="N864">
            <v>16.932842090000001</v>
          </cell>
          <cell r="O864">
            <v>17.210938460000001</v>
          </cell>
          <cell r="P864">
            <v>17.496876879999999</v>
          </cell>
          <cell r="Q864">
            <v>17.789738409999998</v>
          </cell>
          <cell r="R864">
            <v>18.088653000000001</v>
          </cell>
          <cell r="S864">
            <v>18.39289591</v>
          </cell>
          <cell r="T864">
            <v>18.701810630000001</v>
          </cell>
          <cell r="U864">
            <v>19.01487852</v>
          </cell>
          <cell r="V864">
            <v>19.315393350000001</v>
          </cell>
          <cell r="W864">
            <v>19.632090730000002</v>
          </cell>
          <cell r="X864">
            <v>19.953771549999999</v>
          </cell>
          <cell r="Y864">
            <v>20.279036349999998</v>
          </cell>
          <cell r="Z864">
            <v>20.607750100000001</v>
          </cell>
          <cell r="AA864">
            <v>20.892462290000001</v>
          </cell>
          <cell r="AB864">
            <v>21.195047160000001</v>
          </cell>
          <cell r="AC864">
            <v>21.50067426</v>
          </cell>
          <cell r="AD864">
            <v>21.807873270000002</v>
          </cell>
          <cell r="AE864">
            <v>22.11688972</v>
          </cell>
          <cell r="AF864">
            <v>22.428164649999999</v>
          </cell>
          <cell r="AG864">
            <v>22.742114969999999</v>
          </cell>
          <cell r="AH864">
            <v>23.059122339999998</v>
          </cell>
          <cell r="AI864">
            <v>23.37955607</v>
          </cell>
          <cell r="AJ864">
            <v>23.703747190000001</v>
          </cell>
          <cell r="AK864">
            <v>24.031981800000001</v>
          </cell>
          <cell r="AL864">
            <v>24.35280234</v>
          </cell>
          <cell r="AM864">
            <v>24.67518776</v>
          </cell>
          <cell r="AN864">
            <v>25.000616390000001</v>
          </cell>
          <cell r="AO864">
            <v>25.32961779</v>
          </cell>
          <cell r="AP864">
            <v>25.662540459999999</v>
          </cell>
          <cell r="AQ864">
            <v>25.99961454</v>
          </cell>
          <cell r="AR864">
            <v>26.341016570000001</v>
          </cell>
          <cell r="AS864">
            <v>26.68692274</v>
          </cell>
          <cell r="AT864">
            <v>27.037477840000001</v>
          </cell>
          <cell r="AU864">
            <v>27.392793009999998</v>
          </cell>
          <cell r="AV864">
            <v>27.753889260000001</v>
          </cell>
          <cell r="AW864">
            <v>28.11997684</v>
          </cell>
          <cell r="AX864">
            <v>28.491126999999999</v>
          </cell>
          <cell r="AY864">
            <v>28.86748673</v>
          </cell>
          <cell r="AZ864">
            <v>29.249158170000001</v>
          </cell>
          <cell r="BA864">
            <v>33.704159480000001</v>
          </cell>
          <cell r="BB864">
            <v>34.277441899999999</v>
          </cell>
          <cell r="BC864">
            <v>34.858916180000001</v>
          </cell>
          <cell r="BD864">
            <v>35.448836919999998</v>
          </cell>
          <cell r="BE864">
            <v>36.047462230000001</v>
          </cell>
        </row>
        <row r="866">
          <cell r="A866" t="str">
            <v>ems_ci_co2_smin_2</v>
          </cell>
          <cell r="B866">
            <v>1.0325176149999999</v>
          </cell>
          <cell r="C866">
            <v>1.0359256130000001</v>
          </cell>
          <cell r="D866">
            <v>1.043636274</v>
          </cell>
          <cell r="E866">
            <v>1.0537734480000001</v>
          </cell>
          <cell r="F866">
            <v>1.0657013209999999</v>
          </cell>
          <cell r="G866">
            <v>1.0790326750000001</v>
          </cell>
          <cell r="H866">
            <v>1.0928231690000001</v>
          </cell>
          <cell r="I866">
            <v>1.107146575</v>
          </cell>
          <cell r="J866">
            <v>1.121919831</v>
          </cell>
          <cell r="K866">
            <v>1.137035056</v>
          </cell>
          <cell r="L866">
            <v>1.1517969729999999</v>
          </cell>
          <cell r="M866">
            <v>1.1683773470000001</v>
          </cell>
          <cell r="N866">
            <v>1.1855235669999999</v>
          </cell>
          <cell r="O866">
            <v>1.202891699</v>
          </cell>
          <cell r="P866">
            <v>1.22037514</v>
          </cell>
          <cell r="Q866">
            <v>1.2379331170000001</v>
          </cell>
          <cell r="R866">
            <v>1.255471998</v>
          </cell>
          <cell r="S866">
            <v>1.273039569</v>
          </cell>
          <cell r="T866">
            <v>1.290656407</v>
          </cell>
          <cell r="U866">
            <v>1.308341255</v>
          </cell>
          <cell r="V866">
            <v>1.3253553469999999</v>
          </cell>
          <cell r="W866">
            <v>1.342883531</v>
          </cell>
          <cell r="X866">
            <v>1.3607060040000001</v>
          </cell>
          <cell r="Y866">
            <v>1.378769854</v>
          </cell>
          <cell r="Z866">
            <v>1.397076167</v>
          </cell>
          <cell r="AA866">
            <v>1.4134645729999999</v>
          </cell>
          <cell r="AB866">
            <v>1.430270092</v>
          </cell>
          <cell r="AC866">
            <v>1.447309639</v>
          </cell>
          <cell r="AD866">
            <v>1.4645651369999999</v>
          </cell>
          <cell r="AE866">
            <v>1.4820696360000001</v>
          </cell>
          <cell r="AF866">
            <v>1.499860105</v>
          </cell>
          <cell r="AG866">
            <v>1.517988162</v>
          </cell>
          <cell r="AH866">
            <v>1.536457465</v>
          </cell>
          <cell r="AI866">
            <v>1.555272939</v>
          </cell>
          <cell r="AJ866">
            <v>1.5744345369999999</v>
          </cell>
          <cell r="AK866">
            <v>1.5939375330000001</v>
          </cell>
          <cell r="AL866">
            <v>1.6134769689999999</v>
          </cell>
          <cell r="AM866">
            <v>1.633167874</v>
          </cell>
          <cell r="AN866">
            <v>1.6530645639999999</v>
          </cell>
          <cell r="AO866">
            <v>1.673191431</v>
          </cell>
          <cell r="AP866">
            <v>1.693561844</v>
          </cell>
          <cell r="AQ866">
            <v>1.7142218810000001</v>
          </cell>
          <cell r="AR866">
            <v>1.7351539499999999</v>
          </cell>
          <cell r="AS866">
            <v>1.756354427</v>
          </cell>
          <cell r="AT866">
            <v>1.777820795</v>
          </cell>
          <cell r="AU866">
            <v>1.7995493069999999</v>
          </cell>
          <cell r="AV866">
            <v>1.8217160379999999</v>
          </cell>
          <cell r="AW866">
            <v>1.844209945</v>
          </cell>
          <cell r="AX866">
            <v>1.8669946319999999</v>
          </cell>
          <cell r="AY866">
            <v>1.890052399</v>
          </cell>
          <cell r="AZ866">
            <v>1.9133713910000001</v>
          </cell>
          <cell r="BA866">
            <v>2.3194195799999999</v>
          </cell>
          <cell r="BB866">
            <v>2.3587256729999999</v>
          </cell>
          <cell r="BC866">
            <v>2.398702202</v>
          </cell>
          <cell r="BD866">
            <v>2.4393586269999998</v>
          </cell>
          <cell r="BE866">
            <v>2.4807043590000002</v>
          </cell>
        </row>
        <row r="868">
          <cell r="A868" t="str">
            <v>ems_ci_co2_soil_2</v>
          </cell>
          <cell r="B868">
            <v>16.347775420000001</v>
          </cell>
          <cell r="C868">
            <v>16.383923840000001</v>
          </cell>
          <cell r="D868">
            <v>16.44210915</v>
          </cell>
          <cell r="E868">
            <v>16.518606389999999</v>
          </cell>
          <cell r="F868">
            <v>16.61802849</v>
          </cell>
          <cell r="G868">
            <v>16.740085390000001</v>
          </cell>
          <cell r="H868">
            <v>16.872748390000002</v>
          </cell>
          <cell r="I868">
            <v>17.01763467</v>
          </cell>
          <cell r="J868">
            <v>17.172585649999998</v>
          </cell>
          <cell r="K868">
            <v>17.334931829999999</v>
          </cell>
          <cell r="L868">
            <v>17.490872190000001</v>
          </cell>
          <cell r="M868">
            <v>17.678173040000001</v>
          </cell>
          <cell r="N868">
            <v>17.874862419999999</v>
          </cell>
          <cell r="O868">
            <v>18.076237670000001</v>
          </cell>
          <cell r="P868">
            <v>18.28106769</v>
          </cell>
          <cell r="Q868">
            <v>18.488806570000001</v>
          </cell>
          <cell r="R868">
            <v>18.697947209999999</v>
          </cell>
          <cell r="S868">
            <v>18.909012019999999</v>
          </cell>
          <cell r="T868">
            <v>19.121937679999998</v>
          </cell>
          <cell r="U868">
            <v>19.336603090000001</v>
          </cell>
          <cell r="V868">
            <v>19.542449300000001</v>
          </cell>
          <cell r="W868">
            <v>19.756404759999999</v>
          </cell>
          <cell r="X868">
            <v>19.973797619999999</v>
          </cell>
          <cell r="Y868">
            <v>20.193598439999999</v>
          </cell>
          <cell r="Z868">
            <v>20.415655009999998</v>
          </cell>
          <cell r="AA868">
            <v>20.610072450000001</v>
          </cell>
          <cell r="AB868">
            <v>20.811678520000001</v>
          </cell>
          <cell r="AC868">
            <v>21.01530571</v>
          </cell>
          <cell r="AD868">
            <v>21.22018396</v>
          </cell>
          <cell r="AE868">
            <v>21.426565719999999</v>
          </cell>
          <cell r="AF868">
            <v>21.63485734</v>
          </cell>
          <cell r="AG868">
            <v>21.845752959999999</v>
          </cell>
          <cell r="AH868">
            <v>22.059302679999998</v>
          </cell>
          <cell r="AI868">
            <v>22.27567213</v>
          </cell>
          <cell r="AJ868">
            <v>22.494995339999999</v>
          </cell>
          <cell r="AK868">
            <v>22.717368929999999</v>
          </cell>
          <cell r="AL868">
            <v>22.938878150000001</v>
          </cell>
          <cell r="AM868">
            <v>23.161571519999999</v>
          </cell>
          <cell r="AN868">
            <v>23.386221089999999</v>
          </cell>
          <cell r="AO868">
            <v>23.613199529999999</v>
          </cell>
          <cell r="AP868">
            <v>23.842757559999999</v>
          </cell>
          <cell r="AQ868">
            <v>24.075614259999998</v>
          </cell>
          <cell r="AR868">
            <v>24.31154549</v>
          </cell>
          <cell r="AS868">
            <v>24.550604969999998</v>
          </cell>
          <cell r="AT868">
            <v>24.79287261</v>
          </cell>
          <cell r="AU868">
            <v>25.03841233</v>
          </cell>
          <cell r="AV868">
            <v>25.28976484</v>
          </cell>
          <cell r="AW868">
            <v>25.545226209999999</v>
          </cell>
          <cell r="AX868">
            <v>25.804478230000001</v>
          </cell>
          <cell r="AY868">
            <v>26.067465779999999</v>
          </cell>
          <cell r="AZ868">
            <v>26.33418288</v>
          </cell>
          <cell r="BA868">
            <v>31.883603999999998</v>
          </cell>
          <cell r="BB868">
            <v>32.347674509999997</v>
          </cell>
          <cell r="BC868">
            <v>32.819326539999999</v>
          </cell>
          <cell r="BD868">
            <v>33.298744659999997</v>
          </cell>
          <cell r="BE868">
            <v>33.786124770000001</v>
          </cell>
        </row>
        <row r="870">
          <cell r="A870" t="str">
            <v>ems_ci_co2_sbfu_2</v>
          </cell>
          <cell r="B870">
            <v>3.814392733</v>
          </cell>
          <cell r="C870">
            <v>3.8177129330000001</v>
          </cell>
          <cell r="D870">
            <v>3.8229428109999999</v>
          </cell>
          <cell r="E870">
            <v>3.8331779300000002</v>
          </cell>
          <cell r="F870">
            <v>3.8503266909999998</v>
          </cell>
          <cell r="G870">
            <v>3.8741543530000002</v>
          </cell>
          <cell r="H870">
            <v>3.9017933249999999</v>
          </cell>
          <cell r="I870">
            <v>3.933163269</v>
          </cell>
          <cell r="J870">
            <v>3.967497023</v>
          </cell>
          <cell r="K870">
            <v>4.0040895350000003</v>
          </cell>
          <cell r="L870">
            <v>4.0398079280000001</v>
          </cell>
          <cell r="M870">
            <v>4.0827120419999998</v>
          </cell>
          <cell r="N870">
            <v>4.1279173289999997</v>
          </cell>
          <cell r="O870">
            <v>4.1744333859999996</v>
          </cell>
          <cell r="P870">
            <v>4.2219590240000002</v>
          </cell>
          <cell r="Q870">
            <v>4.2703234759999997</v>
          </cell>
          <cell r="R870">
            <v>4.3191727320000002</v>
          </cell>
          <cell r="S870">
            <v>4.368562152</v>
          </cell>
          <cell r="T870">
            <v>4.4184263589999997</v>
          </cell>
          <cell r="U870">
            <v>4.4686996299999997</v>
          </cell>
          <cell r="V870">
            <v>4.5172070069999997</v>
          </cell>
          <cell r="W870">
            <v>4.5673350519999998</v>
          </cell>
          <cell r="X870">
            <v>4.61807152</v>
          </cell>
          <cell r="Y870">
            <v>4.6692313529999998</v>
          </cell>
          <cell r="Z870">
            <v>4.7207871450000001</v>
          </cell>
          <cell r="AA870">
            <v>4.7666607560000003</v>
          </cell>
          <cell r="AB870">
            <v>4.813869446</v>
          </cell>
          <cell r="AC870">
            <v>4.8612200999999997</v>
          </cell>
          <cell r="AD870">
            <v>4.9086037749999996</v>
          </cell>
          <cell r="AE870">
            <v>4.9561084180000003</v>
          </cell>
          <cell r="AF870">
            <v>5.0038442710000002</v>
          </cell>
          <cell r="AG870">
            <v>5.0519743699999999</v>
          </cell>
          <cell r="AH870">
            <v>5.1005291829999999</v>
          </cell>
          <cell r="AI870">
            <v>5.1495641299999999</v>
          </cell>
          <cell r="AJ870">
            <v>5.1991260290000003</v>
          </cell>
          <cell r="AK870">
            <v>5.2492511720000001</v>
          </cell>
          <cell r="AL870">
            <v>5.2991454210000004</v>
          </cell>
          <cell r="AM870">
            <v>5.3492254140000002</v>
          </cell>
          <cell r="AN870">
            <v>5.3996453029999998</v>
          </cell>
          <cell r="AO870">
            <v>5.4504915479999996</v>
          </cell>
          <cell r="AP870">
            <v>5.5018321700000001</v>
          </cell>
          <cell r="AQ870">
            <v>5.5538310190000004</v>
          </cell>
          <cell r="AR870">
            <v>5.6064603159999997</v>
          </cell>
          <cell r="AS870">
            <v>5.6597522529999997</v>
          </cell>
          <cell r="AT870">
            <v>5.713740606</v>
          </cell>
          <cell r="AU870">
            <v>5.7684533949999999</v>
          </cell>
          <cell r="AV870">
            <v>5.8244162350000002</v>
          </cell>
          <cell r="AW870">
            <v>5.8812893160000002</v>
          </cell>
          <cell r="AX870">
            <v>5.9390332040000002</v>
          </cell>
          <cell r="AY870">
            <v>5.9976516889999996</v>
          </cell>
          <cell r="AZ870">
            <v>6.0571540769999999</v>
          </cell>
          <cell r="BA870">
            <v>7.2498662630000004</v>
          </cell>
          <cell r="BB870">
            <v>7.3506676459999998</v>
          </cell>
          <cell r="BC870">
            <v>7.4530505619999996</v>
          </cell>
          <cell r="BD870">
            <v>7.5570639120000003</v>
          </cell>
          <cell r="BE870">
            <v>7.662759103</v>
          </cell>
        </row>
        <row r="872">
          <cell r="A872" t="str">
            <v>ems_ci_co2_seoi_2</v>
          </cell>
          <cell r="B872">
            <v>3.0702890150000002</v>
          </cell>
          <cell r="C872">
            <v>3.0869070989999998</v>
          </cell>
          <cell r="D872">
            <v>3.0997489919999999</v>
          </cell>
          <cell r="E872">
            <v>3.114397613</v>
          </cell>
          <cell r="F872">
            <v>3.1329274979999999</v>
          </cell>
          <cell r="G872">
            <v>3.1557250639999999</v>
          </cell>
          <cell r="H872">
            <v>3.180901097</v>
          </cell>
          <cell r="I872">
            <v>3.208150624</v>
          </cell>
          <cell r="J872">
            <v>3.2368210369999999</v>
          </cell>
          <cell r="K872">
            <v>3.2661466259999998</v>
          </cell>
          <cell r="L872">
            <v>3.2951284749999998</v>
          </cell>
          <cell r="M872">
            <v>3.327016983</v>
          </cell>
          <cell r="N872">
            <v>3.3596360299999999</v>
          </cell>
          <cell r="O872">
            <v>3.392498357</v>
          </cell>
          <cell r="P872">
            <v>3.4255057579999999</v>
          </cell>
          <cell r="Q872">
            <v>3.4586292570000001</v>
          </cell>
          <cell r="R872">
            <v>3.4921863929999999</v>
          </cell>
          <cell r="S872">
            <v>3.525791721</v>
          </cell>
          <cell r="T872">
            <v>3.5594415100000001</v>
          </cell>
          <cell r="U872">
            <v>3.5931861409999999</v>
          </cell>
          <cell r="V872">
            <v>3.6252944980000001</v>
          </cell>
          <cell r="W872">
            <v>3.658498647</v>
          </cell>
          <cell r="X872">
            <v>3.6924191259999999</v>
          </cell>
          <cell r="Y872">
            <v>3.7269155700000001</v>
          </cell>
          <cell r="Z872">
            <v>3.7619854020000001</v>
          </cell>
          <cell r="AA872">
            <v>3.7925316050000002</v>
          </cell>
          <cell r="AB872">
            <v>3.8236349860000001</v>
          </cell>
          <cell r="AC872">
            <v>3.855402829</v>
          </cell>
          <cell r="AD872">
            <v>3.8878232320000001</v>
          </cell>
          <cell r="AE872">
            <v>3.920963403</v>
          </cell>
          <cell r="AF872">
            <v>3.9549072980000002</v>
          </cell>
          <cell r="AG872">
            <v>3.9896292469999999</v>
          </cell>
          <cell r="AH872">
            <v>4.0252943559999999</v>
          </cell>
          <cell r="AI872">
            <v>4.0619433899999997</v>
          </cell>
          <cell r="AJ872">
            <v>4.0995879129999997</v>
          </cell>
          <cell r="AK872">
            <v>4.1382256049999997</v>
          </cell>
          <cell r="AL872">
            <v>4.1757002119999997</v>
          </cell>
          <cell r="AM872">
            <v>4.2136255199999999</v>
          </cell>
          <cell r="AN872">
            <v>4.2523186519999996</v>
          </cell>
          <cell r="AO872">
            <v>4.2918329430000002</v>
          </cell>
          <cell r="AP872">
            <v>4.3321662720000003</v>
          </cell>
          <cell r="AQ872">
            <v>4.373149078</v>
          </cell>
          <cell r="AR872">
            <v>4.4149441899999999</v>
          </cell>
          <cell r="AS872">
            <v>4.4575492140000001</v>
          </cell>
          <cell r="AT872">
            <v>4.5009402879999998</v>
          </cell>
          <cell r="AU872">
            <v>4.5450909370000003</v>
          </cell>
          <cell r="AV872">
            <v>4.5895256069999997</v>
          </cell>
          <cell r="AW872">
            <v>4.6347965039999997</v>
          </cell>
          <cell r="AX872">
            <v>4.6808999179999997</v>
          </cell>
          <cell r="AY872">
            <v>4.7277723299999996</v>
          </cell>
          <cell r="AZ872">
            <v>4.7753537130000003</v>
          </cell>
          <cell r="BA872">
            <v>4.9407715779999997</v>
          </cell>
          <cell r="BB872">
            <v>5.0032921830000001</v>
          </cell>
          <cell r="BC872">
            <v>5.0669809370000003</v>
          </cell>
          <cell r="BD872">
            <v>5.1318433590000003</v>
          </cell>
          <cell r="BE872">
            <v>5.197886574</v>
          </cell>
        </row>
        <row r="874">
          <cell r="A874" t="str">
            <v>ems_ci_co2_sega_2</v>
          </cell>
          <cell r="B874">
            <v>3.632691012</v>
          </cell>
          <cell r="C874">
            <v>3.652353535</v>
          </cell>
          <cell r="D874">
            <v>3.6675482289999999</v>
          </cell>
          <cell r="E874">
            <v>3.6848805699999998</v>
          </cell>
          <cell r="F874">
            <v>3.7068050050000001</v>
          </cell>
          <cell r="G874">
            <v>3.7337786689999999</v>
          </cell>
          <cell r="H874">
            <v>3.763566279</v>
          </cell>
          <cell r="I874">
            <v>3.7958070130000001</v>
          </cell>
          <cell r="J874">
            <v>3.8297287500000001</v>
          </cell>
          <cell r="K874">
            <v>3.8644255630000002</v>
          </cell>
          <cell r="L874">
            <v>3.8987156089999999</v>
          </cell>
          <cell r="M874">
            <v>3.9364446910000002</v>
          </cell>
          <cell r="N874">
            <v>3.9750380939999999</v>
          </cell>
          <cell r="O874">
            <v>4.0139193280000001</v>
          </cell>
          <cell r="P874">
            <v>4.0529722210000001</v>
          </cell>
          <cell r="Q874">
            <v>4.0921625129999999</v>
          </cell>
          <cell r="R874">
            <v>4.1318659249999996</v>
          </cell>
          <cell r="S874">
            <v>4.1716264230000002</v>
          </cell>
          <cell r="T874">
            <v>4.2114395990000002</v>
          </cell>
          <cell r="U874">
            <v>4.2513650710000004</v>
          </cell>
          <cell r="V874">
            <v>4.2893546369999997</v>
          </cell>
          <cell r="W874">
            <v>4.3286407980000003</v>
          </cell>
          <cell r="X874">
            <v>4.3687745700000002</v>
          </cell>
          <cell r="Y874">
            <v>4.4095898680000003</v>
          </cell>
          <cell r="Z874">
            <v>4.4510836300000003</v>
          </cell>
          <cell r="AA874">
            <v>4.4872252289999999</v>
          </cell>
          <cell r="AB874">
            <v>4.524026128</v>
          </cell>
          <cell r="AC874">
            <v>4.5616132440000001</v>
          </cell>
          <cell r="AD874">
            <v>4.5999724799999999</v>
          </cell>
          <cell r="AE874">
            <v>4.6391833389999997</v>
          </cell>
          <cell r="AF874">
            <v>4.6793451419999998</v>
          </cell>
          <cell r="AG874">
            <v>4.7204275080000002</v>
          </cell>
          <cell r="AH874">
            <v>4.7626257790000004</v>
          </cell>
          <cell r="AI874">
            <v>4.8059881820000001</v>
          </cell>
          <cell r="AJ874">
            <v>4.8505283910000001</v>
          </cell>
          <cell r="AK874">
            <v>4.8962436619999998</v>
          </cell>
          <cell r="AL874">
            <v>4.9405827750000002</v>
          </cell>
          <cell r="AM874">
            <v>4.9854551249999997</v>
          </cell>
          <cell r="AN874">
            <v>5.0312359219999996</v>
          </cell>
          <cell r="AO874">
            <v>5.0779882719999998</v>
          </cell>
          <cell r="AP874">
            <v>5.1257096640000004</v>
          </cell>
          <cell r="AQ874">
            <v>5.1741994790000003</v>
          </cell>
          <cell r="AR874">
            <v>5.2236503709999997</v>
          </cell>
          <cell r="AS874">
            <v>5.274059512</v>
          </cell>
          <cell r="AT874">
            <v>5.3253986700000002</v>
          </cell>
          <cell r="AU874">
            <v>5.3776365239999997</v>
          </cell>
          <cell r="AV874">
            <v>5.430210411</v>
          </cell>
          <cell r="AW874">
            <v>5.4837736919999998</v>
          </cell>
          <cell r="AX874">
            <v>5.5383219759999998</v>
          </cell>
          <cell r="AY874">
            <v>5.5937801130000002</v>
          </cell>
          <cell r="AZ874">
            <v>5.6500770830000002</v>
          </cell>
          <cell r="BA874">
            <v>5.8457940060000002</v>
          </cell>
          <cell r="BB874">
            <v>5.9197668380000001</v>
          </cell>
          <cell r="BC874">
            <v>5.9951217950000002</v>
          </cell>
          <cell r="BD874">
            <v>6.0718654030000003</v>
          </cell>
          <cell r="BE874">
            <v>6.150006093</v>
          </cell>
        </row>
        <row r="876">
          <cell r="A876" t="str">
            <v>ems_ci_co2_seco_2</v>
          </cell>
          <cell r="B876">
            <v>7.4879740559999997</v>
          </cell>
          <cell r="C876">
            <v>7.5285039170000001</v>
          </cell>
          <cell r="D876">
            <v>7.5598243539999999</v>
          </cell>
          <cell r="E876">
            <v>7.59555107</v>
          </cell>
          <cell r="F876">
            <v>7.6407433539999996</v>
          </cell>
          <cell r="G876">
            <v>7.6963434849999999</v>
          </cell>
          <cell r="H876">
            <v>7.7577439310000003</v>
          </cell>
          <cell r="I876">
            <v>7.8242009399999999</v>
          </cell>
          <cell r="J876">
            <v>7.8941229589999997</v>
          </cell>
          <cell r="K876">
            <v>7.9656426219999998</v>
          </cell>
          <cell r="L876">
            <v>8.0363238260000003</v>
          </cell>
          <cell r="M876">
            <v>8.1140938269999996</v>
          </cell>
          <cell r="N876">
            <v>8.1936454330000004</v>
          </cell>
          <cell r="O876">
            <v>8.2737903359999994</v>
          </cell>
          <cell r="P876">
            <v>8.3542890770000007</v>
          </cell>
          <cell r="Q876">
            <v>8.4350710329999998</v>
          </cell>
          <cell r="R876">
            <v>8.5169106719999998</v>
          </cell>
          <cell r="S876">
            <v>8.5988679789999996</v>
          </cell>
          <cell r="T876">
            <v>8.6809338720000007</v>
          </cell>
          <cell r="U876">
            <v>8.7632312369999994</v>
          </cell>
          <cell r="V876">
            <v>8.8415381689999997</v>
          </cell>
          <cell r="W876">
            <v>8.9225177379999998</v>
          </cell>
          <cell r="X876">
            <v>9.0052444660000006</v>
          </cell>
          <cell r="Y876">
            <v>9.0893760070000003</v>
          </cell>
          <cell r="Z876">
            <v>9.1749060490000005</v>
          </cell>
          <cell r="AA876">
            <v>9.2494038130000007</v>
          </cell>
          <cell r="AB876">
            <v>9.3252605749999997</v>
          </cell>
          <cell r="AC876">
            <v>9.4027379460000002</v>
          </cell>
          <cell r="AD876">
            <v>9.4818068679999996</v>
          </cell>
          <cell r="AE876">
            <v>9.5626312179999999</v>
          </cell>
          <cell r="AF876">
            <v>9.6454157259999995</v>
          </cell>
          <cell r="AG876">
            <v>9.7300977680000003</v>
          </cell>
          <cell r="AH876">
            <v>9.8170799970000004</v>
          </cell>
          <cell r="AI876">
            <v>9.9064618200000005</v>
          </cell>
          <cell r="AJ876">
            <v>9.9982714260000005</v>
          </cell>
          <cell r="AK876">
            <v>10.09250316</v>
          </cell>
          <cell r="AL876">
            <v>10.18389825</v>
          </cell>
          <cell r="AM876">
            <v>10.276392489999999</v>
          </cell>
          <cell r="AN876">
            <v>10.370759290000001</v>
          </cell>
          <cell r="AO876">
            <v>10.46712872</v>
          </cell>
          <cell r="AP876">
            <v>10.56549562</v>
          </cell>
          <cell r="AQ876">
            <v>10.665446449999999</v>
          </cell>
          <cell r="AR876">
            <v>10.767378320000001</v>
          </cell>
          <cell r="AS876">
            <v>10.87128541</v>
          </cell>
          <cell r="AT876">
            <v>10.977109520000001</v>
          </cell>
          <cell r="AU876">
            <v>11.084786080000001</v>
          </cell>
          <cell r="AV876">
            <v>11.19315531</v>
          </cell>
          <cell r="AW876">
            <v>11.30356394</v>
          </cell>
          <cell r="AX876">
            <v>11.41600294</v>
          </cell>
          <cell r="AY876">
            <v>11.53031739</v>
          </cell>
          <cell r="AZ876">
            <v>11.64636091</v>
          </cell>
          <cell r="BA876">
            <v>12.04978725</v>
          </cell>
          <cell r="BB876">
            <v>12.202265580000001</v>
          </cell>
          <cell r="BC876">
            <v>12.35759285</v>
          </cell>
          <cell r="BD876">
            <v>12.5157825</v>
          </cell>
          <cell r="BE876">
            <v>12.67685193</v>
          </cell>
        </row>
        <row r="878">
          <cell r="A878" t="str">
            <v>ems_ci_co2_sech_2</v>
          </cell>
          <cell r="B878">
            <v>9.7928455190000001</v>
          </cell>
          <cell r="C878">
            <v>9.885161987</v>
          </cell>
          <cell r="D878">
            <v>9.9616762580000007</v>
          </cell>
          <cell r="E878">
            <v>10.04058369</v>
          </cell>
          <cell r="F878">
            <v>10.126767409999999</v>
          </cell>
          <cell r="G878">
            <v>10.221399679999999</v>
          </cell>
          <cell r="H878">
            <v>10.317241109999999</v>
          </cell>
          <cell r="I878">
            <v>10.416301349999999</v>
          </cell>
          <cell r="J878">
            <v>10.51932985</v>
          </cell>
          <cell r="K878">
            <v>10.6259941</v>
          </cell>
          <cell r="L878">
            <v>10.73434602</v>
          </cell>
          <cell r="M878">
            <v>10.83998543</v>
          </cell>
          <cell r="N878">
            <v>10.941422169999999</v>
          </cell>
          <cell r="O878">
            <v>11.04061237</v>
          </cell>
          <cell r="P878">
            <v>11.139137529999999</v>
          </cell>
          <cell r="Q878">
            <v>11.23787306</v>
          </cell>
          <cell r="R878">
            <v>11.338098459999999</v>
          </cell>
          <cell r="S878">
            <v>11.438867760000001</v>
          </cell>
          <cell r="T878">
            <v>11.540254239999999</v>
          </cell>
          <cell r="U878">
            <v>11.642371839999999</v>
          </cell>
          <cell r="V878">
            <v>11.73719635</v>
          </cell>
          <cell r="W878">
            <v>11.83686883</v>
          </cell>
          <cell r="X878">
            <v>11.93978237</v>
          </cell>
          <cell r="Y878">
            <v>12.044821430000001</v>
          </cell>
          <cell r="Z878">
            <v>12.151550609999999</v>
          </cell>
          <cell r="AA878">
            <v>12.2371493</v>
          </cell>
          <cell r="AB878">
            <v>12.32422996</v>
          </cell>
          <cell r="AC878">
            <v>12.413771860000001</v>
          </cell>
          <cell r="AD878">
            <v>12.50536086</v>
          </cell>
          <cell r="AE878">
            <v>12.59884448</v>
          </cell>
          <cell r="AF878">
            <v>12.694230859999999</v>
          </cell>
          <cell r="AG878">
            <v>12.791323240000001</v>
          </cell>
          <cell r="AH878">
            <v>12.890504249999999</v>
          </cell>
          <cell r="AI878">
            <v>12.9918227</v>
          </cell>
          <cell r="AJ878">
            <v>13.09528308</v>
          </cell>
          <cell r="AK878">
            <v>13.20087682</v>
          </cell>
          <cell r="AL878">
            <v>13.301043030000001</v>
          </cell>
          <cell r="AM878">
            <v>13.401202530000001</v>
          </cell>
          <cell r="AN878">
            <v>13.502706420000001</v>
          </cell>
          <cell r="AO878">
            <v>13.60592589</v>
          </cell>
          <cell r="AP878">
            <v>13.71095609</v>
          </cell>
          <cell r="AQ878">
            <v>13.817399930000001</v>
          </cell>
          <cell r="AR878">
            <v>13.92574527</v>
          </cell>
          <cell r="AS878">
            <v>14.03598144</v>
          </cell>
          <cell r="AT878">
            <v>14.14805636</v>
          </cell>
          <cell r="AU878">
            <v>14.26192442</v>
          </cell>
          <cell r="AV878">
            <v>14.37652971</v>
          </cell>
          <cell r="AW878">
            <v>14.493396239999999</v>
          </cell>
          <cell r="AX878">
            <v>14.612413310000001</v>
          </cell>
          <cell r="AY878">
            <v>14.733395010000001</v>
          </cell>
          <cell r="AZ878">
            <v>14.85622575</v>
          </cell>
          <cell r="BA878">
            <v>14.959048920000001</v>
          </cell>
          <cell r="BB878">
            <v>15.108809000000001</v>
          </cell>
          <cell r="BC878">
            <v>15.2610198</v>
          </cell>
          <cell r="BD878">
            <v>15.41566873</v>
          </cell>
          <cell r="BE878">
            <v>15.57277088</v>
          </cell>
        </row>
        <row r="880">
          <cell r="A880" t="str">
            <v>ems_ci_co2_seot_2</v>
          </cell>
          <cell r="B880">
            <v>1.3327066409999999</v>
          </cell>
          <cell r="C880">
            <v>1.340396326</v>
          </cell>
          <cell r="D880">
            <v>1.3461778440000001</v>
          </cell>
          <cell r="E880">
            <v>1.3524527120000001</v>
          </cell>
          <cell r="F880">
            <v>1.3601975749999999</v>
          </cell>
          <cell r="G880">
            <v>1.369681269</v>
          </cell>
          <cell r="H880">
            <v>1.380173528</v>
          </cell>
          <cell r="I880">
            <v>1.3916050639999999</v>
          </cell>
          <cell r="J880">
            <v>1.403730073</v>
          </cell>
          <cell r="K880">
            <v>1.4162338750000001</v>
          </cell>
          <cell r="L880">
            <v>1.4286813570000001</v>
          </cell>
          <cell r="M880">
            <v>1.4424889190000001</v>
          </cell>
          <cell r="N880">
            <v>1.4567162890000001</v>
          </cell>
          <cell r="O880">
            <v>1.471150991</v>
          </cell>
          <cell r="P880">
            <v>1.4857455079999999</v>
          </cell>
          <cell r="Q880">
            <v>1.500479847</v>
          </cell>
          <cell r="R880">
            <v>1.51548924</v>
          </cell>
          <cell r="S880">
            <v>1.5305979270000001</v>
          </cell>
          <cell r="T880">
            <v>1.545793113</v>
          </cell>
          <cell r="U880">
            <v>1.5610850519999999</v>
          </cell>
          <cell r="V880">
            <v>1.575708713</v>
          </cell>
          <cell r="W880">
            <v>1.590839661</v>
          </cell>
          <cell r="X880">
            <v>1.606304798</v>
          </cell>
          <cell r="Y880">
            <v>1.6220365569999999</v>
          </cell>
          <cell r="Z880">
            <v>1.6380283680000001</v>
          </cell>
          <cell r="AA880">
            <v>1.652050646</v>
          </cell>
          <cell r="AB880">
            <v>1.6663015059999999</v>
          </cell>
          <cell r="AC880">
            <v>1.6808209679999999</v>
          </cell>
          <cell r="AD880">
            <v>1.695600979</v>
          </cell>
          <cell r="AE880">
            <v>1.7106699679999999</v>
          </cell>
          <cell r="AF880">
            <v>1.7260648089999999</v>
          </cell>
          <cell r="AG880">
            <v>1.7417734520000001</v>
          </cell>
          <cell r="AH880">
            <v>1.7578693219999999</v>
          </cell>
          <cell r="AI880">
            <v>1.77437285</v>
          </cell>
          <cell r="AJ880">
            <v>1.7912923119999999</v>
          </cell>
          <cell r="AK880">
            <v>1.808630127</v>
          </cell>
          <cell r="AL880">
            <v>1.825428321</v>
          </cell>
          <cell r="AM880">
            <v>1.8423902999999999</v>
          </cell>
          <cell r="AN880">
            <v>1.8596597880000001</v>
          </cell>
          <cell r="AO880">
            <v>1.877267282</v>
          </cell>
          <cell r="AP880">
            <v>1.895218603</v>
          </cell>
          <cell r="AQ880">
            <v>1.9134419949999999</v>
          </cell>
          <cell r="AR880">
            <v>1.9320122159999999</v>
          </cell>
          <cell r="AS880">
            <v>1.950931829</v>
          </cell>
          <cell r="AT880">
            <v>1.9701935829999999</v>
          </cell>
          <cell r="AU880">
            <v>1.9897885209999999</v>
          </cell>
          <cell r="AV880">
            <v>2.0094999520000001</v>
          </cell>
          <cell r="AW880">
            <v>2.029569628</v>
          </cell>
          <cell r="AX880">
            <v>2.0499997620000001</v>
          </cell>
          <cell r="AY880">
            <v>2.0707671990000001</v>
          </cell>
          <cell r="AZ880">
            <v>2.0918496709999999</v>
          </cell>
          <cell r="BA880">
            <v>2.1598708860000002</v>
          </cell>
          <cell r="BB880">
            <v>2.187238834</v>
          </cell>
          <cell r="BC880">
            <v>2.2150941770000001</v>
          </cell>
          <cell r="BD880">
            <v>2.2434400540000001</v>
          </cell>
          <cell r="BE880">
            <v>2.272280496</v>
          </cell>
        </row>
        <row r="882">
          <cell r="A882" t="str">
            <v>ems_y_co2_sagr_2</v>
          </cell>
          <cell r="B882">
            <v>2.7080309E-2</v>
          </cell>
          <cell r="C882">
            <v>2.7140754499999999E-2</v>
          </cell>
          <cell r="D882">
            <v>2.7276463099999999E-2</v>
          </cell>
          <cell r="E882">
            <v>2.7478323700000001E-2</v>
          </cell>
          <cell r="F882">
            <v>2.7738583099999999E-2</v>
          </cell>
          <cell r="G882">
            <v>2.8047606199999998E-2</v>
          </cell>
          <cell r="H882">
            <v>2.8378829099999999E-2</v>
          </cell>
          <cell r="I882">
            <v>2.87339377E-2</v>
          </cell>
          <cell r="J882">
            <v>2.9108509000000001E-2</v>
          </cell>
          <cell r="K882">
            <v>2.94987297E-2</v>
          </cell>
          <cell r="L882">
            <v>2.9890318200000002E-2</v>
          </cell>
          <cell r="M882">
            <v>3.0332158500000001E-2</v>
          </cell>
          <cell r="N882">
            <v>3.0786863800000001E-2</v>
          </cell>
          <cell r="O882">
            <v>3.1250801699999997E-2</v>
          </cell>
          <cell r="P882">
            <v>3.1722000700000003E-2</v>
          </cell>
          <cell r="Q882">
            <v>3.2199026899999997E-2</v>
          </cell>
          <cell r="R882">
            <v>3.2679117600000002E-2</v>
          </cell>
          <cell r="S882">
            <v>3.3162344099999998E-2</v>
          </cell>
          <cell r="T882">
            <v>3.3648268500000002E-2</v>
          </cell>
          <cell r="U882">
            <v>3.4136717099999998E-2</v>
          </cell>
          <cell r="V882">
            <v>3.4606660999999997E-2</v>
          </cell>
          <cell r="W882">
            <v>3.5090690899999999E-2</v>
          </cell>
          <cell r="X882">
            <v>3.5580259500000003E-2</v>
          </cell>
          <cell r="Y882">
            <v>3.6074965799999997E-2</v>
          </cell>
          <cell r="Z882">
            <v>3.6574833000000001E-2</v>
          </cell>
          <cell r="AA882">
            <v>3.7019761700000001E-2</v>
          </cell>
          <cell r="AB882">
            <v>3.7474841000000002E-2</v>
          </cell>
          <cell r="AC882">
            <v>3.7930032099999997E-2</v>
          </cell>
          <cell r="AD882">
            <v>3.8386954000000001E-2</v>
          </cell>
          <cell r="AE882">
            <v>3.8847381399999999E-2</v>
          </cell>
          <cell r="AF882">
            <v>3.9312775299999998E-2</v>
          </cell>
          <cell r="AG882">
            <v>3.9784702200000001E-2</v>
          </cell>
          <cell r="AH882">
            <v>4.0263635800000003E-2</v>
          </cell>
          <cell r="AI882">
            <v>4.0749977E-2</v>
          </cell>
          <cell r="AJ882">
            <v>4.12439047E-2</v>
          </cell>
          <cell r="AK882">
            <v>4.1745463400000002E-2</v>
          </cell>
          <cell r="AL882">
            <v>4.2245039700000001E-2</v>
          </cell>
          <cell r="AM882">
            <v>4.2747740999999999E-2</v>
          </cell>
          <cell r="AN882">
            <v>4.3254924399999999E-2</v>
          </cell>
          <cell r="AO882">
            <v>4.3767339099999997E-2</v>
          </cell>
          <cell r="AP882">
            <v>4.4285584199999999E-2</v>
          </cell>
          <cell r="AQ882">
            <v>4.4810980399999999E-2</v>
          </cell>
          <cell r="AR882">
            <v>4.5343573499999998E-2</v>
          </cell>
          <cell r="AS882">
            <v>4.5883623599999999E-2</v>
          </cell>
          <cell r="AT882">
            <v>4.6431250399999999E-2</v>
          </cell>
          <cell r="AU882">
            <v>4.6986483400000001E-2</v>
          </cell>
          <cell r="AV882">
            <v>4.7553424099999998E-2</v>
          </cell>
          <cell r="AW882">
            <v>4.8129969600000003E-2</v>
          </cell>
          <cell r="AX882">
            <v>4.8715666499999997E-2</v>
          </cell>
          <cell r="AY882">
            <v>4.9310009299999999E-2</v>
          </cell>
          <cell r="AZ882">
            <v>4.9912557400000002E-2</v>
          </cell>
          <cell r="BA882">
            <v>6.0330790299999999E-2</v>
          </cell>
          <cell r="BB882">
            <v>6.1318025399999997E-2</v>
          </cell>
          <cell r="BC882">
            <v>6.2321753899999999E-2</v>
          </cell>
          <cell r="BD882">
            <v>6.3342322300000004E-2</v>
          </cell>
          <cell r="BE882">
            <v>6.4380092700000002E-2</v>
          </cell>
        </row>
        <row r="883">
          <cell r="A883" t="str">
            <v>ems_mat_co2_spub_2</v>
          </cell>
          <cell r="B883">
            <v>4.2751705639999997</v>
          </cell>
          <cell r="C883">
            <v>4.3314833420000003</v>
          </cell>
          <cell r="D883">
            <v>4.3946032659999998</v>
          </cell>
          <cell r="E883">
            <v>4.4609155100000004</v>
          </cell>
          <cell r="F883">
            <v>4.5298048340000001</v>
          </cell>
          <cell r="G883">
            <v>4.601005003</v>
          </cell>
          <cell r="H883">
            <v>4.6705726590000003</v>
          </cell>
          <cell r="I883">
            <v>4.7412716789999996</v>
          </cell>
          <cell r="J883">
            <v>4.8133630150000002</v>
          </cell>
          <cell r="K883">
            <v>4.8868082030000002</v>
          </cell>
          <cell r="L883">
            <v>4.9671742549999998</v>
          </cell>
          <cell r="M883">
            <v>5.0445163730000004</v>
          </cell>
          <cell r="N883">
            <v>5.1227416610000001</v>
          </cell>
          <cell r="O883">
            <v>5.2022331360000003</v>
          </cell>
          <cell r="P883">
            <v>5.2829878600000004</v>
          </cell>
          <cell r="Q883">
            <v>5.3649737359999996</v>
          </cell>
          <cell r="R883">
            <v>5.4481266819999998</v>
          </cell>
          <cell r="S883">
            <v>5.5324510379999996</v>
          </cell>
          <cell r="T883">
            <v>5.6179496440000003</v>
          </cell>
          <cell r="U883">
            <v>5.7046296969999997</v>
          </cell>
          <cell r="V883">
            <v>5.7876834390000003</v>
          </cell>
          <cell r="W883">
            <v>5.8758364529999998</v>
          </cell>
          <cell r="X883">
            <v>5.9657663330000004</v>
          </cell>
          <cell r="Y883">
            <v>6.0570694490000001</v>
          </cell>
          <cell r="Z883">
            <v>6.1497129729999997</v>
          </cell>
          <cell r="AA883">
            <v>6.2297565290000003</v>
          </cell>
          <cell r="AB883">
            <v>6.3158278680000004</v>
          </cell>
          <cell r="AC883">
            <v>6.4035171909999997</v>
          </cell>
          <cell r="AD883">
            <v>6.492343237</v>
          </cell>
          <cell r="AE883">
            <v>6.5823168369999996</v>
          </cell>
          <cell r="AF883">
            <v>6.6735004919999996</v>
          </cell>
          <cell r="AG883">
            <v>6.7659621650000004</v>
          </cell>
          <cell r="AH883">
            <v>6.8597389240000002</v>
          </cell>
          <cell r="AI883">
            <v>6.9548593580000002</v>
          </cell>
          <cell r="AJ883">
            <v>7.051344855</v>
          </cell>
          <cell r="AK883">
            <v>7.1492122770000002</v>
          </cell>
          <cell r="AL883">
            <v>7.2452064749999998</v>
          </cell>
          <cell r="AM883">
            <v>7.341988798</v>
          </cell>
          <cell r="AN883">
            <v>7.4399274389999999</v>
          </cell>
          <cell r="AO883">
            <v>7.5391040770000002</v>
          </cell>
          <cell r="AP883">
            <v>7.6395656440000002</v>
          </cell>
          <cell r="AQ883">
            <v>7.7413739440000002</v>
          </cell>
          <cell r="AR883">
            <v>7.8445577960000001</v>
          </cell>
          <cell r="AS883">
            <v>7.949145014</v>
          </cell>
          <cell r="AT883">
            <v>8.0551591079999998</v>
          </cell>
          <cell r="AU883">
            <v>8.1626195910000003</v>
          </cell>
          <cell r="AV883">
            <v>8.2719236049999996</v>
          </cell>
          <cell r="AW883">
            <v>8.3828111130000007</v>
          </cell>
          <cell r="AX883">
            <v>8.4952482390000004</v>
          </cell>
          <cell r="AY883">
            <v>8.6092328949999999</v>
          </cell>
          <cell r="AZ883">
            <v>8.7247702050000004</v>
          </cell>
          <cell r="BA883">
            <v>9.7775559039999997</v>
          </cell>
          <cell r="BB883">
            <v>9.9451361689999995</v>
          </cell>
          <cell r="BC883">
            <v>10.115565180000001</v>
          </cell>
          <cell r="BD883">
            <v>10.288894020000001</v>
          </cell>
          <cell r="BE883">
            <v>10.46517543</v>
          </cell>
        </row>
        <row r="884">
          <cell r="A884" t="str">
            <v>ems_mat_co2_sgla_2</v>
          </cell>
          <cell r="B884">
            <v>10.8029872</v>
          </cell>
          <cell r="C884">
            <v>10.86919421</v>
          </cell>
          <cell r="D884">
            <v>10.970712839999999</v>
          </cell>
          <cell r="E884">
            <v>11.09280933</v>
          </cell>
          <cell r="F884">
            <v>11.229902299999999</v>
          </cell>
          <cell r="G884">
            <v>11.37846738</v>
          </cell>
          <cell r="H884">
            <v>11.53026038</v>
          </cell>
          <cell r="I884">
            <v>11.68601537</v>
          </cell>
          <cell r="J884">
            <v>11.84542794</v>
          </cell>
          <cell r="K884">
            <v>12.00811189</v>
          </cell>
          <cell r="L884">
            <v>12.169836399999999</v>
          </cell>
          <cell r="M884">
            <v>12.347412609999999</v>
          </cell>
          <cell r="N884">
            <v>12.53097464</v>
          </cell>
          <cell r="O884">
            <v>12.71826894</v>
          </cell>
          <cell r="P884">
            <v>12.90859111</v>
          </cell>
          <cell r="Q884">
            <v>13.101693640000001</v>
          </cell>
          <cell r="R884">
            <v>13.296871700000001</v>
          </cell>
          <cell r="S884">
            <v>13.49455755</v>
          </cell>
          <cell r="T884">
            <v>13.694949210000001</v>
          </cell>
          <cell r="U884">
            <v>13.89822423</v>
          </cell>
          <cell r="V884">
            <v>14.09762297</v>
          </cell>
          <cell r="W884">
            <v>14.303290970000001</v>
          </cell>
          <cell r="X884">
            <v>14.51355253</v>
          </cell>
          <cell r="Y884">
            <v>14.728065450000001</v>
          </cell>
          <cell r="Z884">
            <v>14.94679032</v>
          </cell>
          <cell r="AA884">
            <v>15.14984456</v>
          </cell>
          <cell r="AB884">
            <v>15.35664326</v>
          </cell>
          <cell r="AC884">
            <v>15.565739389999999</v>
          </cell>
          <cell r="AD884">
            <v>15.77719113</v>
          </cell>
          <cell r="AE884">
            <v>15.99129377</v>
          </cell>
          <cell r="AF884">
            <v>16.20831407</v>
          </cell>
          <cell r="AG884">
            <v>16.42863114</v>
          </cell>
          <cell r="AH884">
            <v>16.652227369999999</v>
          </cell>
          <cell r="AI884">
            <v>16.87908702</v>
          </cell>
          <cell r="AJ884">
            <v>17.109143509999999</v>
          </cell>
          <cell r="AK884">
            <v>17.342288969999998</v>
          </cell>
          <cell r="AL884">
            <v>17.575494259999999</v>
          </cell>
          <cell r="AM884">
            <v>17.809530219999999</v>
          </cell>
          <cell r="AN884">
            <v>18.044756979999999</v>
          </cell>
          <cell r="AO884">
            <v>18.2813363</v>
          </cell>
          <cell r="AP884">
            <v>18.519355690000001</v>
          </cell>
          <cell r="AQ884">
            <v>18.759195600000002</v>
          </cell>
          <cell r="AR884">
            <v>19.000726449999998</v>
          </cell>
          <cell r="AS884">
            <v>19.243933510000002</v>
          </cell>
          <cell r="AT884">
            <v>19.488804649999999</v>
          </cell>
          <cell r="AU884">
            <v>19.73531844</v>
          </cell>
          <cell r="AV884">
            <v>19.985026510000001</v>
          </cell>
          <cell r="AW884">
            <v>20.237097840000001</v>
          </cell>
          <cell r="AX884">
            <v>20.49127682</v>
          </cell>
          <cell r="AY884">
            <v>20.747416470000001</v>
          </cell>
          <cell r="AZ884">
            <v>21.00541728</v>
          </cell>
          <cell r="BA884">
            <v>26.151007839999998</v>
          </cell>
          <cell r="BB884">
            <v>26.62064466</v>
          </cell>
          <cell r="BC884">
            <v>27.0963384</v>
          </cell>
          <cell r="BD884">
            <v>27.578048559999999</v>
          </cell>
          <cell r="BE884">
            <v>28.065744420000001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18">
          <cell r="A18" t="str">
            <v>auto_ca_cfut_2</v>
          </cell>
          <cell r="B18">
            <v>7095.7005250000002</v>
          </cell>
          <cell r="C18">
            <v>7137.3063229999998</v>
          </cell>
          <cell r="D18">
            <v>7224.5341600000002</v>
          </cell>
          <cell r="E18">
            <v>7342.9033499999996</v>
          </cell>
          <cell r="F18">
            <v>7482.8601429999999</v>
          </cell>
          <cell r="G18">
            <v>7638.3102079999999</v>
          </cell>
          <cell r="H18">
            <v>7804.2233589999996</v>
          </cell>
          <cell r="I18">
            <v>7978.0754470000002</v>
          </cell>
          <cell r="J18">
            <v>8158.158469</v>
          </cell>
          <cell r="K18">
            <v>8343.2546899999998</v>
          </cell>
          <cell r="L18">
            <v>8533.5951079999995</v>
          </cell>
          <cell r="M18">
            <v>8727.3695310000003</v>
          </cell>
          <cell r="N18">
            <v>8924.4335580000006</v>
          </cell>
          <cell r="O18">
            <v>9124.4856629999995</v>
          </cell>
          <cell r="P18">
            <v>9327.1877170000007</v>
          </cell>
          <cell r="Q18">
            <v>9532.1874960000005</v>
          </cell>
          <cell r="R18">
            <v>9739.080414</v>
          </cell>
          <cell r="S18">
            <v>9947.4889409999996</v>
          </cell>
          <cell r="T18">
            <v>10157.06475</v>
          </cell>
          <cell r="U18">
            <v>10367.48803</v>
          </cell>
          <cell r="V18">
            <v>10576.84722</v>
          </cell>
          <cell r="W18">
            <v>10786.62356</v>
          </cell>
          <cell r="X18">
            <v>10996.639579999999</v>
          </cell>
          <cell r="Y18">
            <v>11206.781370000001</v>
          </cell>
          <cell r="Z18">
            <v>11416.96341</v>
          </cell>
          <cell r="AA18">
            <v>11622.348</v>
          </cell>
          <cell r="AB18">
            <v>11825.74084</v>
          </cell>
          <cell r="AC18">
            <v>12027.329320000001</v>
          </cell>
          <cell r="AD18">
            <v>12227.410099999999</v>
          </cell>
          <cell r="AE18">
            <v>12426.321260000001</v>
          </cell>
          <cell r="AF18">
            <v>12624.405629999999</v>
          </cell>
          <cell r="AG18">
            <v>12822.006020000001</v>
          </cell>
          <cell r="AH18">
            <v>13019.43586</v>
          </cell>
          <cell r="AI18">
            <v>13216.98338</v>
          </cell>
          <cell r="AJ18">
            <v>13414.920620000001</v>
          </cell>
          <cell r="AK18">
            <v>13613.510130000001</v>
          </cell>
          <cell r="AL18">
            <v>13811.964449999999</v>
          </cell>
          <cell r="AM18">
            <v>14010.65336</v>
          </cell>
          <cell r="AN18">
            <v>14209.90719</v>
          </cell>
          <cell r="AO18">
            <v>14410.0756</v>
          </cell>
          <cell r="AP18">
            <v>14611.530570000001</v>
          </cell>
          <cell r="AQ18">
            <v>14814.67425</v>
          </cell>
          <cell r="AR18">
            <v>15019.88638</v>
          </cell>
          <cell r="AS18">
            <v>15227.520130000001</v>
          </cell>
          <cell r="AT18">
            <v>15437.90696</v>
          </cell>
          <cell r="AU18">
            <v>15651.3608</v>
          </cell>
          <cell r="AV18">
            <v>15868.37105</v>
          </cell>
          <cell r="AW18">
            <v>16089.24992</v>
          </cell>
          <cell r="AX18">
            <v>16314.26959</v>
          </cell>
          <cell r="AY18">
            <v>16543.695729999999</v>
          </cell>
          <cell r="AZ18">
            <v>16777.80285</v>
          </cell>
          <cell r="BA18">
            <v>18081.43362</v>
          </cell>
          <cell r="BB18">
            <v>18357.057929999999</v>
          </cell>
          <cell r="BC18">
            <v>18637.218840000001</v>
          </cell>
          <cell r="BD18">
            <v>18922.18578</v>
          </cell>
          <cell r="BE18">
            <v>19212.253079999999</v>
          </cell>
        </row>
        <row r="19">
          <cell r="A19" t="str">
            <v>auto_ca_cfut_0</v>
          </cell>
          <cell r="B19">
            <v>7095.7005250000002</v>
          </cell>
          <cell r="C19">
            <v>7145.1881110000004</v>
          </cell>
          <cell r="D19">
            <v>7246.0534690000004</v>
          </cell>
          <cell r="E19">
            <v>7381.6108999999997</v>
          </cell>
          <cell r="F19">
            <v>7540.7730229999997</v>
          </cell>
          <cell r="G19">
            <v>7716.3454899999997</v>
          </cell>
          <cell r="H19">
            <v>7902.5358239999996</v>
          </cell>
          <cell r="I19">
            <v>8096.3143449999998</v>
          </cell>
          <cell r="J19">
            <v>8295.6681840000001</v>
          </cell>
          <cell r="K19">
            <v>8499.2177229999998</v>
          </cell>
          <cell r="L19">
            <v>8708.0686949999999</v>
          </cell>
          <cell r="M19">
            <v>8919.2943840000007</v>
          </cell>
          <cell r="N19">
            <v>9132.2456829999992</v>
          </cell>
          <cell r="O19">
            <v>9346.3567270000003</v>
          </cell>
          <cell r="P19">
            <v>9561.1642730000003</v>
          </cell>
          <cell r="Q19">
            <v>9776.3003840000001</v>
          </cell>
          <cell r="R19">
            <v>9991.4774689999995</v>
          </cell>
          <cell r="S19">
            <v>10206.472970000001</v>
          </cell>
          <cell r="T19">
            <v>10421.11663</v>
          </cell>
          <cell r="U19">
            <v>10635.2811</v>
          </cell>
          <cell r="V19">
            <v>10847.227699999999</v>
          </cell>
          <cell r="W19">
            <v>11058.634669999999</v>
          </cell>
          <cell r="X19">
            <v>11269.50849</v>
          </cell>
          <cell r="Y19">
            <v>11479.89775</v>
          </cell>
          <cell r="Z19">
            <v>11689.85655</v>
          </cell>
          <cell r="AA19">
            <v>11894.61527</v>
          </cell>
          <cell r="AB19">
            <v>12097.0353</v>
          </cell>
          <cell r="AC19">
            <v>12297.38128</v>
          </cell>
          <cell r="AD19">
            <v>12496.02024</v>
          </cell>
          <cell r="AE19">
            <v>12693.3424</v>
          </cell>
          <cell r="AF19">
            <v>12889.72169</v>
          </cell>
          <cell r="AG19">
            <v>13085.498310000001</v>
          </cell>
          <cell r="AH19">
            <v>13280.974389999999</v>
          </cell>
          <cell r="AI19">
            <v>13476.416939999999</v>
          </cell>
          <cell r="AJ19">
            <v>13672.06378</v>
          </cell>
          <cell r="AK19">
            <v>13868.13</v>
          </cell>
          <cell r="AL19">
            <v>14063.63242</v>
          </cell>
          <cell r="AM19">
            <v>14258.81357</v>
          </cell>
          <cell r="AN19">
            <v>14453.93001</v>
          </cell>
          <cell r="AO19">
            <v>14649.262919999999</v>
          </cell>
          <cell r="AP19">
            <v>14845.103940000001</v>
          </cell>
          <cell r="AQ19">
            <v>15041.73806</v>
          </cell>
          <cell r="AR19">
            <v>15239.43059</v>
          </cell>
          <cell r="AS19">
            <v>15438.41992</v>
          </cell>
          <cell r="AT19">
            <v>15638.915080000001</v>
          </cell>
          <cell r="AU19">
            <v>15841.096799999999</v>
          </cell>
          <cell r="AV19">
            <v>16045.227650000001</v>
          </cell>
          <cell r="AW19">
            <v>16251.43614</v>
          </cell>
          <cell r="AX19">
            <v>16459.83063</v>
          </cell>
          <cell r="AY19">
            <v>16670.500110000001</v>
          </cell>
          <cell r="AZ19">
            <v>16883.51772</v>
          </cell>
          <cell r="BA19">
            <v>18012.62011</v>
          </cell>
          <cell r="BB19">
            <v>18282.360379999998</v>
          </cell>
          <cell r="BC19">
            <v>18556.231739999999</v>
          </cell>
          <cell r="BD19">
            <v>18834.476409999999</v>
          </cell>
          <cell r="BE19">
            <v>19117.355759999999</v>
          </cell>
        </row>
        <row r="20">
          <cell r="A20" t="str">
            <v>auto_cb_cfut_2</v>
          </cell>
          <cell r="B20">
            <v>8251.256421</v>
          </cell>
          <cell r="C20">
            <v>8178.647199</v>
          </cell>
          <cell r="D20">
            <v>8157.6207469999999</v>
          </cell>
          <cell r="E20">
            <v>8173.3754360000003</v>
          </cell>
          <cell r="F20">
            <v>8215.9702539999998</v>
          </cell>
          <cell r="G20">
            <v>8278.8764859999992</v>
          </cell>
          <cell r="H20">
            <v>8356.6704559999998</v>
          </cell>
          <cell r="I20">
            <v>8446.3876710000004</v>
          </cell>
          <cell r="J20">
            <v>8545.8981719999992</v>
          </cell>
          <cell r="K20">
            <v>8653.5863430000009</v>
          </cell>
          <cell r="L20">
            <v>8769.2465389999998</v>
          </cell>
          <cell r="M20">
            <v>8890.7844590000004</v>
          </cell>
          <cell r="N20">
            <v>9017.695248</v>
          </cell>
          <cell r="O20">
            <v>9149.3498209999998</v>
          </cell>
          <cell r="P20">
            <v>9285.1110499999995</v>
          </cell>
          <cell r="Q20">
            <v>9424.3555770000003</v>
          </cell>
          <cell r="R20">
            <v>9566.4376609999999</v>
          </cell>
          <cell r="S20">
            <v>9710.7609769999999</v>
          </cell>
          <cell r="T20">
            <v>9856.7785789999998</v>
          </cell>
          <cell r="U20">
            <v>10003.990030000001</v>
          </cell>
          <cell r="V20">
            <v>10150.46666</v>
          </cell>
          <cell r="W20">
            <v>10297.39013</v>
          </cell>
          <cell r="X20">
            <v>10444.439410000001</v>
          </cell>
          <cell r="Y20">
            <v>10591.36248</v>
          </cell>
          <cell r="Z20">
            <v>10737.94341</v>
          </cell>
          <cell r="AA20">
            <v>10879.736790000001</v>
          </cell>
          <cell r="AB20">
            <v>11019.164049999999</v>
          </cell>
          <cell r="AC20">
            <v>11156.30286</v>
          </cell>
          <cell r="AD20">
            <v>11291.329949999999</v>
          </cell>
          <cell r="AE20">
            <v>11424.45926</v>
          </cell>
          <cell r="AF20">
            <v>11555.909019999999</v>
          </cell>
          <cell r="AG20">
            <v>11685.89704</v>
          </cell>
          <cell r="AH20">
            <v>11814.61491</v>
          </cell>
          <cell r="AI20">
            <v>11942.23128</v>
          </cell>
          <cell r="AJ20">
            <v>12068.899649999999</v>
          </cell>
          <cell r="AK20">
            <v>12194.764010000001</v>
          </cell>
          <cell r="AL20">
            <v>12319.073280000001</v>
          </cell>
          <cell r="AM20">
            <v>12442.07324</v>
          </cell>
          <cell r="AN20">
            <v>12563.97328</v>
          </cell>
          <cell r="AO20">
            <v>12684.99532</v>
          </cell>
          <cell r="AP20">
            <v>12805.37594</v>
          </cell>
          <cell r="AQ20">
            <v>12925.37299</v>
          </cell>
          <cell r="AR20">
            <v>13045.22177</v>
          </cell>
          <cell r="AS20">
            <v>13165.13155</v>
          </cell>
          <cell r="AT20">
            <v>13285.28996</v>
          </cell>
          <cell r="AU20">
            <v>13405.86665</v>
          </cell>
          <cell r="AV20">
            <v>13527.17035</v>
          </cell>
          <cell r="AW20">
            <v>13649.36116</v>
          </cell>
          <cell r="AX20">
            <v>13772.56234</v>
          </cell>
          <cell r="AY20">
            <v>13896.887849999999</v>
          </cell>
          <cell r="AZ20">
            <v>14022.455089999999</v>
          </cell>
          <cell r="BA20">
            <v>14944.95203</v>
          </cell>
          <cell r="BB20">
            <v>15091.13233</v>
          </cell>
          <cell r="BC20">
            <v>15237.753839999999</v>
          </cell>
          <cell r="BD20">
            <v>15384.92359</v>
          </cell>
          <cell r="BE20">
            <v>15532.76332</v>
          </cell>
        </row>
        <row r="21">
          <cell r="A21" t="str">
            <v>auto_cb_cfut_0</v>
          </cell>
          <cell r="B21">
            <v>8251.256421</v>
          </cell>
          <cell r="C21">
            <v>8186.1344730000001</v>
          </cell>
          <cell r="D21">
            <v>8177.9674569999997</v>
          </cell>
          <cell r="E21">
            <v>8209.7989539999999</v>
          </cell>
          <cell r="F21">
            <v>8270.2092599999996</v>
          </cell>
          <cell r="G21">
            <v>8351.6250729999992</v>
          </cell>
          <cell r="H21">
            <v>8447.9102989999992</v>
          </cell>
          <cell r="I21">
            <v>8555.6340330000003</v>
          </cell>
          <cell r="J21">
            <v>8672.3901819999992</v>
          </cell>
          <cell r="K21">
            <v>8796.4214229999998</v>
          </cell>
          <cell r="L21">
            <v>8928.3437620000004</v>
          </cell>
          <cell r="M21">
            <v>9065.0211010000003</v>
          </cell>
          <cell r="N21">
            <v>9205.4946629999995</v>
          </cell>
          <cell r="O21">
            <v>9348.9148640000003</v>
          </cell>
          <cell r="P21">
            <v>9494.5557960000006</v>
          </cell>
          <cell r="Q21">
            <v>9641.8051680000008</v>
          </cell>
          <cell r="R21">
            <v>9790.1476660000008</v>
          </cell>
          <cell r="S21">
            <v>9939.1483759999992</v>
          </cell>
          <cell r="T21">
            <v>10088.43887</v>
          </cell>
          <cell r="U21">
            <v>10237.706630000001</v>
          </cell>
          <cell r="V21">
            <v>10385.192950000001</v>
          </cell>
          <cell r="W21">
            <v>10532.26132</v>
          </cell>
          <cell r="X21">
            <v>10678.76118</v>
          </cell>
          <cell r="Y21">
            <v>10824.588680000001</v>
          </cell>
          <cell r="Z21">
            <v>10969.65294</v>
          </cell>
          <cell r="AA21">
            <v>11109.57705</v>
          </cell>
          <cell r="AB21">
            <v>11246.822910000001</v>
          </cell>
          <cell r="AC21">
            <v>11381.53183</v>
          </cell>
          <cell r="AD21">
            <v>11513.93694</v>
          </cell>
          <cell r="AE21">
            <v>11644.291740000001</v>
          </cell>
          <cell r="AF21">
            <v>11772.83488</v>
          </cell>
          <cell r="AG21">
            <v>11899.77475</v>
          </cell>
          <cell r="AH21">
            <v>12025.28579</v>
          </cell>
          <cell r="AI21">
            <v>12149.51109</v>
          </cell>
          <cell r="AJ21">
            <v>12272.567660000001</v>
          </cell>
          <cell r="AK21">
            <v>12394.55205</v>
          </cell>
          <cell r="AL21">
            <v>12514.54241</v>
          </cell>
          <cell r="AM21">
            <v>12632.670609999999</v>
          </cell>
          <cell r="AN21">
            <v>12749.080169999999</v>
          </cell>
          <cell r="AO21">
            <v>12863.933639999999</v>
          </cell>
          <cell r="AP21">
            <v>12977.399799999999</v>
          </cell>
          <cell r="AQ21">
            <v>13089.63876</v>
          </cell>
          <cell r="AR21">
            <v>13200.79118</v>
          </cell>
          <cell r="AS21">
            <v>13310.972320000001</v>
          </cell>
          <cell r="AT21">
            <v>13420.27037</v>
          </cell>
          <cell r="AU21">
            <v>13528.74755</v>
          </cell>
          <cell r="AV21">
            <v>13636.52931</v>
          </cell>
          <cell r="AW21">
            <v>13743.629139999999</v>
          </cell>
          <cell r="AX21">
            <v>13850.04206</v>
          </cell>
          <cell r="AY21">
            <v>13955.745650000001</v>
          </cell>
          <cell r="AZ21">
            <v>14060.703149999999</v>
          </cell>
          <cell r="BA21">
            <v>14897.27658</v>
          </cell>
          <cell r="BB21">
            <v>15039.48724</v>
          </cell>
          <cell r="BC21">
            <v>15181.8681</v>
          </cell>
          <cell r="BD21">
            <v>15324.50747</v>
          </cell>
          <cell r="BE21">
            <v>15467.50431</v>
          </cell>
        </row>
        <row r="22">
          <cell r="A22" t="str">
            <v>auto_cc_cfut_2</v>
          </cell>
          <cell r="B22">
            <v>6777.6024520000001</v>
          </cell>
          <cell r="C22">
            <v>6643.9831549999999</v>
          </cell>
          <cell r="D22">
            <v>6551.8871490000001</v>
          </cell>
          <cell r="E22">
            <v>6490.418627</v>
          </cell>
          <cell r="F22">
            <v>6452.140144</v>
          </cell>
          <cell r="G22">
            <v>6432.0423110000002</v>
          </cell>
          <cell r="H22">
            <v>6425.940842</v>
          </cell>
          <cell r="I22">
            <v>6431.3928759999999</v>
          </cell>
          <cell r="J22">
            <v>6446.5705690000004</v>
          </cell>
          <cell r="K22">
            <v>6470.034259</v>
          </cell>
          <cell r="L22">
            <v>6501.3356510000003</v>
          </cell>
          <cell r="M22">
            <v>6538.7693470000004</v>
          </cell>
          <cell r="N22">
            <v>6581.7261479999997</v>
          </cell>
          <cell r="O22">
            <v>6629.5311750000001</v>
          </cell>
          <cell r="P22">
            <v>6681.5243970000001</v>
          </cell>
          <cell r="Q22">
            <v>6737.0756529999999</v>
          </cell>
          <cell r="R22">
            <v>6795.5598209999998</v>
          </cell>
          <cell r="S22">
            <v>6856.403397</v>
          </cell>
          <cell r="T22">
            <v>6919.0829359999998</v>
          </cell>
          <cell r="U22">
            <v>6983.1214630000004</v>
          </cell>
          <cell r="V22">
            <v>7047.1199040000001</v>
          </cell>
          <cell r="W22">
            <v>7111.738112</v>
          </cell>
          <cell r="X22">
            <v>7176.6558180000002</v>
          </cell>
          <cell r="Y22">
            <v>7241.607156</v>
          </cell>
          <cell r="Z22">
            <v>7306.3584490000003</v>
          </cell>
          <cell r="AA22">
            <v>7367.9616939999996</v>
          </cell>
          <cell r="AB22">
            <v>7427.9214869999996</v>
          </cell>
          <cell r="AC22">
            <v>7486.2300619999996</v>
          </cell>
          <cell r="AD22">
            <v>7542.9458350000004</v>
          </cell>
          <cell r="AE22">
            <v>7598.1527900000001</v>
          </cell>
          <cell r="AF22">
            <v>7651.9390350000003</v>
          </cell>
          <cell r="AG22">
            <v>7704.3936549999999</v>
          </cell>
          <cell r="AH22">
            <v>7755.5901919999997</v>
          </cell>
          <cell r="AI22">
            <v>7805.5886300000002</v>
          </cell>
          <cell r="AJ22">
            <v>7854.4401660000003</v>
          </cell>
          <cell r="AK22">
            <v>7902.1907529999999</v>
          </cell>
          <cell r="AL22">
            <v>7948.3370059999997</v>
          </cell>
          <cell r="AM22">
            <v>7992.9966809999996</v>
          </cell>
          <cell r="AN22">
            <v>8036.2648509999999</v>
          </cell>
          <cell r="AO22">
            <v>8078.2432840000001</v>
          </cell>
          <cell r="AP22">
            <v>8119.0416480000004</v>
          </cell>
          <cell r="AQ22">
            <v>8158.7815119999996</v>
          </cell>
          <cell r="AR22">
            <v>8197.5700390000002</v>
          </cell>
          <cell r="AS22">
            <v>8235.4980149999992</v>
          </cell>
          <cell r="AT22">
            <v>8272.6426499999998</v>
          </cell>
          <cell r="AU22">
            <v>8309.0699929999992</v>
          </cell>
          <cell r="AV22">
            <v>8344.9272739999997</v>
          </cell>
          <cell r="AW22">
            <v>8380.2734650000002</v>
          </cell>
          <cell r="AX22">
            <v>8415.145133</v>
          </cell>
          <cell r="AY22">
            <v>8449.5728249999993</v>
          </cell>
          <cell r="AZ22">
            <v>8483.5888009999999</v>
          </cell>
          <cell r="BA22">
            <v>8944.8946360000009</v>
          </cell>
          <cell r="BB22">
            <v>8984.7352420000007</v>
          </cell>
          <cell r="BC22">
            <v>9023.4650409999995</v>
          </cell>
          <cell r="BD22">
            <v>9061.1200069999995</v>
          </cell>
          <cell r="BE22">
            <v>9097.7437040000004</v>
          </cell>
        </row>
        <row r="23">
          <cell r="A23" t="str">
            <v>auto_cc_cfut_0</v>
          </cell>
          <cell r="B23">
            <v>6777.6024520000001</v>
          </cell>
          <cell r="C23">
            <v>6649.1114449999995</v>
          </cell>
          <cell r="D23">
            <v>6565.7578880000001</v>
          </cell>
          <cell r="E23">
            <v>6515.129516</v>
          </cell>
          <cell r="F23">
            <v>6488.7621529999997</v>
          </cell>
          <cell r="G23">
            <v>6480.9323539999996</v>
          </cell>
          <cell r="H23">
            <v>6486.9770319999998</v>
          </cell>
          <cell r="I23">
            <v>6504.1443859999999</v>
          </cell>
          <cell r="J23">
            <v>6530.4276499999996</v>
          </cell>
          <cell r="K23">
            <v>6564.2992819999999</v>
          </cell>
          <cell r="L23">
            <v>6605.8686900000002</v>
          </cell>
          <cell r="M23">
            <v>6652.730536</v>
          </cell>
          <cell r="N23">
            <v>6703.9825780000001</v>
          </cell>
          <cell r="O23">
            <v>6758.8198869999997</v>
          </cell>
          <cell r="P23">
            <v>6816.5419830000001</v>
          </cell>
          <cell r="Q23">
            <v>6876.5437389999997</v>
          </cell>
          <cell r="R23">
            <v>6938.302224</v>
          </cell>
          <cell r="S23">
            <v>7001.3638810000002</v>
          </cell>
          <cell r="T23">
            <v>7065.3336879999997</v>
          </cell>
          <cell r="U23">
            <v>7129.8666739999999</v>
          </cell>
          <cell r="V23">
            <v>7193.683779</v>
          </cell>
          <cell r="W23">
            <v>7257.5660699999999</v>
          </cell>
          <cell r="X23">
            <v>7321.3073109999996</v>
          </cell>
          <cell r="Y23">
            <v>7384.7393000000002</v>
          </cell>
          <cell r="Z23">
            <v>7447.7093519999999</v>
          </cell>
          <cell r="AA23">
            <v>7507.3186560000004</v>
          </cell>
          <cell r="AB23">
            <v>7565.0922250000003</v>
          </cell>
          <cell r="AC23">
            <v>7621.0602040000003</v>
          </cell>
          <cell r="AD23">
            <v>7675.3137509999997</v>
          </cell>
          <cell r="AE23">
            <v>7727.9584340000001</v>
          </cell>
          <cell r="AF23">
            <v>7779.0916310000002</v>
          </cell>
          <cell r="AG23">
            <v>7828.7927419999996</v>
          </cell>
          <cell r="AH23">
            <v>7877.1208809999998</v>
          </cell>
          <cell r="AI23">
            <v>7924.1165879999999</v>
          </cell>
          <cell r="AJ23">
            <v>7969.805214</v>
          </cell>
          <cell r="AK23">
            <v>8014.2005220000001</v>
          </cell>
          <cell r="AL23">
            <v>8056.693021</v>
          </cell>
          <cell r="AM23">
            <v>8097.3287229999996</v>
          </cell>
          <cell r="AN23">
            <v>8136.1621169999999</v>
          </cell>
          <cell r="AO23">
            <v>8173.259881</v>
          </cell>
          <cell r="AP23">
            <v>8208.6924720000006</v>
          </cell>
          <cell r="AQ23">
            <v>8242.5249769999991</v>
          </cell>
          <cell r="AR23">
            <v>8274.8106040000002</v>
          </cell>
          <cell r="AS23">
            <v>8305.587313</v>
          </cell>
          <cell r="AT23">
            <v>8334.8770199999999</v>
          </cell>
          <cell r="AU23">
            <v>8362.6865400000006</v>
          </cell>
          <cell r="AV23">
            <v>8389.0597539999999</v>
          </cell>
          <cell r="AW23">
            <v>8413.9750829999994</v>
          </cell>
          <cell r="AX23">
            <v>8437.4009330000008</v>
          </cell>
          <cell r="AY23">
            <v>8459.2965989999993</v>
          </cell>
          <cell r="AZ23">
            <v>8479.6143240000001</v>
          </cell>
          <cell r="BA23">
            <v>8921.7440729999998</v>
          </cell>
          <cell r="BB23">
            <v>8959.6840950000005</v>
          </cell>
          <cell r="BC23">
            <v>8996.3812340000004</v>
          </cell>
          <cell r="BD23">
            <v>9031.8619600000002</v>
          </cell>
          <cell r="BE23">
            <v>9066.1583840000003</v>
          </cell>
        </row>
        <row r="24">
          <cell r="A24" t="str">
            <v>auto_cd_cfut_2</v>
          </cell>
          <cell r="B24">
            <v>4159.6639080000004</v>
          </cell>
          <cell r="C24">
            <v>4053.2086810000001</v>
          </cell>
          <cell r="D24">
            <v>3970.5652089999999</v>
          </cell>
          <cell r="E24">
            <v>3905.148193</v>
          </cell>
          <cell r="F24">
            <v>3852.4571040000001</v>
          </cell>
          <cell r="G24">
            <v>3809.4370730000001</v>
          </cell>
          <cell r="H24">
            <v>3773.577722</v>
          </cell>
          <cell r="I24">
            <v>3743.3704550000002</v>
          </cell>
          <cell r="J24">
            <v>3717.683082</v>
          </cell>
          <cell r="K24">
            <v>3695.6248390000001</v>
          </cell>
          <cell r="L24">
            <v>3676.8430750000002</v>
          </cell>
          <cell r="M24">
            <v>3660.3662290000002</v>
          </cell>
          <cell r="N24">
            <v>3645.7813369999999</v>
          </cell>
          <cell r="O24">
            <v>3632.6520409999998</v>
          </cell>
          <cell r="P24">
            <v>3620.565638</v>
          </cell>
          <cell r="Q24">
            <v>3609.1431969999999</v>
          </cell>
          <cell r="R24">
            <v>3598.0280269999998</v>
          </cell>
          <cell r="S24">
            <v>3586.906031</v>
          </cell>
          <cell r="T24">
            <v>3575.503064</v>
          </cell>
          <cell r="U24">
            <v>3563.5809610000001</v>
          </cell>
          <cell r="V24">
            <v>3550.5167820000001</v>
          </cell>
          <cell r="W24">
            <v>3536.601662</v>
          </cell>
          <cell r="X24">
            <v>3521.7003800000002</v>
          </cell>
          <cell r="Y24">
            <v>3505.707324</v>
          </cell>
          <cell r="Z24">
            <v>3488.5364249999998</v>
          </cell>
          <cell r="AA24">
            <v>3469.0302769999998</v>
          </cell>
          <cell r="AB24">
            <v>3447.848947</v>
          </cell>
          <cell r="AC24">
            <v>3425.036654</v>
          </cell>
          <cell r="AD24">
            <v>3400.6604739999998</v>
          </cell>
          <cell r="AE24">
            <v>3374.7935219999999</v>
          </cell>
          <cell r="AF24">
            <v>3347.5069210000001</v>
          </cell>
          <cell r="AG24">
            <v>3318.8689610000001</v>
          </cell>
          <cell r="AH24">
            <v>3288.9395330000002</v>
          </cell>
          <cell r="AI24">
            <v>3257.771201</v>
          </cell>
          <cell r="AJ24">
            <v>3225.411349</v>
          </cell>
          <cell r="AK24">
            <v>3191.9038439999999</v>
          </cell>
          <cell r="AL24">
            <v>3157.1157539999999</v>
          </cell>
          <cell r="AM24">
            <v>3121.1235270000002</v>
          </cell>
          <cell r="AN24">
            <v>3083.9937909999999</v>
          </cell>
          <cell r="AO24">
            <v>3045.792183</v>
          </cell>
          <cell r="AP24">
            <v>3006.5839040000001</v>
          </cell>
          <cell r="AQ24">
            <v>2966.435309</v>
          </cell>
          <cell r="AR24">
            <v>2925.4066710000002</v>
          </cell>
          <cell r="AS24">
            <v>2883.551966</v>
          </cell>
          <cell r="AT24">
            <v>2840.9201670000002</v>
          </cell>
          <cell r="AU24">
            <v>2797.5563739999998</v>
          </cell>
          <cell r="AV24">
            <v>2753.5258520000002</v>
          </cell>
          <cell r="AW24">
            <v>2708.870038</v>
          </cell>
          <cell r="AX24">
            <v>2663.6238330000001</v>
          </cell>
          <cell r="AY24">
            <v>2617.8201359999998</v>
          </cell>
          <cell r="AZ24">
            <v>2571.4921490000002</v>
          </cell>
          <cell r="BA24">
            <v>2593.1708560000002</v>
          </cell>
          <cell r="BB24">
            <v>2544.777732</v>
          </cell>
          <cell r="BC24">
            <v>2495.8074900000001</v>
          </cell>
          <cell r="BD24">
            <v>2446.3127749999999</v>
          </cell>
          <cell r="BE24">
            <v>2396.3466669999998</v>
          </cell>
        </row>
        <row r="25">
          <cell r="A25" t="str">
            <v>auto_cd_cfut_0</v>
          </cell>
          <cell r="B25">
            <v>4159.6639080000004</v>
          </cell>
          <cell r="C25">
            <v>4055.93001</v>
          </cell>
          <cell r="D25">
            <v>3977.7671690000002</v>
          </cell>
          <cell r="E25">
            <v>3917.6933049999998</v>
          </cell>
          <cell r="F25">
            <v>3870.6369629999999</v>
          </cell>
          <cell r="G25">
            <v>3833.1758869999999</v>
          </cell>
          <cell r="H25">
            <v>3802.575394</v>
          </cell>
          <cell r="I25">
            <v>3777.1954850000002</v>
          </cell>
          <cell r="J25">
            <v>3755.840146</v>
          </cell>
          <cell r="K25">
            <v>3737.6000089999998</v>
          </cell>
          <cell r="L25">
            <v>3722.411681</v>
          </cell>
          <cell r="M25">
            <v>3708.9721450000002</v>
          </cell>
          <cell r="N25">
            <v>3696.7601669999999</v>
          </cell>
          <cell r="O25">
            <v>3685.3224169999999</v>
          </cell>
          <cell r="P25">
            <v>3674.2734369999998</v>
          </cell>
          <cell r="Q25">
            <v>3663.2882119999999</v>
          </cell>
          <cell r="R25">
            <v>3652.0934750000001</v>
          </cell>
          <cell r="S25">
            <v>3640.459703</v>
          </cell>
          <cell r="T25">
            <v>3628.1943799999999</v>
          </cell>
          <cell r="U25">
            <v>3615.1365740000001</v>
          </cell>
          <cell r="V25">
            <v>3600.7336089999999</v>
          </cell>
          <cell r="W25">
            <v>3585.3355419999998</v>
          </cell>
          <cell r="X25">
            <v>3568.862889</v>
          </cell>
          <cell r="Y25">
            <v>3551.2553899999998</v>
          </cell>
          <cell r="Z25">
            <v>3532.462532</v>
          </cell>
          <cell r="AA25">
            <v>3511.3548930000002</v>
          </cell>
          <cell r="AB25">
            <v>3488.5944589999999</v>
          </cell>
          <cell r="AC25">
            <v>3464.2380029999999</v>
          </cell>
          <cell r="AD25">
            <v>3438.3627350000002</v>
          </cell>
          <cell r="AE25">
            <v>3411.0476779999999</v>
          </cell>
          <cell r="AF25">
            <v>3382.3655330000001</v>
          </cell>
          <cell r="AG25">
            <v>3352.3797639999998</v>
          </cell>
          <cell r="AH25">
            <v>3321.1444919999999</v>
          </cell>
          <cell r="AI25">
            <v>3288.705829</v>
          </cell>
          <cell r="AJ25">
            <v>3255.1037299999998</v>
          </cell>
          <cell r="AK25">
            <v>3220.37383</v>
          </cell>
          <cell r="AL25">
            <v>3184.3526919999999</v>
          </cell>
          <cell r="AM25">
            <v>3147.09843</v>
          </cell>
          <cell r="AN25">
            <v>3108.6722829999999</v>
          </cell>
          <cell r="AO25">
            <v>3069.1387800000002</v>
          </cell>
          <cell r="AP25">
            <v>3028.562664</v>
          </cell>
          <cell r="AQ25">
            <v>2987.0061340000002</v>
          </cell>
          <cell r="AR25">
            <v>2944.5272199999999</v>
          </cell>
          <cell r="AS25">
            <v>2901.179251</v>
          </cell>
          <cell r="AT25">
            <v>2857.011109</v>
          </cell>
          <cell r="AU25">
            <v>2812.0679500000001</v>
          </cell>
          <cell r="AV25">
            <v>2766.4048520000001</v>
          </cell>
          <cell r="AW25">
            <v>2720.0603230000002</v>
          </cell>
          <cell r="AX25">
            <v>2673.0715879999998</v>
          </cell>
          <cell r="AY25">
            <v>2625.4751529999999</v>
          </cell>
          <cell r="AZ25">
            <v>2577.3075450000001</v>
          </cell>
          <cell r="BA25">
            <v>2596.5519389999999</v>
          </cell>
          <cell r="BB25">
            <v>2548.3801870000002</v>
          </cell>
          <cell r="BC25">
            <v>2499.6340030000001</v>
          </cell>
          <cell r="BD25">
            <v>2450.3657029999999</v>
          </cell>
          <cell r="BE25">
            <v>2400.6280200000001</v>
          </cell>
        </row>
        <row r="26">
          <cell r="A26" t="str">
            <v>auto_ce_cfut_2</v>
          </cell>
          <cell r="B26">
            <v>2503.7292430000002</v>
          </cell>
          <cell r="C26">
            <v>2441.9741130000002</v>
          </cell>
          <cell r="D26">
            <v>2393.6425899999999</v>
          </cell>
          <cell r="E26">
            <v>2354.5319220000001</v>
          </cell>
          <cell r="F26">
            <v>2321.8090990000001</v>
          </cell>
          <cell r="G26">
            <v>2293.5801970000002</v>
          </cell>
          <cell r="H26">
            <v>2268.3283630000001</v>
          </cell>
          <cell r="I26">
            <v>2245.1675919999998</v>
          </cell>
          <cell r="J26">
            <v>2223.457124</v>
          </cell>
          <cell r="K26">
            <v>2202.7133469999999</v>
          </cell>
          <cell r="L26">
            <v>2182.7728959999999</v>
          </cell>
          <cell r="M26">
            <v>2163.1265899999999</v>
          </cell>
          <cell r="N26">
            <v>2143.5806680000001</v>
          </cell>
          <cell r="O26">
            <v>2123.9301559999999</v>
          </cell>
          <cell r="P26">
            <v>2103.9886459999998</v>
          </cell>
          <cell r="Q26">
            <v>2083.595065</v>
          </cell>
          <cell r="R26">
            <v>2062.6073700000002</v>
          </cell>
          <cell r="S26">
            <v>2040.912327</v>
          </cell>
          <cell r="T26">
            <v>2018.4228900000001</v>
          </cell>
          <cell r="U26">
            <v>1995.074789</v>
          </cell>
          <cell r="V26">
            <v>1970.6182249999999</v>
          </cell>
          <cell r="W26">
            <v>1945.261285</v>
          </cell>
          <cell r="X26">
            <v>1918.998247</v>
          </cell>
          <cell r="Y26">
            <v>1891.8379239999999</v>
          </cell>
          <cell r="Z26">
            <v>1863.7985080000001</v>
          </cell>
          <cell r="AA26">
            <v>1834.409789</v>
          </cell>
          <cell r="AB26">
            <v>1804.0479969999999</v>
          </cell>
          <cell r="AC26">
            <v>1772.7988559999999</v>
          </cell>
          <cell r="AD26">
            <v>1740.7541450000001</v>
          </cell>
          <cell r="AE26">
            <v>1708.004013</v>
          </cell>
          <cell r="AF26">
            <v>1674.6337530000001</v>
          </cell>
          <cell r="AG26">
            <v>1640.723802</v>
          </cell>
          <cell r="AH26">
            <v>1606.347759</v>
          </cell>
          <cell r="AI26">
            <v>1571.573175</v>
          </cell>
          <cell r="AJ26">
            <v>1536.462775</v>
          </cell>
          <cell r="AK26">
            <v>1501.075439</v>
          </cell>
          <cell r="AL26">
            <v>1465.4013440000001</v>
          </cell>
          <cell r="AM26">
            <v>1429.511262</v>
          </cell>
          <cell r="AN26">
            <v>1393.4695429999999</v>
          </cell>
          <cell r="AO26">
            <v>1357.337411</v>
          </cell>
          <cell r="AP26">
            <v>1321.17336</v>
          </cell>
          <cell r="AQ26">
            <v>1285.033968</v>
          </cell>
          <cell r="AR26">
            <v>1248.971605</v>
          </cell>
          <cell r="AS26">
            <v>1213.0345460000001</v>
          </cell>
          <cell r="AT26">
            <v>1177.2676160000001</v>
          </cell>
          <cell r="AU26">
            <v>1141.7127350000001</v>
          </cell>
          <cell r="AV26">
            <v>1106.416502</v>
          </cell>
          <cell r="AW26">
            <v>1071.4164029999999</v>
          </cell>
          <cell r="AX26">
            <v>1036.7463439999999</v>
          </cell>
          <cell r="AY26">
            <v>1002.438174</v>
          </cell>
          <cell r="AZ26">
            <v>968.52248599999996</v>
          </cell>
          <cell r="BA26">
            <v>942.4006637</v>
          </cell>
          <cell r="BB26">
            <v>908.72411469999997</v>
          </cell>
          <cell r="BC26">
            <v>875.52158870000005</v>
          </cell>
          <cell r="BD26">
            <v>842.82576189999997</v>
          </cell>
          <cell r="BE26">
            <v>810.66726630000005</v>
          </cell>
        </row>
        <row r="27">
          <cell r="A27" t="str">
            <v>auto_ce_cfut_0</v>
          </cell>
          <cell r="B27">
            <v>2503.7292430000002</v>
          </cell>
          <cell r="C27">
            <v>2443.575566</v>
          </cell>
          <cell r="D27">
            <v>2397.7906790000002</v>
          </cell>
          <cell r="E27">
            <v>2361.5943029999999</v>
          </cell>
          <cell r="F27">
            <v>2331.8074649999999</v>
          </cell>
          <cell r="G27">
            <v>2306.3317820000002</v>
          </cell>
          <cell r="H27">
            <v>2283.5399510000002</v>
          </cell>
          <cell r="I27">
            <v>2262.4909210000001</v>
          </cell>
          <cell r="J27">
            <v>2242.5270829999999</v>
          </cell>
          <cell r="K27">
            <v>2223.1721680000001</v>
          </cell>
          <cell r="L27">
            <v>2204.4341869999998</v>
          </cell>
          <cell r="M27">
            <v>2185.6311850000002</v>
          </cell>
          <cell r="N27">
            <v>2166.530514</v>
          </cell>
          <cell r="O27">
            <v>2146.9429230000001</v>
          </cell>
          <cell r="P27">
            <v>2126.7206919999999</v>
          </cell>
          <cell r="Q27">
            <v>2105.7520549999999</v>
          </cell>
          <cell r="R27">
            <v>2083.9553299999998</v>
          </cell>
          <cell r="S27">
            <v>2061.2737149999998</v>
          </cell>
          <cell r="T27">
            <v>2037.6709390000001</v>
          </cell>
          <cell r="U27">
            <v>2013.127757</v>
          </cell>
          <cell r="V27">
            <v>1987.4347479999999</v>
          </cell>
          <cell r="W27">
            <v>1960.828469</v>
          </cell>
          <cell r="X27">
            <v>1933.3301289999999</v>
          </cell>
          <cell r="Y27">
            <v>1904.968777</v>
          </cell>
          <cell r="Z27">
            <v>1875.7768679999999</v>
          </cell>
          <cell r="AA27">
            <v>1845.2980910000001</v>
          </cell>
          <cell r="AB27">
            <v>1813.902844</v>
          </cell>
          <cell r="AC27">
            <v>1781.6781599999999</v>
          </cell>
          <cell r="AD27">
            <v>1748.716011</v>
          </cell>
          <cell r="AE27">
            <v>1715.105024</v>
          </cell>
          <cell r="AF27">
            <v>1680.9273439999999</v>
          </cell>
          <cell r="AG27">
            <v>1646.2578599999999</v>
          </cell>
          <cell r="AH27">
            <v>1611.1646410000001</v>
          </cell>
          <cell r="AI27">
            <v>1575.7099020000001</v>
          </cell>
          <cell r="AJ27">
            <v>1539.951135</v>
          </cell>
          <cell r="AK27">
            <v>1503.9421589999999</v>
          </cell>
          <cell r="AL27">
            <v>1467.6606859999999</v>
          </cell>
          <cell r="AM27">
            <v>1431.1695070000001</v>
          </cell>
          <cell r="AN27">
            <v>1394.530735</v>
          </cell>
          <cell r="AO27">
            <v>1357.8055629999999</v>
          </cell>
          <cell r="AP27">
            <v>1321.053036</v>
          </cell>
          <cell r="AQ27">
            <v>1284.329125</v>
          </cell>
          <cell r="AR27">
            <v>1247.6863060000001</v>
          </cell>
          <cell r="AS27">
            <v>1211.173548</v>
          </cell>
          <cell r="AT27">
            <v>1174.8365630000001</v>
          </cell>
          <cell r="AU27">
            <v>1138.7181860000001</v>
          </cell>
          <cell r="AV27">
            <v>1102.862627</v>
          </cell>
          <cell r="AW27">
            <v>1067.307317</v>
          </cell>
          <cell r="AX27">
            <v>1032.087863</v>
          </cell>
          <cell r="AY27">
            <v>997.23826659999997</v>
          </cell>
          <cell r="AZ27">
            <v>962.7911593</v>
          </cell>
          <cell r="BA27">
            <v>945.27267259999996</v>
          </cell>
          <cell r="BB27">
            <v>911.68588090000003</v>
          </cell>
          <cell r="BC27">
            <v>878.5668349</v>
          </cell>
          <cell r="BD27">
            <v>845.94794160000004</v>
          </cell>
          <cell r="BE27">
            <v>813.85963189999995</v>
          </cell>
        </row>
        <row r="28">
          <cell r="A28" t="str">
            <v>auto_cf_cfut_2</v>
          </cell>
          <cell r="B28">
            <v>1243.6668460000001</v>
          </cell>
          <cell r="C28">
            <v>1210.292731</v>
          </cell>
          <cell r="D28">
            <v>1182.128528</v>
          </cell>
          <cell r="E28">
            <v>1156.8868990000001</v>
          </cell>
          <cell r="F28">
            <v>1133.1132789999999</v>
          </cell>
          <cell r="G28">
            <v>1109.907111</v>
          </cell>
          <cell r="H28">
            <v>1086.629432</v>
          </cell>
          <cell r="I28">
            <v>1062.975351</v>
          </cell>
          <cell r="J28">
            <v>1038.7820850000001</v>
          </cell>
          <cell r="K28">
            <v>1013.975505</v>
          </cell>
          <cell r="L28">
            <v>988.61784590000002</v>
          </cell>
          <cell r="M28">
            <v>962.65166299999999</v>
          </cell>
          <cell r="N28">
            <v>936.13020619999998</v>
          </cell>
          <cell r="O28">
            <v>909.10256979999997</v>
          </cell>
          <cell r="P28">
            <v>881.62671829999999</v>
          </cell>
          <cell r="Q28">
            <v>853.77151060000006</v>
          </cell>
          <cell r="R28">
            <v>825.61320439999997</v>
          </cell>
          <cell r="S28">
            <v>797.23587750000002</v>
          </cell>
          <cell r="T28">
            <v>768.72843420000004</v>
          </cell>
          <cell r="U28">
            <v>740.18163970000001</v>
          </cell>
          <cell r="V28">
            <v>711.64104280000004</v>
          </cell>
          <cell r="W28">
            <v>683.24977679999995</v>
          </cell>
          <cell r="X28">
            <v>655.09280090000004</v>
          </cell>
          <cell r="Y28">
            <v>627.25000139999997</v>
          </cell>
          <cell r="Z28">
            <v>599.79513059999999</v>
          </cell>
          <cell r="AA28">
            <v>572.71331989999999</v>
          </cell>
          <cell r="AB28">
            <v>546.13240359999998</v>
          </cell>
          <cell r="AC28">
            <v>520.11830999999995</v>
          </cell>
          <cell r="AD28">
            <v>494.72826889999999</v>
          </cell>
          <cell r="AE28">
            <v>470.01030229999998</v>
          </cell>
          <cell r="AF28">
            <v>446.003649</v>
          </cell>
          <cell r="AG28">
            <v>422.73962599999999</v>
          </cell>
          <cell r="AH28">
            <v>400.24218580000002</v>
          </cell>
          <cell r="AI28">
            <v>378.52873820000002</v>
          </cell>
          <cell r="AJ28">
            <v>357.61096040000001</v>
          </cell>
          <cell r="AK28">
            <v>337.49550410000001</v>
          </cell>
          <cell r="AL28">
            <v>318.17917460000001</v>
          </cell>
          <cell r="AM28">
            <v>299.66283809999999</v>
          </cell>
          <cell r="AN28">
            <v>281.94314809999997</v>
          </cell>
          <cell r="AO28">
            <v>265.01322449999998</v>
          </cell>
          <cell r="AP28">
            <v>248.86311749999999</v>
          </cell>
          <cell r="AQ28">
            <v>233.48026859999999</v>
          </cell>
          <cell r="AR28">
            <v>218.84973310000001</v>
          </cell>
          <cell r="AS28">
            <v>204.95451550000001</v>
          </cell>
          <cell r="AT28">
            <v>191.77590960000001</v>
          </cell>
          <cell r="AU28">
            <v>179.2937991</v>
          </cell>
          <cell r="AV28">
            <v>167.48720940000001</v>
          </cell>
          <cell r="AW28">
            <v>156.33392670000001</v>
          </cell>
          <cell r="AX28">
            <v>145.8109493</v>
          </cell>
          <cell r="AY28">
            <v>135.89474200000001</v>
          </cell>
          <cell r="AZ28">
            <v>126.56143830000001</v>
          </cell>
          <cell r="BA28">
            <v>114.4251134</v>
          </cell>
          <cell r="BB28">
            <v>106.3615669</v>
          </cell>
          <cell r="BC28">
            <v>98.805041329999995</v>
          </cell>
          <cell r="BD28">
            <v>91.7312467</v>
          </cell>
          <cell r="BE28">
            <v>85.116179560000006</v>
          </cell>
        </row>
        <row r="29">
          <cell r="A29" t="str">
            <v>auto_cf_cfut_0</v>
          </cell>
          <cell r="B29">
            <v>1243.6668460000001</v>
          </cell>
          <cell r="C29">
            <v>1210.9488530000001</v>
          </cell>
          <cell r="D29">
            <v>1183.6825670000001</v>
          </cell>
          <cell r="E29">
            <v>1159.2756890000001</v>
          </cell>
          <cell r="F29">
            <v>1136.132953</v>
          </cell>
          <cell r="G29">
            <v>1113.3056999999999</v>
          </cell>
          <cell r="H29">
            <v>1090.158009</v>
          </cell>
          <cell r="I29">
            <v>1066.408351</v>
          </cell>
          <cell r="J29">
            <v>1041.927115</v>
          </cell>
          <cell r="K29">
            <v>1016.676509</v>
          </cell>
          <cell r="L29">
            <v>990.79836650000004</v>
          </cell>
          <cell r="M29">
            <v>964.19775749999997</v>
          </cell>
          <cell r="N29">
            <v>936.94409029999997</v>
          </cell>
          <cell r="O29">
            <v>909.12150569999994</v>
          </cell>
          <cell r="P29">
            <v>880.82502009999996</v>
          </cell>
          <cell r="Q29">
            <v>852.1562715</v>
          </cell>
          <cell r="R29">
            <v>823.21993580000003</v>
          </cell>
          <cell r="S29">
            <v>794.12089990000004</v>
          </cell>
          <cell r="T29">
            <v>764.96208820000004</v>
          </cell>
          <cell r="U29">
            <v>735.84282480000002</v>
          </cell>
          <cell r="V29">
            <v>706.81445080000003</v>
          </cell>
          <cell r="W29">
            <v>678.0182006</v>
          </cell>
          <cell r="X29">
            <v>649.53709930000002</v>
          </cell>
          <cell r="Y29">
            <v>621.44689919999996</v>
          </cell>
          <cell r="Z29">
            <v>593.81567740000003</v>
          </cell>
          <cell r="AA29">
            <v>566.6249689</v>
          </cell>
          <cell r="AB29">
            <v>539.99172160000001</v>
          </cell>
          <cell r="AC29">
            <v>513.97431970000002</v>
          </cell>
          <cell r="AD29">
            <v>488.62300370000003</v>
          </cell>
          <cell r="AE29">
            <v>463.97932969999999</v>
          </cell>
          <cell r="AF29">
            <v>440.07660199999998</v>
          </cell>
          <cell r="AG29">
            <v>416.94062029999998</v>
          </cell>
          <cell r="AH29">
            <v>394.59050430000002</v>
          </cell>
          <cell r="AI29">
            <v>373.0394948</v>
          </cell>
          <cell r="AJ29">
            <v>352.2956848</v>
          </cell>
          <cell r="AK29">
            <v>332.36266269999999</v>
          </cell>
          <cell r="AL29">
            <v>313.23410330000002</v>
          </cell>
          <cell r="AM29">
            <v>294.90834949999999</v>
          </cell>
          <cell r="AN29">
            <v>277.38045090000003</v>
          </cell>
          <cell r="AO29">
            <v>260.64240389999998</v>
          </cell>
          <cell r="AP29">
            <v>244.68337030000001</v>
          </cell>
          <cell r="AQ29">
            <v>229.4899503</v>
          </cell>
          <cell r="AR29">
            <v>215.04648950000001</v>
          </cell>
          <cell r="AS29">
            <v>201.33539329999999</v>
          </cell>
          <cell r="AT29">
            <v>188.3374311</v>
          </cell>
          <cell r="AU29">
            <v>176.03201899999999</v>
          </cell>
          <cell r="AV29">
            <v>164.3976232</v>
          </cell>
          <cell r="AW29">
            <v>153.41163589999999</v>
          </cell>
          <cell r="AX29">
            <v>143.0508002</v>
          </cell>
          <cell r="AY29">
            <v>133.29139459999999</v>
          </cell>
          <cell r="AZ29">
            <v>124.10940069999999</v>
          </cell>
          <cell r="BA29">
            <v>114.9074565</v>
          </cell>
          <cell r="BB29">
            <v>106.8293941</v>
          </cell>
          <cell r="BC29">
            <v>99.257369080000004</v>
          </cell>
          <cell r="BD29">
            <v>92.167277819999995</v>
          </cell>
          <cell r="BE29">
            <v>85.535296729999999</v>
          </cell>
        </row>
        <row r="30">
          <cell r="A30" t="str">
            <v>auto_cg_cfut_2</v>
          </cell>
          <cell r="B30">
            <v>2239.620606</v>
          </cell>
          <cell r="C30">
            <v>2182.8302189999999</v>
          </cell>
          <cell r="D30">
            <v>2132.9356640000001</v>
          </cell>
          <cell r="E30">
            <v>2085.4439389999998</v>
          </cell>
          <cell r="F30">
            <v>2037.7231730000001</v>
          </cell>
          <cell r="G30">
            <v>1988.347493</v>
          </cell>
          <cell r="H30">
            <v>1936.496924</v>
          </cell>
          <cell r="I30">
            <v>1882.005396</v>
          </cell>
          <cell r="J30">
            <v>1824.984177</v>
          </cell>
          <cell r="K30">
            <v>1765.70102</v>
          </cell>
          <cell r="L30">
            <v>1704.6256539999999</v>
          </cell>
          <cell r="M30">
            <v>1642.034087</v>
          </cell>
          <cell r="N30">
            <v>1578.332545</v>
          </cell>
          <cell r="O30">
            <v>1513.893881</v>
          </cell>
          <cell r="P30">
            <v>1449.07808</v>
          </cell>
          <cell r="Q30">
            <v>1384.2339280000001</v>
          </cell>
          <cell r="R30">
            <v>1319.692517</v>
          </cell>
          <cell r="S30">
            <v>1255.765435</v>
          </cell>
          <cell r="T30">
            <v>1192.7398229999999</v>
          </cell>
          <cell r="U30">
            <v>1130.8744859999999</v>
          </cell>
          <cell r="V30">
            <v>1070.3560869999999</v>
          </cell>
          <cell r="W30">
            <v>1011.435923</v>
          </cell>
          <cell r="X30">
            <v>954.27969129999997</v>
          </cell>
          <cell r="Y30">
            <v>899.02242709999996</v>
          </cell>
          <cell r="Z30">
            <v>845.77013120000004</v>
          </cell>
          <cell r="AA30">
            <v>794.54192880000005</v>
          </cell>
          <cell r="AB30">
            <v>745.44767739999998</v>
          </cell>
          <cell r="AC30">
            <v>698.5300628</v>
          </cell>
          <cell r="AD30">
            <v>653.80887419999999</v>
          </cell>
          <cell r="AE30">
            <v>611.28346759999999</v>
          </cell>
          <cell r="AF30">
            <v>570.93572300000005</v>
          </cell>
          <cell r="AG30">
            <v>532.73298109999996</v>
          </cell>
          <cell r="AH30">
            <v>496.6305006</v>
          </cell>
          <cell r="AI30">
            <v>462.5737828</v>
          </cell>
          <cell r="AJ30">
            <v>430.50063399999999</v>
          </cell>
          <cell r="AK30">
            <v>400.34293719999999</v>
          </cell>
          <cell r="AL30">
            <v>372.0260045</v>
          </cell>
          <cell r="AM30">
            <v>345.47552300000001</v>
          </cell>
          <cell r="AN30">
            <v>320.61464239999998</v>
          </cell>
          <cell r="AO30">
            <v>297.36507949999998</v>
          </cell>
          <cell r="AP30">
            <v>275.64801879999999</v>
          </cell>
          <cell r="AQ30">
            <v>255.38488699999999</v>
          </cell>
          <cell r="AR30">
            <v>236.49793840000001</v>
          </cell>
          <cell r="AS30">
            <v>218.9107764</v>
          </cell>
          <cell r="AT30">
            <v>202.5487913</v>
          </cell>
          <cell r="AU30">
            <v>187.3395089</v>
          </cell>
          <cell r="AV30">
            <v>173.21292320000001</v>
          </cell>
          <cell r="AW30">
            <v>160.10156430000001</v>
          </cell>
          <cell r="AX30">
            <v>147.94070909999999</v>
          </cell>
          <cell r="AY30">
            <v>136.66850070000001</v>
          </cell>
          <cell r="AZ30">
            <v>126.226016</v>
          </cell>
          <cell r="BA30">
            <v>112.4660597</v>
          </cell>
          <cell r="BB30">
            <v>103.8162528</v>
          </cell>
          <cell r="BC30">
            <v>95.817794160000005</v>
          </cell>
          <cell r="BD30">
            <v>88.424316970000007</v>
          </cell>
          <cell r="BE30">
            <v>81.592274309999993</v>
          </cell>
        </row>
        <row r="31">
          <cell r="A31" t="str">
            <v>auto_cg_cfut_0</v>
          </cell>
          <cell r="B31">
            <v>2239.620606</v>
          </cell>
          <cell r="C31">
            <v>2183.8728550000001</v>
          </cell>
          <cell r="D31">
            <v>2135.1571220000001</v>
          </cell>
          <cell r="E31">
            <v>2088.4049450000002</v>
          </cell>
          <cell r="F31">
            <v>2040.797628</v>
          </cell>
          <cell r="G31">
            <v>1990.9240400000001</v>
          </cell>
          <cell r="H31">
            <v>1938.0714009999999</v>
          </cell>
          <cell r="I31">
            <v>1882.198707</v>
          </cell>
          <cell r="J31">
            <v>1823.539168</v>
          </cell>
          <cell r="K31">
            <v>1762.4691640000001</v>
          </cell>
          <cell r="L31">
            <v>1699.6019510000001</v>
          </cell>
          <cell r="M31">
            <v>1635.1895870000001</v>
          </cell>
          <cell r="N31">
            <v>1569.6906140000001</v>
          </cell>
          <cell r="O31">
            <v>1503.549119</v>
          </cell>
          <cell r="P31">
            <v>1437.1865089999999</v>
          </cell>
          <cell r="Q31">
            <v>1370.9946480000001</v>
          </cell>
          <cell r="R31">
            <v>1305.331383</v>
          </cell>
          <cell r="S31">
            <v>1240.5180720000001</v>
          </cell>
          <cell r="T31">
            <v>1176.8386350000001</v>
          </cell>
          <cell r="U31">
            <v>1114.5397379999999</v>
          </cell>
          <cell r="V31">
            <v>1053.7927090000001</v>
          </cell>
          <cell r="W31">
            <v>994.82360259999996</v>
          </cell>
          <cell r="X31">
            <v>937.77531290000002</v>
          </cell>
          <cell r="Y31">
            <v>882.75963890000003</v>
          </cell>
          <cell r="Z31">
            <v>829.85993489999998</v>
          </cell>
          <cell r="AA31">
            <v>779.07770370000003</v>
          </cell>
          <cell r="AB31">
            <v>730.49894359999996</v>
          </cell>
          <cell r="AC31">
            <v>684.14842929999998</v>
          </cell>
          <cell r="AD31">
            <v>640.03062950000003</v>
          </cell>
          <cell r="AE31">
            <v>598.13192779999997</v>
          </cell>
          <cell r="AF31">
            <v>558.42333510000003</v>
          </cell>
          <cell r="AG31">
            <v>520.86312109999994</v>
          </cell>
          <cell r="AH31">
            <v>485.39919939999999</v>
          </cell>
          <cell r="AI31">
            <v>451.97123160000001</v>
          </cell>
          <cell r="AJ31">
            <v>420.51245230000001</v>
          </cell>
          <cell r="AK31">
            <v>390.95123640000003</v>
          </cell>
          <cell r="AL31">
            <v>363.21010749999999</v>
          </cell>
          <cell r="AM31">
            <v>337.21271389999998</v>
          </cell>
          <cell r="AN31">
            <v>312.8810355</v>
          </cell>
          <cell r="AO31">
            <v>290.13618279999997</v>
          </cell>
          <cell r="AP31">
            <v>268.89910759999998</v>
          </cell>
          <cell r="AQ31">
            <v>249.09124639999999</v>
          </cell>
          <cell r="AR31">
            <v>230.63508540000001</v>
          </cell>
          <cell r="AS31">
            <v>213.4546406</v>
          </cell>
          <cell r="AT31">
            <v>197.47585419999999</v>
          </cell>
          <cell r="AU31">
            <v>182.62691359999999</v>
          </cell>
          <cell r="AV31">
            <v>168.83852899999999</v>
          </cell>
          <cell r="AW31">
            <v>156.0440447</v>
          </cell>
          <cell r="AX31">
            <v>144.17962299999999</v>
          </cell>
          <cell r="AY31">
            <v>133.18433150000001</v>
          </cell>
          <cell r="AZ31">
            <v>123.0001898</v>
          </cell>
          <cell r="BA31">
            <v>112.71163730000001</v>
          </cell>
          <cell r="BB31">
            <v>104.0471179</v>
          </cell>
          <cell r="BC31">
            <v>96.034357119999996</v>
          </cell>
          <cell r="BD31">
            <v>88.627060349999994</v>
          </cell>
          <cell r="BE31">
            <v>81.781736309999999</v>
          </cell>
        </row>
        <row r="32">
          <cell r="A32" t="str">
            <v>auto_ca_cele_2</v>
          </cell>
          <cell r="B32">
            <v>9.8427898650000003</v>
          </cell>
          <cell r="C32">
            <v>14.901281429999999</v>
          </cell>
          <cell r="D32">
            <v>20.176721690000001</v>
          </cell>
          <cell r="E32">
            <v>25.56121315</v>
          </cell>
          <cell r="F32">
            <v>30.989661510000001</v>
          </cell>
          <cell r="G32">
            <v>36.42457023</v>
          </cell>
          <cell r="H32">
            <v>41.833644530000001</v>
          </cell>
          <cell r="I32">
            <v>47.202638800000003</v>
          </cell>
          <cell r="J32">
            <v>52.52114546</v>
          </cell>
          <cell r="K32">
            <v>57.780400819999997</v>
          </cell>
          <cell r="L32">
            <v>62.982516369999999</v>
          </cell>
          <cell r="M32">
            <v>68.110139680000003</v>
          </cell>
          <cell r="N32">
            <v>73.158746679999993</v>
          </cell>
          <cell r="O32">
            <v>78.12097507</v>
          </cell>
          <cell r="P32">
            <v>82.987777059999999</v>
          </cell>
          <cell r="Q32">
            <v>87.748721200000006</v>
          </cell>
          <cell r="R32">
            <v>92.391606569999993</v>
          </cell>
          <cell r="S32">
            <v>96.903084309999997</v>
          </cell>
          <cell r="T32">
            <v>101.26887259999999</v>
          </cell>
          <cell r="U32">
            <v>105.47384649999999</v>
          </cell>
          <cell r="V32">
            <v>109.488923</v>
          </cell>
          <cell r="W32">
            <v>113.31127979999999</v>
          </cell>
          <cell r="X32">
            <v>116.9238639</v>
          </cell>
          <cell r="Y32">
            <v>120.3088766</v>
          </cell>
          <cell r="Z32">
            <v>123.4473552</v>
          </cell>
          <cell r="AA32">
            <v>126.28503310000001</v>
          </cell>
          <cell r="AB32">
            <v>128.821168</v>
          </cell>
          <cell r="AC32">
            <v>131.0352637</v>
          </cell>
          <cell r="AD32">
            <v>132.90587619999999</v>
          </cell>
          <cell r="AE32">
            <v>134.4097841</v>
          </cell>
          <cell r="AF32">
            <v>135.52143000000001</v>
          </cell>
          <cell r="AG32">
            <v>136.21261630000001</v>
          </cell>
          <cell r="AH32">
            <v>136.45206440000001</v>
          </cell>
          <cell r="AI32">
            <v>136.2050701</v>
          </cell>
          <cell r="AJ32">
            <v>135.4331741</v>
          </cell>
          <cell r="AK32">
            <v>134.09380100000001</v>
          </cell>
          <cell r="AL32">
            <v>132.13742110000001</v>
          </cell>
          <cell r="AM32">
            <v>129.51462090000001</v>
          </cell>
          <cell r="AN32">
            <v>126.1708581</v>
          </cell>
          <cell r="AO32">
            <v>122.045813</v>
          </cell>
          <cell r="AP32">
            <v>117.0726353</v>
          </cell>
          <cell r="AQ32">
            <v>111.1772524</v>
          </cell>
          <cell r="AR32">
            <v>104.2776903</v>
          </cell>
          <cell r="AS32">
            <v>96.283293670000006</v>
          </cell>
          <cell r="AT32">
            <v>87.09390526</v>
          </cell>
          <cell r="AU32">
            <v>76.598974150000004</v>
          </cell>
          <cell r="AV32">
            <v>64.675645840000001</v>
          </cell>
          <cell r="AW32">
            <v>51.189475289999997</v>
          </cell>
          <cell r="AX32">
            <v>35.992573720000003</v>
          </cell>
          <cell r="AY32">
            <v>18.921969669999999</v>
          </cell>
          <cell r="AZ32">
            <v>-0.20208625799999999</v>
          </cell>
          <cell r="BA32">
            <v>99.339215170000003</v>
          </cell>
          <cell r="BB32">
            <v>86.987539580000004</v>
          </cell>
          <cell r="BC32">
            <v>73.015126519999995</v>
          </cell>
          <cell r="BD32">
            <v>57.267535199999998</v>
          </cell>
          <cell r="BE32">
            <v>39.574651529999997</v>
          </cell>
        </row>
        <row r="33">
          <cell r="A33" t="str">
            <v>auto_ca_cele_0</v>
          </cell>
          <cell r="B33">
            <v>9.8427898650000003</v>
          </cell>
          <cell r="C33">
            <v>15.012031589999999</v>
          </cell>
          <cell r="D33">
            <v>20.491657279999998</v>
          </cell>
          <cell r="E33">
            <v>26.157427680000001</v>
          </cell>
          <cell r="F33">
            <v>31.929986750000001</v>
          </cell>
          <cell r="G33">
            <v>37.76055152</v>
          </cell>
          <cell r="H33">
            <v>43.608929519999997</v>
          </cell>
          <cell r="I33">
            <v>49.456913489999998</v>
          </cell>
          <cell r="J33">
            <v>55.293395699999998</v>
          </cell>
          <cell r="K33">
            <v>61.111525749999998</v>
          </cell>
          <cell r="L33">
            <v>66.926891310000002</v>
          </cell>
          <cell r="M33">
            <v>72.716772710000001</v>
          </cell>
          <cell r="N33">
            <v>78.478598820000002</v>
          </cell>
          <cell r="O33">
            <v>84.210217049999997</v>
          </cell>
          <cell r="P33">
            <v>89.910217939999995</v>
          </cell>
          <cell r="Q33">
            <v>95.577975249999994</v>
          </cell>
          <cell r="R33">
            <v>101.21359390000001</v>
          </cell>
          <cell r="S33">
            <v>106.8178415</v>
          </cell>
          <cell r="T33">
            <v>112.3920938</v>
          </cell>
          <cell r="U33">
            <v>117.938303</v>
          </cell>
          <cell r="V33">
            <v>123.442773</v>
          </cell>
          <cell r="W33">
            <v>128.9250529</v>
          </cell>
          <cell r="X33">
            <v>134.38933919999999</v>
          </cell>
          <cell r="Y33">
            <v>139.8405995</v>
          </cell>
          <cell r="Z33">
            <v>145.2842272</v>
          </cell>
          <cell r="AA33">
            <v>150.67747679999999</v>
          </cell>
          <cell r="AB33">
            <v>156.05270959999999</v>
          </cell>
          <cell r="AC33">
            <v>161.41811949999999</v>
          </cell>
          <cell r="AD33">
            <v>166.7837044</v>
          </cell>
          <cell r="AE33">
            <v>172.16050770000001</v>
          </cell>
          <cell r="AF33">
            <v>177.56023709999999</v>
          </cell>
          <cell r="AG33">
            <v>182.99509140000001</v>
          </cell>
          <cell r="AH33">
            <v>188.47771560000001</v>
          </cell>
          <cell r="AI33">
            <v>194.02123449999999</v>
          </cell>
          <cell r="AJ33">
            <v>199.63932790000001</v>
          </cell>
          <cell r="AK33">
            <v>205.346327</v>
          </cell>
          <cell r="AL33">
            <v>211.1443319</v>
          </cell>
          <cell r="AM33">
            <v>217.04915740000001</v>
          </cell>
          <cell r="AN33">
            <v>223.0779608</v>
          </cell>
          <cell r="AO33">
            <v>229.2494915</v>
          </cell>
          <cell r="AP33">
            <v>235.58406769999999</v>
          </cell>
          <cell r="AQ33">
            <v>242.10351499999999</v>
          </cell>
          <cell r="AR33">
            <v>248.83114459999999</v>
          </cell>
          <cell r="AS33">
            <v>255.7917941</v>
          </cell>
          <cell r="AT33">
            <v>263.01192850000001</v>
          </cell>
          <cell r="AU33">
            <v>270.5197943</v>
          </cell>
          <cell r="AV33">
            <v>278.34700600000002</v>
          </cell>
          <cell r="AW33">
            <v>286.52603879999998</v>
          </cell>
          <cell r="AX33">
            <v>295.09179590000002</v>
          </cell>
          <cell r="AY33">
            <v>304.0818372</v>
          </cell>
          <cell r="AZ33">
            <v>313.5366515</v>
          </cell>
          <cell r="BA33">
            <v>124.0450032</v>
          </cell>
          <cell r="BB33">
            <v>114.81711970000001</v>
          </cell>
          <cell r="BC33">
            <v>104.3082737</v>
          </cell>
          <cell r="BD33">
            <v>92.398095470000001</v>
          </cell>
          <cell r="BE33">
            <v>78.954133470000002</v>
          </cell>
        </row>
        <row r="34">
          <cell r="A34" t="str">
            <v>auto_cb_cele_2</v>
          </cell>
          <cell r="B34">
            <v>11.44571741</v>
          </cell>
          <cell r="C34">
            <v>16.214071969999999</v>
          </cell>
          <cell r="D34">
            <v>21.182669799999999</v>
          </cell>
          <cell r="E34">
            <v>26.245986469999998</v>
          </cell>
          <cell r="F34">
            <v>31.340542809999999</v>
          </cell>
          <cell r="G34">
            <v>36.429659729999997</v>
          </cell>
          <cell r="H34">
            <v>41.481789159999998</v>
          </cell>
          <cell r="I34">
            <v>46.482559520000002</v>
          </cell>
          <cell r="J34">
            <v>51.421204420000002</v>
          </cell>
          <cell r="K34">
            <v>56.288483849999999</v>
          </cell>
          <cell r="L34">
            <v>61.085402019999997</v>
          </cell>
          <cell r="M34">
            <v>65.794653359999998</v>
          </cell>
          <cell r="N34">
            <v>70.410884069999994</v>
          </cell>
          <cell r="O34">
            <v>74.926036319999994</v>
          </cell>
          <cell r="P34">
            <v>79.330503539999995</v>
          </cell>
          <cell r="Q34">
            <v>83.613465129999994</v>
          </cell>
          <cell r="R34">
            <v>87.762554929999993</v>
          </cell>
          <cell r="S34">
            <v>91.764451059999999</v>
          </cell>
          <cell r="T34">
            <v>95.605108790000003</v>
          </cell>
          <cell r="U34">
            <v>99.269863950000001</v>
          </cell>
          <cell r="V34">
            <v>102.7316289</v>
          </cell>
          <cell r="W34">
            <v>105.9872577</v>
          </cell>
          <cell r="X34">
            <v>109.02086130000001</v>
          </cell>
          <cell r="Y34">
            <v>111.8160441</v>
          </cell>
          <cell r="Z34">
            <v>114.355541</v>
          </cell>
          <cell r="AA34">
            <v>116.59138129999999</v>
          </cell>
          <cell r="AB34">
            <v>118.5230249</v>
          </cell>
          <cell r="AC34">
            <v>120.13271760000001</v>
          </cell>
          <cell r="AD34">
            <v>121.40204780000001</v>
          </cell>
          <cell r="AE34">
            <v>122.311224</v>
          </cell>
          <cell r="AF34">
            <v>122.8386089</v>
          </cell>
          <cell r="AG34">
            <v>122.9604879</v>
          </cell>
          <cell r="AH34">
            <v>122.65073150000001</v>
          </cell>
          <cell r="AI34">
            <v>121.8805357</v>
          </cell>
          <cell r="AJ34">
            <v>120.61818599999999</v>
          </cell>
          <cell r="AK34">
            <v>118.82880299999999</v>
          </cell>
          <cell r="AL34">
            <v>116.47244980000001</v>
          </cell>
          <cell r="AM34">
            <v>113.5094732</v>
          </cell>
          <cell r="AN34">
            <v>109.89641589999999</v>
          </cell>
          <cell r="AO34">
            <v>105.5855103</v>
          </cell>
          <cell r="AP34">
            <v>100.52413439999999</v>
          </cell>
          <cell r="AQ34">
            <v>94.654343370000007</v>
          </cell>
          <cell r="AR34">
            <v>87.912466230000007</v>
          </cell>
          <cell r="AS34">
            <v>80.228605430000002</v>
          </cell>
          <cell r="AT34">
            <v>71.526119660000006</v>
          </cell>
          <cell r="AU34">
            <v>61.721070879999999</v>
          </cell>
          <cell r="AV34">
            <v>50.720708420000001</v>
          </cell>
          <cell r="AW34">
            <v>38.424580849999998</v>
          </cell>
          <cell r="AX34">
            <v>24.72316245</v>
          </cell>
          <cell r="AY34">
            <v>9.4967686249999996</v>
          </cell>
          <cell r="AZ34">
            <v>-7.385521475</v>
          </cell>
          <cell r="BA34">
            <v>75.420396510000003</v>
          </cell>
          <cell r="BB34">
            <v>63.977383179999997</v>
          </cell>
          <cell r="BC34">
            <v>51.223632559999999</v>
          </cell>
          <cell r="BD34">
            <v>37.049375359999999</v>
          </cell>
          <cell r="BE34">
            <v>21.33479221</v>
          </cell>
        </row>
        <row r="35">
          <cell r="A35" t="str">
            <v>auto_cb_cele_0</v>
          </cell>
          <cell r="B35">
            <v>11.44571741</v>
          </cell>
          <cell r="C35">
            <v>16.322968100000001</v>
          </cell>
          <cell r="D35">
            <v>21.491824130000001</v>
          </cell>
          <cell r="E35">
            <v>26.830588389999999</v>
          </cell>
          <cell r="F35">
            <v>32.261549180000003</v>
          </cell>
          <cell r="G35">
            <v>37.736755459999998</v>
          </cell>
          <cell r="H35">
            <v>43.21676944</v>
          </cell>
          <cell r="I35">
            <v>48.683248089999999</v>
          </cell>
          <cell r="J35">
            <v>54.124671880000001</v>
          </cell>
          <cell r="K35">
            <v>59.533606339999999</v>
          </cell>
          <cell r="L35">
            <v>64.923754459999998</v>
          </cell>
          <cell r="M35">
            <v>70.272755709999998</v>
          </cell>
          <cell r="N35">
            <v>75.577303150000006</v>
          </cell>
          <cell r="O35">
            <v>80.834538199999997</v>
          </cell>
          <cell r="P35">
            <v>86.042349689999995</v>
          </cell>
          <cell r="Q35">
            <v>91.199403869999998</v>
          </cell>
          <cell r="R35">
            <v>96.305089010000003</v>
          </cell>
          <cell r="S35">
            <v>101.35944550000001</v>
          </cell>
          <cell r="T35">
            <v>106.36310899999999</v>
          </cell>
          <cell r="U35">
            <v>111.31727429999999</v>
          </cell>
          <cell r="V35">
            <v>116.2088791</v>
          </cell>
          <cell r="W35">
            <v>121.0553238</v>
          </cell>
          <cell r="X35">
            <v>125.85991970000001</v>
          </cell>
          <cell r="Y35">
            <v>130.62666060000001</v>
          </cell>
          <cell r="Z35">
            <v>135.3599025</v>
          </cell>
          <cell r="AA35">
            <v>140.02076289999999</v>
          </cell>
          <cell r="AB35">
            <v>144.6381456</v>
          </cell>
          <cell r="AC35">
            <v>149.2191105</v>
          </cell>
          <cell r="AD35">
            <v>153.7722651</v>
          </cell>
          <cell r="AE35">
            <v>158.30706240000001</v>
          </cell>
          <cell r="AF35">
            <v>162.83344600000001</v>
          </cell>
          <cell r="AG35">
            <v>167.36168420000001</v>
          </cell>
          <cell r="AH35">
            <v>171.9023167</v>
          </cell>
          <cell r="AI35">
            <v>176.466171</v>
          </cell>
          <cell r="AJ35">
            <v>181.06441409999999</v>
          </cell>
          <cell r="AK35">
            <v>185.70862220000001</v>
          </cell>
          <cell r="AL35">
            <v>190.39964689999999</v>
          </cell>
          <cell r="AM35">
            <v>195.15013200000001</v>
          </cell>
          <cell r="AN35">
            <v>199.9737011</v>
          </cell>
          <cell r="AO35">
            <v>204.88513589999999</v>
          </cell>
          <cell r="AP35">
            <v>209.90032160000001</v>
          </cell>
          <cell r="AQ35">
            <v>215.0361618</v>
          </cell>
          <cell r="AR35">
            <v>220.31052740000001</v>
          </cell>
          <cell r="AS35">
            <v>225.7422559</v>
          </cell>
          <cell r="AT35">
            <v>231.35120040000001</v>
          </cell>
          <cell r="AU35">
            <v>237.15831650000001</v>
          </cell>
          <cell r="AV35">
            <v>243.1869355</v>
          </cell>
          <cell r="AW35">
            <v>249.46061570000001</v>
          </cell>
          <cell r="AX35">
            <v>256.0044001</v>
          </cell>
          <cell r="AY35">
            <v>262.84494139999998</v>
          </cell>
          <cell r="AZ35">
            <v>270.01065510000001</v>
          </cell>
          <cell r="BA35">
            <v>97.441447859999997</v>
          </cell>
          <cell r="BB35">
            <v>88.643995919999995</v>
          </cell>
          <cell r="BC35">
            <v>78.802633589999999</v>
          </cell>
          <cell r="BD35">
            <v>67.831831030000004</v>
          </cell>
          <cell r="BE35">
            <v>55.638347830000001</v>
          </cell>
        </row>
        <row r="36">
          <cell r="A36" t="str">
            <v>auto_cc_cele_2</v>
          </cell>
          <cell r="B36">
            <v>9.4015406210000005</v>
          </cell>
          <cell r="C36">
            <v>12.637455620000001</v>
          </cell>
          <cell r="D36">
            <v>16.006747409999999</v>
          </cell>
          <cell r="E36">
            <v>19.43507954</v>
          </cell>
          <cell r="F36">
            <v>22.877873529999999</v>
          </cell>
          <cell r="G36">
            <v>26.309316620000001</v>
          </cell>
          <cell r="H36">
            <v>29.707249770000001</v>
          </cell>
          <cell r="I36">
            <v>33.061312059999999</v>
          </cell>
          <cell r="J36">
            <v>36.363596090000001</v>
          </cell>
          <cell r="K36">
            <v>39.607228149999997</v>
          </cell>
          <cell r="L36">
            <v>42.792306609999997</v>
          </cell>
          <cell r="M36">
            <v>45.906518910000003</v>
          </cell>
          <cell r="N36">
            <v>48.945598940000004</v>
          </cell>
          <cell r="O36">
            <v>51.903439900000002</v>
          </cell>
          <cell r="P36">
            <v>54.772926329999997</v>
          </cell>
          <cell r="Q36">
            <v>57.546195269999998</v>
          </cell>
          <cell r="R36">
            <v>60.21443257</v>
          </cell>
          <cell r="S36">
            <v>62.768276829999998</v>
          </cell>
          <cell r="T36">
            <v>65.197996790000005</v>
          </cell>
          <cell r="U36">
            <v>67.493573049999995</v>
          </cell>
          <cell r="V36">
            <v>69.637028060000006</v>
          </cell>
          <cell r="W36">
            <v>71.626160049999996</v>
          </cell>
          <cell r="X36">
            <v>73.450552500000001</v>
          </cell>
          <cell r="Y36">
            <v>75.099588389999994</v>
          </cell>
          <cell r="Z36">
            <v>76.562222550000001</v>
          </cell>
          <cell r="AA36">
            <v>77.808147309999995</v>
          </cell>
          <cell r="AB36">
            <v>78.837431859999995</v>
          </cell>
          <cell r="AC36">
            <v>79.63933274</v>
          </cell>
          <cell r="AD36">
            <v>80.202822699999999</v>
          </cell>
          <cell r="AE36">
            <v>80.516136000000003</v>
          </cell>
          <cell r="AF36">
            <v>80.566489610000005</v>
          </cell>
          <cell r="AG36">
            <v>80.339958449999997</v>
          </cell>
          <cell r="AH36">
            <v>79.821291950000003</v>
          </cell>
          <cell r="AI36">
            <v>78.993776409999995</v>
          </cell>
          <cell r="AJ36">
            <v>77.839117689999995</v>
          </cell>
          <cell r="AK36">
            <v>76.337318379999999</v>
          </cell>
          <cell r="AL36">
            <v>74.465817729999998</v>
          </cell>
          <cell r="AM36">
            <v>72.202379190000002</v>
          </cell>
          <cell r="AN36">
            <v>69.522798649999999</v>
          </cell>
          <cell r="AO36">
            <v>66.400621720000004</v>
          </cell>
          <cell r="AP36">
            <v>62.806865950000002</v>
          </cell>
          <cell r="AQ36">
            <v>58.709802340000003</v>
          </cell>
          <cell r="AR36">
            <v>54.074805730000001</v>
          </cell>
          <cell r="AS36">
            <v>48.864138029999999</v>
          </cell>
          <cell r="AT36">
            <v>43.036729780000002</v>
          </cell>
          <cell r="AU36">
            <v>36.547951230000002</v>
          </cell>
          <cell r="AV36">
            <v>29.34874284</v>
          </cell>
          <cell r="AW36">
            <v>21.386559999999999</v>
          </cell>
          <cell r="AX36">
            <v>12.604635119999999</v>
          </cell>
          <cell r="AY36">
            <v>2.9414704619999998</v>
          </cell>
          <cell r="AZ36">
            <v>-7.6696390299999999</v>
          </cell>
          <cell r="BA36">
            <v>41.767990060000002</v>
          </cell>
          <cell r="BB36">
            <v>34.301015939999999</v>
          </cell>
          <cell r="BC36">
            <v>26.084829039999999</v>
          </cell>
          <cell r="BD36">
            <v>17.065230100000001</v>
          </cell>
          <cell r="BE36">
            <v>7.1835929309999997</v>
          </cell>
        </row>
        <row r="37">
          <cell r="A37" t="str">
            <v>auto_cc_cele_0</v>
          </cell>
          <cell r="B37">
            <v>9.4015406210000005</v>
          </cell>
          <cell r="C37">
            <v>12.71448285</v>
          </cell>
          <cell r="D37">
            <v>16.225058390000001</v>
          </cell>
          <cell r="E37">
            <v>19.84738432</v>
          </cell>
          <cell r="F37">
            <v>23.52664944</v>
          </cell>
          <cell r="G37">
            <v>27.228931729999999</v>
          </cell>
          <cell r="H37">
            <v>30.926391800000001</v>
          </cell>
          <cell r="I37">
            <v>34.605790689999999</v>
          </cell>
          <cell r="J37">
            <v>38.258624750000003</v>
          </cell>
          <cell r="K37">
            <v>41.879223189999998</v>
          </cell>
          <cell r="L37">
            <v>45.47627988</v>
          </cell>
          <cell r="M37">
            <v>49.034016350000002</v>
          </cell>
          <cell r="N37">
            <v>52.549652770000002</v>
          </cell>
          <cell r="O37">
            <v>56.020757260000003</v>
          </cell>
          <cell r="P37">
            <v>59.445444420000001</v>
          </cell>
          <cell r="Q37">
            <v>62.822390120000001</v>
          </cell>
          <cell r="R37">
            <v>66.150789520000004</v>
          </cell>
          <cell r="S37">
            <v>69.430305720000007</v>
          </cell>
          <cell r="T37">
            <v>72.661027340000004</v>
          </cell>
          <cell r="U37">
            <v>75.843439239999995</v>
          </cell>
          <cell r="V37">
            <v>78.968666760000005</v>
          </cell>
          <cell r="W37">
            <v>82.047966950000003</v>
          </cell>
          <cell r="X37">
            <v>85.083279180000005</v>
          </cell>
          <cell r="Y37">
            <v>88.076983650000003</v>
          </cell>
          <cell r="Z37">
            <v>91.031686980000003</v>
          </cell>
          <cell r="AA37">
            <v>93.922000999999995</v>
          </cell>
          <cell r="AB37">
            <v>96.766647770000006</v>
          </cell>
          <cell r="AC37">
            <v>99.570117449999998</v>
          </cell>
          <cell r="AD37">
            <v>102.33785709999999</v>
          </cell>
          <cell r="AE37">
            <v>105.0758034</v>
          </cell>
          <cell r="AF37">
            <v>107.7901458</v>
          </cell>
          <cell r="AG37">
            <v>110.48721260000001</v>
          </cell>
          <cell r="AH37">
            <v>113.17343</v>
          </cell>
          <cell r="AI37">
            <v>115.8553244</v>
          </cell>
          <cell r="AJ37">
            <v>118.53954760000001</v>
          </cell>
          <cell r="AK37">
            <v>121.2329124</v>
          </cell>
          <cell r="AL37">
            <v>123.935462</v>
          </cell>
          <cell r="AM37">
            <v>126.6545496</v>
          </cell>
          <cell r="AN37">
            <v>129.39803090000001</v>
          </cell>
          <cell r="AO37">
            <v>132.17435380000001</v>
          </cell>
          <cell r="AP37">
            <v>134.99250509999999</v>
          </cell>
          <cell r="AQ37">
            <v>137.86194019999999</v>
          </cell>
          <cell r="AR37">
            <v>140.79253420000001</v>
          </cell>
          <cell r="AS37">
            <v>143.79456390000001</v>
          </cell>
          <cell r="AT37">
            <v>146.87871820000001</v>
          </cell>
          <cell r="AU37">
            <v>150.0561295</v>
          </cell>
          <cell r="AV37">
            <v>153.33911209999999</v>
          </cell>
          <cell r="AW37">
            <v>156.7398441</v>
          </cell>
          <cell r="AX37">
            <v>160.27109849999999</v>
          </cell>
          <cell r="AY37">
            <v>163.94628760000001</v>
          </cell>
          <cell r="AZ37">
            <v>167.77951899999999</v>
          </cell>
          <cell r="BA37">
            <v>55.764968279999998</v>
          </cell>
          <cell r="BB37">
            <v>49.894204240000001</v>
          </cell>
          <cell r="BC37">
            <v>43.422705530000002</v>
          </cell>
          <cell r="BD37">
            <v>36.308326579999999</v>
          </cell>
          <cell r="BE37">
            <v>28.50554975</v>
          </cell>
        </row>
        <row r="38">
          <cell r="A38" t="str">
            <v>auto_cd_cele_2</v>
          </cell>
          <cell r="B38">
            <v>5.770071272</v>
          </cell>
          <cell r="C38">
            <v>7.5394444710000004</v>
          </cell>
          <cell r="D38">
            <v>9.3746619619999993</v>
          </cell>
          <cell r="E38">
            <v>11.2296269</v>
          </cell>
          <cell r="F38">
            <v>13.075274439999999</v>
          </cell>
          <cell r="G38">
            <v>14.893783259999999</v>
          </cell>
          <cell r="H38">
            <v>16.670534669999999</v>
          </cell>
          <cell r="I38">
            <v>18.398416489999999</v>
          </cell>
          <cell r="J38">
            <v>20.0725576</v>
          </cell>
          <cell r="K38">
            <v>21.68935763</v>
          </cell>
          <cell r="L38">
            <v>23.249362619999999</v>
          </cell>
          <cell r="M38">
            <v>24.747108069999999</v>
          </cell>
          <cell r="N38">
            <v>26.181541809999999</v>
          </cell>
          <cell r="O38">
            <v>27.55100066</v>
          </cell>
          <cell r="P38">
            <v>28.853672150000001</v>
          </cell>
          <cell r="Q38">
            <v>30.087733239999999</v>
          </cell>
          <cell r="R38">
            <v>31.251271729999999</v>
          </cell>
          <cell r="S38">
            <v>32.342485029999999</v>
          </cell>
          <cell r="T38">
            <v>33.359718270000002</v>
          </cell>
          <cell r="U38">
            <v>34.30147152</v>
          </cell>
          <cell r="V38">
            <v>35.162867570000003</v>
          </cell>
          <cell r="W38">
            <v>35.94657136</v>
          </cell>
          <cell r="X38">
            <v>36.651670840000001</v>
          </cell>
          <cell r="Y38">
            <v>37.277419449999996</v>
          </cell>
          <cell r="Z38">
            <v>37.823156330000003</v>
          </cell>
          <cell r="AA38">
            <v>38.279774490000001</v>
          </cell>
          <cell r="AB38">
            <v>38.6522784</v>
          </cell>
          <cell r="AC38">
            <v>38.94096424</v>
          </cell>
          <cell r="AD38">
            <v>39.14627385</v>
          </cell>
          <cell r="AE38">
            <v>39.268647190000003</v>
          </cell>
          <cell r="AF38">
            <v>39.30845163</v>
          </cell>
          <cell r="AG38">
            <v>39.26597314</v>
          </cell>
          <cell r="AH38">
            <v>39.141378670000002</v>
          </cell>
          <cell r="AI38">
            <v>38.934717480000003</v>
          </cell>
          <cell r="AJ38">
            <v>38.64593344</v>
          </cell>
          <cell r="AK38">
            <v>38.274876499999998</v>
          </cell>
          <cell r="AL38">
            <v>37.820469959999997</v>
          </cell>
          <cell r="AM38">
            <v>37.28278607</v>
          </cell>
          <cell r="AN38">
            <v>36.661800399999997</v>
          </cell>
          <cell r="AO38">
            <v>35.9574146</v>
          </cell>
          <cell r="AP38">
            <v>35.169451219999999</v>
          </cell>
          <cell r="AQ38">
            <v>34.29766394</v>
          </cell>
          <cell r="AR38">
            <v>33.341725340000004</v>
          </cell>
          <cell r="AS38">
            <v>32.301235830000003</v>
          </cell>
          <cell r="AT38">
            <v>31.175741200000001</v>
          </cell>
          <cell r="AU38">
            <v>29.964750949999999</v>
          </cell>
          <cell r="AV38">
            <v>28.667759759999999</v>
          </cell>
          <cell r="AW38">
            <v>27.284259550000002</v>
          </cell>
          <cell r="AX38">
            <v>25.813762789999998</v>
          </cell>
          <cell r="AY38">
            <v>24.255813939999999</v>
          </cell>
          <cell r="AZ38">
            <v>22.610000459999998</v>
          </cell>
          <cell r="BA38">
            <v>33.875114490000001</v>
          </cell>
          <cell r="BB38">
            <v>32.826666979999999</v>
          </cell>
          <cell r="BC38">
            <v>31.723283139999999</v>
          </cell>
          <cell r="BD38">
            <v>30.565733399999999</v>
          </cell>
          <cell r="BE38">
            <v>29.35484288</v>
          </cell>
        </row>
        <row r="39">
          <cell r="A39" t="str">
            <v>auto_cd_cele_0</v>
          </cell>
          <cell r="B39">
            <v>5.770071272</v>
          </cell>
          <cell r="C39">
            <v>7.5724919240000004</v>
          </cell>
          <cell r="D39">
            <v>9.4657033009999996</v>
          </cell>
          <cell r="E39">
            <v>11.396266410000001</v>
          </cell>
          <cell r="F39">
            <v>13.32976826</v>
          </cell>
          <cell r="G39">
            <v>15.2446132</v>
          </cell>
          <cell r="H39">
            <v>17.12371873</v>
          </cell>
          <cell r="I39">
            <v>18.95862954</v>
          </cell>
          <cell r="J39">
            <v>20.743983839999999</v>
          </cell>
          <cell r="K39">
            <v>22.476309050000001</v>
          </cell>
          <cell r="L39">
            <v>24.1594585</v>
          </cell>
          <cell r="M39">
            <v>25.785429839999999</v>
          </cell>
          <cell r="N39">
            <v>27.352873979999998</v>
          </cell>
          <cell r="O39">
            <v>28.860749030000001</v>
          </cell>
          <cell r="P39">
            <v>30.30837159</v>
          </cell>
          <cell r="Q39">
            <v>31.69539009</v>
          </cell>
          <cell r="R39">
            <v>33.021739050000001</v>
          </cell>
          <cell r="S39">
            <v>34.287593919999999</v>
          </cell>
          <cell r="T39">
            <v>35.49333292</v>
          </cell>
          <cell r="U39">
            <v>36.639506969999999</v>
          </cell>
          <cell r="V39">
            <v>37.722811299999996</v>
          </cell>
          <cell r="W39">
            <v>38.74831476</v>
          </cell>
          <cell r="X39">
            <v>39.717090259999999</v>
          </cell>
          <cell r="Y39">
            <v>40.630325169999999</v>
          </cell>
          <cell r="Z39">
            <v>41.489236200000001</v>
          </cell>
          <cell r="AA39">
            <v>42.28453287</v>
          </cell>
          <cell r="AB39">
            <v>43.023770429999999</v>
          </cell>
          <cell r="AC39">
            <v>43.708911829999998</v>
          </cell>
          <cell r="AD39">
            <v>44.342125060000001</v>
          </cell>
          <cell r="AE39">
            <v>44.925604399999997</v>
          </cell>
          <cell r="AF39">
            <v>45.461487009999999</v>
          </cell>
          <cell r="AG39">
            <v>45.9518171</v>
          </cell>
          <cell r="AH39">
            <v>46.398536800000002</v>
          </cell>
          <cell r="AI39">
            <v>46.803491360000002</v>
          </cell>
          <cell r="AJ39">
            <v>47.168441039999998</v>
          </cell>
          <cell r="AK39">
            <v>47.495074639999999</v>
          </cell>
          <cell r="AL39">
            <v>47.783018910000003</v>
          </cell>
          <cell r="AM39">
            <v>48.034025720000002</v>
          </cell>
          <cell r="AN39">
            <v>48.24986655</v>
          </cell>
          <cell r="AO39">
            <v>48.432337560000001</v>
          </cell>
          <cell r="AP39">
            <v>48.583229729999999</v>
          </cell>
          <cell r="AQ39">
            <v>48.704299820000003</v>
          </cell>
          <cell r="AR39">
            <v>48.797250920000003</v>
          </cell>
          <cell r="AS39">
            <v>48.863722930000002</v>
          </cell>
          <cell r="AT39">
            <v>48.905290809999997</v>
          </cell>
          <cell r="AU39">
            <v>48.923467770000002</v>
          </cell>
          <cell r="AV39">
            <v>48.91985493</v>
          </cell>
          <cell r="AW39">
            <v>48.895848049999998</v>
          </cell>
          <cell r="AX39">
            <v>48.852796410000003</v>
          </cell>
          <cell r="AY39">
            <v>48.792005959999997</v>
          </cell>
          <cell r="AZ39">
            <v>48.714744269999997</v>
          </cell>
          <cell r="BA39">
            <v>35.485589879999999</v>
          </cell>
          <cell r="BB39">
            <v>34.573697099999997</v>
          </cell>
          <cell r="BC39">
            <v>33.613691600000003</v>
          </cell>
          <cell r="BD39">
            <v>32.606383600000001</v>
          </cell>
          <cell r="BE39">
            <v>31.552621970000001</v>
          </cell>
        </row>
        <row r="40">
          <cell r="A40" t="str">
            <v>auto_ce_cele_2</v>
          </cell>
          <cell r="B40">
            <v>3.4730440960000002</v>
          </cell>
          <cell r="C40">
            <v>4.5585327830000004</v>
          </cell>
          <cell r="D40">
            <v>5.6752972860000002</v>
          </cell>
          <cell r="E40">
            <v>6.7932062020000004</v>
          </cell>
          <cell r="F40">
            <v>7.8934498140000002</v>
          </cell>
          <cell r="G40">
            <v>8.964568689</v>
          </cell>
          <cell r="H40">
            <v>9.997422534</v>
          </cell>
          <cell r="I40">
            <v>10.98759227</v>
          </cell>
          <cell r="J40">
            <v>11.93216017</v>
          </cell>
          <cell r="K40">
            <v>12.82909089</v>
          </cell>
          <cell r="L40">
            <v>13.67883658</v>
          </cell>
          <cell r="M40">
            <v>14.47852889</v>
          </cell>
          <cell r="N40">
            <v>15.227813960000001</v>
          </cell>
          <cell r="O40">
            <v>15.926051510000001</v>
          </cell>
          <cell r="P40">
            <v>16.572610900000001</v>
          </cell>
          <cell r="Q40">
            <v>17.16696512</v>
          </cell>
          <cell r="R40">
            <v>17.708652310000002</v>
          </cell>
          <cell r="S40">
            <v>18.197375600000001</v>
          </cell>
          <cell r="T40">
            <v>18.633019300000001</v>
          </cell>
          <cell r="U40">
            <v>19.015644460000001</v>
          </cell>
          <cell r="V40">
            <v>19.343767939999999</v>
          </cell>
          <cell r="W40">
            <v>19.619694490000001</v>
          </cell>
          <cell r="X40">
            <v>19.844019119999999</v>
          </cell>
          <cell r="Y40">
            <v>20.017474360000001</v>
          </cell>
          <cell r="Z40">
            <v>20.140887939999999</v>
          </cell>
          <cell r="AA40">
            <v>20.211407489999999</v>
          </cell>
          <cell r="AB40">
            <v>20.23262691</v>
          </cell>
          <cell r="AC40">
            <v>20.206026219999998</v>
          </cell>
          <cell r="AD40">
            <v>20.133159339999999</v>
          </cell>
          <cell r="AE40">
            <v>20.01558584</v>
          </cell>
          <cell r="AF40">
            <v>19.854842049999998</v>
          </cell>
          <cell r="AG40">
            <v>19.652440080000002</v>
          </cell>
          <cell r="AH40">
            <v>19.40985607</v>
          </cell>
          <cell r="AI40">
            <v>19.128533279999999</v>
          </cell>
          <cell r="AJ40">
            <v>18.80988992</v>
          </cell>
          <cell r="AK40">
            <v>18.455326769999999</v>
          </cell>
          <cell r="AL40">
            <v>18.0659688</v>
          </cell>
          <cell r="AM40">
            <v>17.643367099999999</v>
          </cell>
          <cell r="AN40">
            <v>17.18905333</v>
          </cell>
          <cell r="AO40">
            <v>16.704545530000001</v>
          </cell>
          <cell r="AP40">
            <v>16.19134807</v>
          </cell>
          <cell r="AQ40">
            <v>15.65095749</v>
          </cell>
          <cell r="AR40">
            <v>15.08486336</v>
          </cell>
          <cell r="AS40">
            <v>14.494553010000001</v>
          </cell>
          <cell r="AT40">
            <v>13.88151841</v>
          </cell>
          <cell r="AU40">
            <v>13.247262340000001</v>
          </cell>
          <cell r="AV40">
            <v>12.593293389999999</v>
          </cell>
          <cell r="AW40">
            <v>11.92115083</v>
          </cell>
          <cell r="AX40">
            <v>11.232402029999999</v>
          </cell>
          <cell r="AY40">
            <v>10.528641240000001</v>
          </cell>
          <cell r="AZ40">
            <v>9.8114885479999998</v>
          </cell>
          <cell r="BA40">
            <v>13.85018971</v>
          </cell>
          <cell r="BB40">
            <v>13.3144727</v>
          </cell>
          <cell r="BC40">
            <v>12.772281039999999</v>
          </cell>
          <cell r="BD40">
            <v>12.22493592</v>
          </cell>
          <cell r="BE40">
            <v>11.673745009999999</v>
          </cell>
        </row>
        <row r="41">
          <cell r="A41" t="str">
            <v>auto_ce_cele_0</v>
          </cell>
          <cell r="B41">
            <v>3.4730440960000002</v>
          </cell>
          <cell r="C41">
            <v>4.5791175470000001</v>
          </cell>
          <cell r="D41">
            <v>5.7313470759999996</v>
          </cell>
          <cell r="E41">
            <v>6.8947231550000003</v>
          </cell>
          <cell r="F41">
            <v>8.0469703910000003</v>
          </cell>
          <cell r="G41">
            <v>9.1742723730000009</v>
          </cell>
          <cell r="H41">
            <v>10.266017059999999</v>
          </cell>
          <cell r="I41">
            <v>11.31702948</v>
          </cell>
          <cell r="J41">
            <v>12.32415733</v>
          </cell>
          <cell r="K41">
            <v>13.285492720000001</v>
          </cell>
          <cell r="L41">
            <v>14.203348739999999</v>
          </cell>
          <cell r="M41">
            <v>15.073436709999999</v>
          </cell>
          <cell r="N41">
            <v>15.89533307</v>
          </cell>
          <cell r="O41">
            <v>16.668865780000001</v>
          </cell>
          <cell r="P41">
            <v>17.39412823</v>
          </cell>
          <cell r="Q41">
            <v>18.071451459999999</v>
          </cell>
          <cell r="R41">
            <v>18.701368599999999</v>
          </cell>
          <cell r="S41">
            <v>19.284581490000001</v>
          </cell>
          <cell r="T41">
            <v>19.821932239999999</v>
          </cell>
          <cell r="U41">
            <v>20.314379899999999</v>
          </cell>
          <cell r="V41">
            <v>20.761014209999999</v>
          </cell>
          <cell r="W41">
            <v>21.165106689999998</v>
          </cell>
          <cell r="X41">
            <v>21.527926839999999</v>
          </cell>
          <cell r="Y41">
            <v>21.850796679999998</v>
          </cell>
          <cell r="Z41">
            <v>22.135048189999999</v>
          </cell>
          <cell r="AA41">
            <v>22.37721329</v>
          </cell>
          <cell r="AB41">
            <v>22.58167662</v>
          </cell>
          <cell r="AC41">
            <v>22.750188730000001</v>
          </cell>
          <cell r="AD41">
            <v>22.884556740000001</v>
          </cell>
          <cell r="AE41">
            <v>22.986560399999998</v>
          </cell>
          <cell r="AF41">
            <v>23.057915950000002</v>
          </cell>
          <cell r="AG41">
            <v>23.10026255</v>
          </cell>
          <cell r="AH41">
            <v>23.11516048</v>
          </cell>
          <cell r="AI41">
            <v>23.104095510000001</v>
          </cell>
          <cell r="AJ41">
            <v>23.06848591</v>
          </cell>
          <cell r="AK41">
            <v>23.009689890000001</v>
          </cell>
          <cell r="AL41">
            <v>22.92825011</v>
          </cell>
          <cell r="AM41">
            <v>22.82552785</v>
          </cell>
          <cell r="AN41">
            <v>22.702862289999999</v>
          </cell>
          <cell r="AO41">
            <v>22.561568690000001</v>
          </cell>
          <cell r="AP41">
            <v>22.402925530000001</v>
          </cell>
          <cell r="AQ41">
            <v>22.2281637</v>
          </cell>
          <cell r="AR41">
            <v>22.038460400000002</v>
          </cell>
          <cell r="AS41">
            <v>21.834937069999999</v>
          </cell>
          <cell r="AT41">
            <v>21.618660160000001</v>
          </cell>
          <cell r="AU41">
            <v>21.390643659999999</v>
          </cell>
          <cell r="AV41">
            <v>21.151897229999999</v>
          </cell>
          <cell r="AW41">
            <v>20.903332979999998</v>
          </cell>
          <cell r="AX41">
            <v>20.645819110000001</v>
          </cell>
          <cell r="AY41">
            <v>20.380182019999999</v>
          </cell>
          <cell r="AZ41">
            <v>20.107208839999998</v>
          </cell>
          <cell r="BA41">
            <v>14.46660228</v>
          </cell>
          <cell r="BB41">
            <v>13.96919132</v>
          </cell>
          <cell r="BC41">
            <v>13.465731549999999</v>
          </cell>
          <cell r="BD41">
            <v>12.95742368</v>
          </cell>
          <cell r="BE41">
            <v>12.44545143</v>
          </cell>
        </row>
        <row r="42">
          <cell r="A42" t="str">
            <v>auto_cf_cele_2</v>
          </cell>
          <cell r="B42">
            <v>1.7251505170000001</v>
          </cell>
          <cell r="C42">
            <v>2.2401761690000002</v>
          </cell>
          <cell r="D42">
            <v>2.757027404</v>
          </cell>
          <cell r="E42">
            <v>3.2583667690000002</v>
          </cell>
          <cell r="F42">
            <v>3.7337588730000002</v>
          </cell>
          <cell r="G42">
            <v>4.1772396589999996</v>
          </cell>
          <cell r="H42">
            <v>4.5847702139999997</v>
          </cell>
          <cell r="I42">
            <v>4.9549881329999996</v>
          </cell>
          <cell r="J42">
            <v>5.2876020820000003</v>
          </cell>
          <cell r="K42">
            <v>5.5829879470000003</v>
          </cell>
          <cell r="L42">
            <v>5.8426728670000001</v>
          </cell>
          <cell r="M42">
            <v>6.0670945720000002</v>
          </cell>
          <cell r="N42">
            <v>6.2576405069999996</v>
          </cell>
          <cell r="O42">
            <v>6.415656223</v>
          </cell>
          <cell r="P42">
            <v>6.542566485</v>
          </cell>
          <cell r="Q42">
            <v>6.639899099</v>
          </cell>
          <cell r="R42">
            <v>6.7092556290000003</v>
          </cell>
          <cell r="S42">
            <v>6.7523153410000001</v>
          </cell>
          <cell r="T42">
            <v>6.7708129479999997</v>
          </cell>
          <cell r="U42">
            <v>6.766512853</v>
          </cell>
          <cell r="V42">
            <v>6.7408087989999999</v>
          </cell>
          <cell r="W42">
            <v>6.6959147320000003</v>
          </cell>
          <cell r="X42">
            <v>6.6335701130000002</v>
          </cell>
          <cell r="Y42">
            <v>6.5554689359999996</v>
          </cell>
          <cell r="Z42">
            <v>6.463246227</v>
          </cell>
          <cell r="AA42">
            <v>6.3578281299999997</v>
          </cell>
          <cell r="AB42">
            <v>6.2412307760000001</v>
          </cell>
          <cell r="AC42">
            <v>6.1149749030000002</v>
          </cell>
          <cell r="AD42">
            <v>5.9804872150000001</v>
          </cell>
          <cell r="AE42">
            <v>5.839093074</v>
          </cell>
          <cell r="AF42">
            <v>5.692017474</v>
          </cell>
          <cell r="AG42">
            <v>5.5403901070000003</v>
          </cell>
          <cell r="AH42">
            <v>5.3852487340000001</v>
          </cell>
          <cell r="AI42">
            <v>5.2275443470000003</v>
          </cell>
          <cell r="AJ42">
            <v>5.0681466249999998</v>
          </cell>
          <cell r="AK42">
            <v>4.9078489120000004</v>
          </cell>
          <cell r="AL42">
            <v>4.7473456890000003</v>
          </cell>
          <cell r="AM42">
            <v>4.5873082270000003</v>
          </cell>
          <cell r="AN42">
            <v>4.4283381899999998</v>
          </cell>
          <cell r="AO42">
            <v>4.2709721590000003</v>
          </cell>
          <cell r="AP42">
            <v>4.115685547</v>
          </cell>
          <cell r="AQ42">
            <v>3.9628966860000001</v>
          </cell>
          <cell r="AR42">
            <v>3.8129700309999999</v>
          </cell>
          <cell r="AS42">
            <v>3.666219629</v>
          </cell>
          <cell r="AT42">
            <v>3.5229125780000001</v>
          </cell>
          <cell r="AU42">
            <v>3.383272276</v>
          </cell>
          <cell r="AV42">
            <v>3.24748159</v>
          </cell>
          <cell r="AW42">
            <v>3.1156854709999999</v>
          </cell>
          <cell r="AX42">
            <v>2.9879939709999999</v>
          </cell>
          <cell r="AY42">
            <v>2.8644849780000001</v>
          </cell>
          <cell r="AZ42">
            <v>2.7452068079999998</v>
          </cell>
          <cell r="BA42">
            <v>2.8822763779999998</v>
          </cell>
          <cell r="BB42">
            <v>2.7701985680000001</v>
          </cell>
          <cell r="BC42">
            <v>2.6618247959999999</v>
          </cell>
          <cell r="BD42">
            <v>2.5571370870000001</v>
          </cell>
          <cell r="BE42">
            <v>2.456102048</v>
          </cell>
        </row>
        <row r="43">
          <cell r="A43" t="str">
            <v>auto_cf_cele_0</v>
          </cell>
          <cell r="B43">
            <v>1.7251505170000001</v>
          </cell>
          <cell r="C43">
            <v>2.2482443000000001</v>
          </cell>
          <cell r="D43">
            <v>2.7774998630000001</v>
          </cell>
          <cell r="E43">
            <v>3.2928145170000001</v>
          </cell>
          <cell r="F43">
            <v>3.7822145599999999</v>
          </cell>
          <cell r="G43">
            <v>4.2389796039999998</v>
          </cell>
          <cell r="H43">
            <v>4.6588005929999996</v>
          </cell>
          <cell r="I43">
            <v>5.0403092750000003</v>
          </cell>
          <cell r="J43">
            <v>5.38335937</v>
          </cell>
          <cell r="K43">
            <v>5.6885469540000004</v>
          </cell>
          <cell r="L43">
            <v>5.9580836599999998</v>
          </cell>
          <cell r="M43">
            <v>6.1919811569999998</v>
          </cell>
          <cell r="N43">
            <v>6.3917140200000002</v>
          </cell>
          <cell r="O43">
            <v>6.5588898220000003</v>
          </cell>
          <cell r="P43">
            <v>6.6952202390000002</v>
          </cell>
          <cell r="Q43">
            <v>6.802485495</v>
          </cell>
          <cell r="R43">
            <v>6.8825028130000003</v>
          </cell>
          <cell r="S43">
            <v>6.9371003760000001</v>
          </cell>
          <cell r="T43">
            <v>6.9680962439999998</v>
          </cell>
          <cell r="U43">
            <v>6.9772814839999997</v>
          </cell>
          <cell r="V43">
            <v>6.9659966180000001</v>
          </cell>
          <cell r="W43">
            <v>6.93642235</v>
          </cell>
          <cell r="X43">
            <v>6.8902084859999997</v>
          </cell>
          <cell r="Y43">
            <v>6.8289334750000004</v>
          </cell>
          <cell r="Z43">
            <v>6.7540974560000002</v>
          </cell>
          <cell r="AA43">
            <v>6.6663617930000001</v>
          </cell>
          <cell r="AB43">
            <v>6.5676462029999998</v>
          </cell>
          <cell r="AC43">
            <v>6.4593235260000004</v>
          </cell>
          <cell r="AD43">
            <v>6.3426796230000004</v>
          </cell>
          <cell r="AE43">
            <v>6.2189050359999998</v>
          </cell>
          <cell r="AF43">
            <v>6.0890960769999998</v>
          </cell>
          <cell r="AG43">
            <v>5.9542593410000002</v>
          </cell>
          <cell r="AH43">
            <v>5.8153174380000001</v>
          </cell>
          <cell r="AI43">
            <v>5.6731149759999999</v>
          </cell>
          <cell r="AJ43">
            <v>5.5284243200000001</v>
          </cell>
          <cell r="AK43">
            <v>5.3819508850000002</v>
          </cell>
          <cell r="AL43">
            <v>5.2342779699999999</v>
          </cell>
          <cell r="AM43">
            <v>5.0860097949999998</v>
          </cell>
          <cell r="AN43">
            <v>4.9376954609999997</v>
          </cell>
          <cell r="AO43">
            <v>4.7898310439999996</v>
          </cell>
          <cell r="AP43">
            <v>4.6428615190000002</v>
          </cell>
          <cell r="AQ43">
            <v>4.4971832640000002</v>
          </cell>
          <cell r="AR43">
            <v>4.3531470089999997</v>
          </cell>
          <cell r="AS43">
            <v>4.2110609800000001</v>
          </cell>
          <cell r="AT43">
            <v>4.0711940469999996</v>
          </cell>
          <cell r="AU43">
            <v>3.9337787729999998</v>
          </cell>
          <cell r="AV43">
            <v>3.7990159129999999</v>
          </cell>
          <cell r="AW43">
            <v>3.66707333</v>
          </cell>
          <cell r="AX43">
            <v>3.5380907659999998</v>
          </cell>
          <cell r="AY43">
            <v>3.4121822119999998</v>
          </cell>
          <cell r="AZ43">
            <v>3.289438133</v>
          </cell>
          <cell r="BA43">
            <v>2.9073723610000002</v>
          </cell>
          <cell r="BB43">
            <v>2.7952765500000001</v>
          </cell>
          <cell r="BC43">
            <v>2.686812464</v>
          </cell>
          <cell r="BD43">
            <v>2.581966531</v>
          </cell>
          <cell r="BE43">
            <v>2.480710094</v>
          </cell>
        </row>
        <row r="44">
          <cell r="A44" t="str">
            <v>auto_cg_cele_2</v>
          </cell>
          <cell r="B44">
            <v>3.1066862139999998</v>
          </cell>
          <cell r="C44">
            <v>4.06399826</v>
          </cell>
          <cell r="D44">
            <v>5.0023052119999996</v>
          </cell>
          <cell r="E44">
            <v>5.8862787020000003</v>
          </cell>
          <cell r="F44">
            <v>6.6962912579999996</v>
          </cell>
          <cell r="G44">
            <v>7.4226672770000004</v>
          </cell>
          <cell r="H44">
            <v>8.0604784390000006</v>
          </cell>
          <cell r="I44">
            <v>8.6101949219999998</v>
          </cell>
          <cell r="J44">
            <v>9.0745507849999996</v>
          </cell>
          <cell r="K44">
            <v>9.457610098</v>
          </cell>
          <cell r="L44">
            <v>9.7652694320000002</v>
          </cell>
          <cell r="M44">
            <v>10.00180254</v>
          </cell>
          <cell r="N44">
            <v>10.17270171</v>
          </cell>
          <cell r="O44">
            <v>10.28325504</v>
          </cell>
          <cell r="P44">
            <v>10.338718719999999</v>
          </cell>
          <cell r="Q44">
            <v>10.344322719999999</v>
          </cell>
          <cell r="R44">
            <v>10.305198130000001</v>
          </cell>
          <cell r="S44">
            <v>10.22634459</v>
          </cell>
          <cell r="T44">
            <v>10.11257621</v>
          </cell>
          <cell r="U44">
            <v>9.9684720779999996</v>
          </cell>
          <cell r="V44">
            <v>9.7979940540000001</v>
          </cell>
          <cell r="W44">
            <v>9.605598208</v>
          </cell>
          <cell r="X44">
            <v>9.3949921300000003</v>
          </cell>
          <cell r="Y44">
            <v>9.1695652840000008</v>
          </cell>
          <cell r="Z44">
            <v>8.9323917579999996</v>
          </cell>
          <cell r="AA44">
            <v>8.6857837670000002</v>
          </cell>
          <cell r="AB44">
            <v>8.4326327760000002</v>
          </cell>
          <cell r="AC44">
            <v>8.1752170890000002</v>
          </cell>
          <cell r="AD44">
            <v>7.9155290789999997</v>
          </cell>
          <cell r="AE44">
            <v>7.6552938169999996</v>
          </cell>
          <cell r="AF44">
            <v>7.3959930150000002</v>
          </cell>
          <cell r="AG44">
            <v>7.1388898259999998</v>
          </cell>
          <cell r="AH44">
            <v>6.885050852</v>
          </cell>
          <cell r="AI44">
            <v>6.6353672619999999</v>
          </cell>
          <cell r="AJ44">
            <v>6.390574397</v>
          </cell>
          <cell r="AK44">
            <v>6.1512695040000001</v>
          </cell>
          <cell r="AL44">
            <v>5.9179185490000004</v>
          </cell>
          <cell r="AM44">
            <v>5.6908970759999997</v>
          </cell>
          <cell r="AN44">
            <v>5.4704825689999996</v>
          </cell>
          <cell r="AO44">
            <v>5.2568672239999996</v>
          </cell>
          <cell r="AP44">
            <v>5.0501695069999997</v>
          </cell>
          <cell r="AQ44">
            <v>4.8504446850000003</v>
          </cell>
          <cell r="AR44">
            <v>4.6576940970000003</v>
          </cell>
          <cell r="AS44">
            <v>4.4718735169999997</v>
          </cell>
          <cell r="AT44">
            <v>4.2929006750000003</v>
          </cell>
          <cell r="AU44">
            <v>4.1206619189999998</v>
          </cell>
          <cell r="AV44">
            <v>3.9550180570000002</v>
          </cell>
          <cell r="AW44">
            <v>3.7958096979999998</v>
          </cell>
          <cell r="AX44">
            <v>3.642861806</v>
          </cell>
          <cell r="AY44">
            <v>3.495987693</v>
          </cell>
          <cell r="AZ44">
            <v>3.3549924760000001</v>
          </cell>
          <cell r="BA44">
            <v>3.284762427</v>
          </cell>
          <cell r="BB44">
            <v>3.1536470840000002</v>
          </cell>
          <cell r="BC44">
            <v>3.0276746650000002</v>
          </cell>
          <cell r="BD44">
            <v>2.9066671610000001</v>
          </cell>
          <cell r="BE44">
            <v>2.790447458</v>
          </cell>
        </row>
        <row r="45">
          <cell r="A45" t="str">
            <v>auto_cg_cele_0</v>
          </cell>
          <cell r="B45">
            <v>3.1066862139999998</v>
          </cell>
          <cell r="C45">
            <v>4.0780346420000004</v>
          </cell>
          <cell r="D45">
            <v>5.035935769</v>
          </cell>
          <cell r="E45">
            <v>5.9395011249999996</v>
          </cell>
          <cell r="F45">
            <v>6.7665365719999997</v>
          </cell>
          <cell r="G45">
            <v>7.5065763949999997</v>
          </cell>
          <cell r="H45">
            <v>8.1548645450000006</v>
          </cell>
          <cell r="I45">
            <v>8.7124313359999999</v>
          </cell>
          <cell r="J45">
            <v>9.1827119790000005</v>
          </cell>
          <cell r="K45">
            <v>9.5704729410000002</v>
          </cell>
          <cell r="L45">
            <v>9.8827749760000003</v>
          </cell>
          <cell r="M45">
            <v>10.123471159999999</v>
          </cell>
          <cell r="N45">
            <v>10.29838837</v>
          </cell>
          <cell r="O45">
            <v>10.413340870000001</v>
          </cell>
          <cell r="P45">
            <v>10.474044729999999</v>
          </cell>
          <cell r="Q45">
            <v>10.48603997</v>
          </cell>
          <cell r="R45">
            <v>10.454632269999999</v>
          </cell>
          <cell r="S45">
            <v>10.38485225</v>
          </cell>
          <cell r="T45">
            <v>10.28142875</v>
          </cell>
          <cell r="U45">
            <v>10.148773220000001</v>
          </cell>
          <cell r="V45">
            <v>9.9905993859999995</v>
          </cell>
          <cell r="W45">
            <v>9.8111346469999994</v>
          </cell>
          <cell r="X45">
            <v>9.6138252949999998</v>
          </cell>
          <cell r="Y45">
            <v>9.4017994270000003</v>
          </cell>
          <cell r="Z45">
            <v>9.1778804770000004</v>
          </cell>
          <cell r="AA45">
            <v>8.9440600769999996</v>
          </cell>
          <cell r="AB45">
            <v>8.7030757960000003</v>
          </cell>
          <cell r="AC45">
            <v>8.4570401680000007</v>
          </cell>
          <cell r="AD45">
            <v>8.2078124250000002</v>
          </cell>
          <cell r="AE45">
            <v>7.9570136180000004</v>
          </cell>
          <cell r="AF45">
            <v>7.7060478330000004</v>
          </cell>
          <cell r="AG45">
            <v>7.4561239940000004</v>
          </cell>
          <cell r="AH45">
            <v>7.2082765579999997</v>
          </cell>
          <cell r="AI45">
            <v>6.9633845460000003</v>
          </cell>
          <cell r="AJ45">
            <v>6.7221887980000004</v>
          </cell>
          <cell r="AK45">
            <v>6.4853074739999998</v>
          </cell>
          <cell r="AL45">
            <v>6.2532261580000004</v>
          </cell>
          <cell r="AM45">
            <v>6.0263686280000002</v>
          </cell>
          <cell r="AN45">
            <v>5.8050715290000001</v>
          </cell>
          <cell r="AO45">
            <v>5.589593947</v>
          </cell>
          <cell r="AP45">
            <v>5.3801263390000003</v>
          </cell>
          <cell r="AQ45">
            <v>5.1767990250000002</v>
          </cell>
          <cell r="AR45">
            <v>4.9796900920000002</v>
          </cell>
          <cell r="AS45">
            <v>4.7888326240000003</v>
          </cell>
          <cell r="AT45">
            <v>4.6042212180000002</v>
          </cell>
          <cell r="AU45">
            <v>4.425817812</v>
          </cell>
          <cell r="AV45">
            <v>4.2535571900000004</v>
          </cell>
          <cell r="AW45">
            <v>4.0873507330000001</v>
          </cell>
          <cell r="AX45">
            <v>3.9270909999999999</v>
          </cell>
          <cell r="AY45">
            <v>3.7726552789999999</v>
          </cell>
          <cell r="AZ45">
            <v>3.623908691</v>
          </cell>
          <cell r="BA45">
            <v>3.2957326619999998</v>
          </cell>
          <cell r="BB45">
            <v>3.16432365</v>
          </cell>
          <cell r="BC45">
            <v>3.0380470530000001</v>
          </cell>
          <cell r="BD45">
            <v>2.9167280400000002</v>
          </cell>
          <cell r="BE45">
            <v>2.8001923290000001</v>
          </cell>
        </row>
        <row r="46">
          <cell r="A46" t="str">
            <v>auto_ca_cgas_2</v>
          </cell>
          <cell r="B46">
            <v>0.42568169729999999</v>
          </cell>
          <cell r="C46">
            <v>0.44896235299999998</v>
          </cell>
          <cell r="D46">
            <v>0.47489273199999998</v>
          </cell>
          <cell r="E46">
            <v>0.50238895829999997</v>
          </cell>
          <cell r="F46">
            <v>0.53075414300000001</v>
          </cell>
          <cell r="G46">
            <v>0.55956312129999997</v>
          </cell>
          <cell r="H46">
            <v>0.58846685730000003</v>
          </cell>
          <cell r="I46">
            <v>0.61731577820000005</v>
          </cell>
          <cell r="J46">
            <v>0.6460217224</v>
          </cell>
          <cell r="K46">
            <v>0.67453205930000004</v>
          </cell>
          <cell r="L46">
            <v>0.70291119629999999</v>
          </cell>
          <cell r="M46">
            <v>0.73104954300000002</v>
          </cell>
          <cell r="N46">
            <v>0.75897246819999997</v>
          </cell>
          <cell r="O46">
            <v>0.78668961140000004</v>
          </cell>
          <cell r="P46">
            <v>0.81420496269999998</v>
          </cell>
          <cell r="Q46">
            <v>0.84151886840000001</v>
          </cell>
          <cell r="R46">
            <v>0.86862495120000005</v>
          </cell>
          <cell r="S46">
            <v>0.89551686060000002</v>
          </cell>
          <cell r="T46">
            <v>0.92218862759999998</v>
          </cell>
          <cell r="U46">
            <v>0.94863477480000002</v>
          </cell>
          <cell r="V46">
            <v>0.97471435289999997</v>
          </cell>
          <cell r="W46">
            <v>1.0005677550000001</v>
          </cell>
          <cell r="X46">
            <v>1.026196935</v>
          </cell>
          <cell r="Y46">
            <v>1.051607905</v>
          </cell>
          <cell r="Z46">
            <v>1.0768079399999999</v>
          </cell>
          <cell r="AA46">
            <v>1.101404067</v>
          </cell>
          <cell r="AB46">
            <v>1.125638374</v>
          </cell>
          <cell r="AC46">
            <v>1.149536197</v>
          </cell>
          <cell r="AD46">
            <v>1.1731316919999999</v>
          </cell>
          <cell r="AE46">
            <v>1.1964623000000001</v>
          </cell>
          <cell r="AF46">
            <v>1.2195657310000001</v>
          </cell>
          <cell r="AG46">
            <v>1.242479578</v>
          </cell>
          <cell r="AH46">
            <v>1.2652388569999999</v>
          </cell>
          <cell r="AI46">
            <v>1.28787633</v>
          </cell>
          <cell r="AJ46">
            <v>1.31042323</v>
          </cell>
          <cell r="AK46">
            <v>1.3329098260000001</v>
          </cell>
          <cell r="AL46">
            <v>1.3552779939999999</v>
          </cell>
          <cell r="AM46">
            <v>1.377565318</v>
          </cell>
          <cell r="AN46">
            <v>1.399806138</v>
          </cell>
          <cell r="AO46">
            <v>1.4220364249999999</v>
          </cell>
          <cell r="AP46">
            <v>1.4442940710000001</v>
          </cell>
          <cell r="AQ46">
            <v>1.4666195609999999</v>
          </cell>
          <cell r="AR46">
            <v>1.489051597</v>
          </cell>
          <cell r="AS46">
            <v>1.5116267130000001</v>
          </cell>
          <cell r="AT46">
            <v>1.5343796460000001</v>
          </cell>
          <cell r="AU46">
            <v>1.5573436540000001</v>
          </cell>
          <cell r="AV46">
            <v>1.5805667130000001</v>
          </cell>
          <cell r="AW46">
            <v>1.6040821110000001</v>
          </cell>
          <cell r="AX46">
            <v>1.6279197350000001</v>
          </cell>
          <cell r="AY46">
            <v>1.6521088390000001</v>
          </cell>
          <cell r="AZ46">
            <v>1.676679324</v>
          </cell>
          <cell r="BA46">
            <v>1.8039206699999999</v>
          </cell>
          <cell r="BB46">
            <v>1.8325442700000001</v>
          </cell>
          <cell r="BC46">
            <v>1.861562003</v>
          </cell>
          <cell r="BD46">
            <v>1.8910015280000001</v>
          </cell>
          <cell r="BE46">
            <v>1.9208926319999999</v>
          </cell>
        </row>
        <row r="47">
          <cell r="A47" t="str">
            <v>auto_ca_cgas_0</v>
          </cell>
          <cell r="B47">
            <v>0.42568169729999999</v>
          </cell>
          <cell r="C47">
            <v>0.44962450999999998</v>
          </cell>
          <cell r="D47">
            <v>0.47671073549999998</v>
          </cell>
          <cell r="E47">
            <v>0.50567802719999999</v>
          </cell>
          <cell r="F47">
            <v>0.53570416700000001</v>
          </cell>
          <cell r="G47">
            <v>0.56627289579999995</v>
          </cell>
          <cell r="H47">
            <v>0.59697095789999999</v>
          </cell>
          <cell r="I47">
            <v>0.62760516129999999</v>
          </cell>
          <cell r="J47">
            <v>0.65806000419999999</v>
          </cell>
          <cell r="K47">
            <v>0.68826724399999994</v>
          </cell>
          <cell r="L47">
            <v>0.71836268039999995</v>
          </cell>
          <cell r="M47">
            <v>0.74814208449999997</v>
          </cell>
          <cell r="N47">
            <v>0.77758620170000003</v>
          </cell>
          <cell r="O47">
            <v>0.80667973039999996</v>
          </cell>
          <cell r="P47">
            <v>0.83541324699999997</v>
          </cell>
          <cell r="Q47">
            <v>0.86378289490000004</v>
          </cell>
          <cell r="R47">
            <v>0.89178940350000002</v>
          </cell>
          <cell r="S47">
            <v>0.91943703970000001</v>
          </cell>
          <cell r="T47">
            <v>0.94673274149999997</v>
          </cell>
          <cell r="U47">
            <v>0.97368550679999999</v>
          </cell>
          <cell r="V47">
            <v>1.000167568</v>
          </cell>
          <cell r="W47">
            <v>1.026334834</v>
          </cell>
          <cell r="X47">
            <v>1.052203996</v>
          </cell>
          <cell r="Y47">
            <v>1.077794283</v>
          </cell>
          <cell r="Z47">
            <v>1.1031245009999999</v>
          </cell>
          <cell r="AA47">
            <v>1.1278073879999999</v>
          </cell>
          <cell r="AB47">
            <v>1.1520897969999999</v>
          </cell>
          <cell r="AC47">
            <v>1.176003696</v>
          </cell>
          <cell r="AD47">
            <v>1.1995893950000001</v>
          </cell>
          <cell r="AE47">
            <v>1.222889028</v>
          </cell>
          <cell r="AF47">
            <v>1.2459432800000001</v>
          </cell>
          <cell r="AG47">
            <v>1.268789902</v>
          </cell>
          <cell r="AH47">
            <v>1.291463314</v>
          </cell>
          <cell r="AI47">
            <v>1.3139948079999999</v>
          </cell>
          <cell r="AJ47">
            <v>1.3364130160000001</v>
          </cell>
          <cell r="AK47">
            <v>1.3587444209999999</v>
          </cell>
          <cell r="AL47">
            <v>1.3809145940000001</v>
          </cell>
          <cell r="AM47">
            <v>1.402950302</v>
          </cell>
          <cell r="AN47">
            <v>1.4248793989999999</v>
          </cell>
          <cell r="AO47">
            <v>1.446731751</v>
          </cell>
          <cell r="AP47">
            <v>1.4685380699999999</v>
          </cell>
          <cell r="AQ47">
            <v>1.490328495</v>
          </cell>
          <cell r="AR47">
            <v>1.5121314960000001</v>
          </cell>
          <cell r="AS47">
            <v>1.533973233</v>
          </cell>
          <cell r="AT47">
            <v>1.555877325</v>
          </cell>
          <cell r="AU47">
            <v>1.5778649010000001</v>
          </cell>
          <cell r="AV47">
            <v>1.5999638300000001</v>
          </cell>
          <cell r="AW47">
            <v>1.622190692</v>
          </cell>
          <cell r="AX47">
            <v>1.644560177</v>
          </cell>
          <cell r="AY47">
            <v>1.6670851390000001</v>
          </cell>
          <cell r="AZ47">
            <v>1.6897768790000001</v>
          </cell>
          <cell r="BA47">
            <v>1.797599926</v>
          </cell>
          <cell r="BB47">
            <v>1.825674359</v>
          </cell>
          <cell r="BC47">
            <v>1.8541047100000001</v>
          </cell>
          <cell r="BD47">
            <v>1.8829160920000001</v>
          </cell>
          <cell r="BE47">
            <v>1.9121352410000001</v>
          </cell>
        </row>
        <row r="48">
          <cell r="A48" t="str">
            <v>auto_cb_cgas_2</v>
          </cell>
          <cell r="B48">
            <v>0.49500522540000003</v>
          </cell>
          <cell r="C48">
            <v>0.51191266040000005</v>
          </cell>
          <cell r="D48">
            <v>0.53162219450000003</v>
          </cell>
          <cell r="E48">
            <v>0.55305243569999996</v>
          </cell>
          <cell r="F48">
            <v>0.57550115420000003</v>
          </cell>
          <cell r="G48">
            <v>0.59853168720000005</v>
          </cell>
          <cell r="H48">
            <v>0.62178481519999995</v>
          </cell>
          <cell r="I48">
            <v>0.64509490940000003</v>
          </cell>
          <cell r="J48">
            <v>0.66835742139999998</v>
          </cell>
          <cell r="K48">
            <v>0.69150362249999997</v>
          </cell>
          <cell r="L48">
            <v>0.71457696979999996</v>
          </cell>
          <cell r="M48">
            <v>0.73745819180000005</v>
          </cell>
          <cell r="N48">
            <v>0.76015531069999998</v>
          </cell>
          <cell r="O48">
            <v>0.78266210960000004</v>
          </cell>
          <cell r="P48">
            <v>0.80496797190000002</v>
          </cell>
          <cell r="Q48">
            <v>0.82705993560000002</v>
          </cell>
          <cell r="R48">
            <v>0.84891989339999996</v>
          </cell>
          <cell r="S48">
            <v>0.87053079909999997</v>
          </cell>
          <cell r="T48">
            <v>0.8918769218</v>
          </cell>
          <cell r="U48">
            <v>0.91294384529999995</v>
          </cell>
          <cell r="V48">
            <v>0.93359479469999995</v>
          </cell>
          <cell r="W48">
            <v>0.95395023729999995</v>
          </cell>
          <cell r="X48">
            <v>0.97400459419999996</v>
          </cell>
          <cell r="Y48">
            <v>0.9937563317</v>
          </cell>
          <cell r="Z48">
            <v>1.0132053990000001</v>
          </cell>
          <cell r="AA48">
            <v>1.031995013</v>
          </cell>
          <cell r="AB48">
            <v>1.050338515</v>
          </cell>
          <cell r="AC48">
            <v>1.0682548439999999</v>
          </cell>
          <cell r="AD48">
            <v>1.085770583</v>
          </cell>
          <cell r="AE48">
            <v>1.1029149380000001</v>
          </cell>
          <cell r="AF48">
            <v>1.119717045</v>
          </cell>
          <cell r="AG48">
            <v>1.136205613</v>
          </cell>
          <cell r="AH48">
            <v>1.152406778</v>
          </cell>
          <cell r="AI48">
            <v>1.1683443659999999</v>
          </cell>
          <cell r="AJ48">
            <v>1.184040545</v>
          </cell>
          <cell r="AK48">
            <v>1.1995163019999999</v>
          </cell>
          <cell r="AL48">
            <v>1.214717059</v>
          </cell>
          <cell r="AM48">
            <v>1.229670483</v>
          </cell>
          <cell r="AN48">
            <v>1.2444010649999999</v>
          </cell>
          <cell r="AO48">
            <v>1.2589341839999999</v>
          </cell>
          <cell r="AP48">
            <v>1.2732963180000001</v>
          </cell>
          <cell r="AQ48">
            <v>1.2875156210000001</v>
          </cell>
          <cell r="AR48">
            <v>1.30161828</v>
          </cell>
          <cell r="AS48">
            <v>1.315628198</v>
          </cell>
          <cell r="AT48">
            <v>1.3295673320000001</v>
          </cell>
          <cell r="AU48">
            <v>1.343455984</v>
          </cell>
          <cell r="AV48">
            <v>1.357325981</v>
          </cell>
          <cell r="AW48">
            <v>1.3711966929999999</v>
          </cell>
          <cell r="AX48">
            <v>1.3850842290000001</v>
          </cell>
          <cell r="AY48">
            <v>1.399003717</v>
          </cell>
          <cell r="AZ48">
            <v>1.4129703730000001</v>
          </cell>
          <cell r="BA48">
            <v>1.5039197900000001</v>
          </cell>
          <cell r="BB48">
            <v>1.519912972</v>
          </cell>
          <cell r="BC48">
            <v>1.5358993460000001</v>
          </cell>
          <cell r="BD48">
            <v>1.551891216</v>
          </cell>
          <cell r="BE48">
            <v>1.567902049</v>
          </cell>
        </row>
        <row r="49">
          <cell r="A49" t="str">
            <v>auto_cb_cgas_0</v>
          </cell>
          <cell r="B49">
            <v>0.49500522540000003</v>
          </cell>
          <cell r="C49">
            <v>0.51254167380000004</v>
          </cell>
          <cell r="D49">
            <v>0.53334117889999999</v>
          </cell>
          <cell r="E49">
            <v>0.55614763550000001</v>
          </cell>
          <cell r="F49">
            <v>0.58013773130000001</v>
          </cell>
          <cell r="G49">
            <v>0.60478809140000001</v>
          </cell>
          <cell r="H49">
            <v>0.62967928019999997</v>
          </cell>
          <cell r="I49">
            <v>0.65460522560000001</v>
          </cell>
          <cell r="J49">
            <v>0.67943640009999995</v>
          </cell>
          <cell r="K49">
            <v>0.70409014459999997</v>
          </cell>
          <cell r="L49">
            <v>0.72867686310000002</v>
          </cell>
          <cell r="M49">
            <v>0.75298886860000003</v>
          </cell>
          <cell r="N49">
            <v>0.77699387019999999</v>
          </cell>
          <cell r="O49">
            <v>0.80066450020000002</v>
          </cell>
          <cell r="P49">
            <v>0.82397993719999996</v>
          </cell>
          <cell r="Q49">
            <v>0.84692546030000004</v>
          </cell>
          <cell r="R49">
            <v>0.86949141279999997</v>
          </cell>
          <cell r="S49">
            <v>0.89167212699999998</v>
          </cell>
          <cell r="T49">
            <v>0.91346503189999995</v>
          </cell>
          <cell r="U49">
            <v>0.93487000440000001</v>
          </cell>
          <cell r="V49">
            <v>0.95576339089999995</v>
          </cell>
          <cell r="W49">
            <v>0.976280068</v>
          </cell>
          <cell r="X49">
            <v>0.99642819839999996</v>
          </cell>
          <cell r="Y49">
            <v>1.016218375</v>
          </cell>
          <cell r="Z49">
            <v>1.0356609379999999</v>
          </cell>
          <cell r="AA49">
            <v>1.0544049170000001</v>
          </cell>
          <cell r="AB49">
            <v>1.0726671940000001</v>
          </cell>
          <cell r="AC49">
            <v>1.090472235</v>
          </cell>
          <cell r="AD49">
            <v>1.1078516190000001</v>
          </cell>
          <cell r="AE49">
            <v>1.1248381839999999</v>
          </cell>
          <cell r="AF49">
            <v>1.1414631260000001</v>
          </cell>
          <cell r="AG49">
            <v>1.1577547079999999</v>
          </cell>
          <cell r="AH49">
            <v>1.173737939</v>
          </cell>
          <cell r="AI49">
            <v>1.1894347709999999</v>
          </cell>
          <cell r="AJ49">
            <v>1.204864527</v>
          </cell>
          <cell r="AK49">
            <v>1.2200443700000001</v>
          </cell>
          <cell r="AL49">
            <v>1.2349054639999999</v>
          </cell>
          <cell r="AM49">
            <v>1.249465775</v>
          </cell>
          <cell r="AN49">
            <v>1.263743981</v>
          </cell>
          <cell r="AO49">
            <v>1.277760137</v>
          </cell>
          <cell r="AP49">
            <v>1.2915346240000001</v>
          </cell>
          <cell r="AQ49">
            <v>1.305086929</v>
          </cell>
          <cell r="AR49">
            <v>1.3184347320000001</v>
          </cell>
          <cell r="AS49">
            <v>1.331593394</v>
          </cell>
          <cell r="AT49">
            <v>1.344575794</v>
          </cell>
          <cell r="AU49">
            <v>1.357392403</v>
          </cell>
          <cell r="AV49">
            <v>1.3700587559999999</v>
          </cell>
          <cell r="AW49">
            <v>1.38258083</v>
          </cell>
          <cell r="AX49">
            <v>1.3949627659999999</v>
          </cell>
          <cell r="AY49">
            <v>1.4072069469999999</v>
          </cell>
          <cell r="AZ49">
            <v>1.4193142590000001</v>
          </cell>
          <cell r="BA49">
            <v>1.49953493</v>
          </cell>
          <cell r="BB49">
            <v>1.515156978</v>
          </cell>
          <cell r="BC49">
            <v>1.5307466949999999</v>
          </cell>
          <cell r="BD49">
            <v>1.5463146320000001</v>
          </cell>
          <cell r="BE49">
            <v>1.561872156</v>
          </cell>
        </row>
        <row r="50">
          <cell r="A50" t="str">
            <v>auto_cc_cgas_2</v>
          </cell>
          <cell r="B50">
            <v>0.40659851759999999</v>
          </cell>
          <cell r="C50">
            <v>0.41427136939999998</v>
          </cell>
          <cell r="D50">
            <v>0.42407950189999999</v>
          </cell>
          <cell r="E50">
            <v>0.43524556440000001</v>
          </cell>
          <cell r="F50">
            <v>0.447260096</v>
          </cell>
          <cell r="G50">
            <v>0.4598008361</v>
          </cell>
          <cell r="H50">
            <v>0.47260223239999999</v>
          </cell>
          <cell r="I50">
            <v>0.48553427240000002</v>
          </cell>
          <cell r="J50">
            <v>0.49851076649999998</v>
          </cell>
          <cell r="K50">
            <v>0.51147157379999997</v>
          </cell>
          <cell r="L50">
            <v>0.52443418500000005</v>
          </cell>
          <cell r="M50">
            <v>0.53730645690000001</v>
          </cell>
          <cell r="N50">
            <v>0.55008294830000004</v>
          </cell>
          <cell r="O50">
            <v>0.56274905689999999</v>
          </cell>
          <cell r="P50">
            <v>0.57528792890000002</v>
          </cell>
          <cell r="Q50">
            <v>0.58768195779999999</v>
          </cell>
          <cell r="R50">
            <v>0.59991094099999998</v>
          </cell>
          <cell r="S50">
            <v>0.61195618780000005</v>
          </cell>
          <cell r="T50">
            <v>0.62380063220000004</v>
          </cell>
          <cell r="U50">
            <v>0.63542875629999995</v>
          </cell>
          <cell r="V50">
            <v>0.64674542739999996</v>
          </cell>
          <cell r="W50">
            <v>0.65782528419999997</v>
          </cell>
          <cell r="X50">
            <v>0.66866027319999999</v>
          </cell>
          <cell r="Y50">
            <v>0.67924532130000004</v>
          </cell>
          <cell r="Z50">
            <v>0.68957663810000003</v>
          </cell>
          <cell r="AA50">
            <v>0.6994211092</v>
          </cell>
          <cell r="AB50">
            <v>0.70891498379999995</v>
          </cell>
          <cell r="AC50">
            <v>0.71806877719999995</v>
          </cell>
          <cell r="AD50">
            <v>0.72689785659999995</v>
          </cell>
          <cell r="AE50">
            <v>0.73541915869999996</v>
          </cell>
          <cell r="AF50">
            <v>0.7436494575</v>
          </cell>
          <cell r="AG50">
            <v>0.75160513620000002</v>
          </cell>
          <cell r="AH50">
            <v>0.75930083120000003</v>
          </cell>
          <cell r="AI50">
            <v>0.76674960540000003</v>
          </cell>
          <cell r="AJ50">
            <v>0.77396335969999996</v>
          </cell>
          <cell r="AK50">
            <v>0.78095314510000002</v>
          </cell>
          <cell r="AL50">
            <v>0.787683472</v>
          </cell>
          <cell r="AM50">
            <v>0.79416996049999999</v>
          </cell>
          <cell r="AN50">
            <v>0.80042611880000003</v>
          </cell>
          <cell r="AO50">
            <v>0.8064657945</v>
          </cell>
          <cell r="AP50">
            <v>0.8123032992</v>
          </cell>
          <cell r="AQ50">
            <v>0.81795376659999997</v>
          </cell>
          <cell r="AR50">
            <v>0.82343096920000003</v>
          </cell>
          <cell r="AS50">
            <v>0.82874714329999999</v>
          </cell>
          <cell r="AT50">
            <v>0.83391321340000002</v>
          </cell>
          <cell r="AU50">
            <v>0.83893898889999996</v>
          </cell>
          <cell r="AV50">
            <v>0.84384091729999999</v>
          </cell>
          <cell r="AW50">
            <v>0.84862796650000005</v>
          </cell>
          <cell r="AX50">
            <v>0.85330704690000003</v>
          </cell>
          <cell r="AY50">
            <v>0.85788437070000001</v>
          </cell>
          <cell r="AZ50">
            <v>0.86236610520000001</v>
          </cell>
          <cell r="BA50">
            <v>0.90839681500000002</v>
          </cell>
          <cell r="BB50">
            <v>0.91344917969999995</v>
          </cell>
          <cell r="BC50">
            <v>0.9183529225</v>
          </cell>
          <cell r="BD50">
            <v>0.92311309210000003</v>
          </cell>
          <cell r="BE50">
            <v>0.92773529450000003</v>
          </cell>
        </row>
        <row r="51">
          <cell r="A51" t="str">
            <v>auto_cc_cgas_0</v>
          </cell>
          <cell r="B51">
            <v>0.40659851759999999</v>
          </cell>
          <cell r="C51">
            <v>0.41470220209999997</v>
          </cell>
          <cell r="D51">
            <v>0.4252513973</v>
          </cell>
          <cell r="E51">
            <v>0.43734559249999999</v>
          </cell>
          <cell r="F51">
            <v>0.4503910928</v>
          </cell>
          <cell r="G51">
            <v>0.46400622349999998</v>
          </cell>
          <cell r="H51">
            <v>0.47788482729999998</v>
          </cell>
          <cell r="I51">
            <v>0.49186996440000003</v>
          </cell>
          <cell r="J51">
            <v>0.50585910420000002</v>
          </cell>
          <cell r="K51">
            <v>0.5197832644</v>
          </cell>
          <cell r="L51">
            <v>0.53370530910000002</v>
          </cell>
          <cell r="M51">
            <v>0.54747362229999996</v>
          </cell>
          <cell r="N51">
            <v>0.56105661500000004</v>
          </cell>
          <cell r="O51">
            <v>0.57442694910000003</v>
          </cell>
          <cell r="P51">
            <v>0.58756250769999996</v>
          </cell>
          <cell r="Q51">
            <v>0.60044598719999998</v>
          </cell>
          <cell r="R51">
            <v>0.61306411439999997</v>
          </cell>
          <cell r="S51">
            <v>0.62540685529999995</v>
          </cell>
          <cell r="T51">
            <v>0.63746675529999997</v>
          </cell>
          <cell r="U51">
            <v>0.64923844789999996</v>
          </cell>
          <cell r="V51">
            <v>0.66063617289999998</v>
          </cell>
          <cell r="W51">
            <v>0.67174424129999999</v>
          </cell>
          <cell r="X51">
            <v>0.68256385659999996</v>
          </cell>
          <cell r="Y51">
            <v>0.69309799419999996</v>
          </cell>
          <cell r="Z51">
            <v>0.70334964730000005</v>
          </cell>
          <cell r="AA51">
            <v>0.71308991929999999</v>
          </cell>
          <cell r="AB51">
            <v>0.72245691720000005</v>
          </cell>
          <cell r="AC51">
            <v>0.73146450169999999</v>
          </cell>
          <cell r="AD51">
            <v>0.7401309895</v>
          </cell>
          <cell r="AE51">
            <v>0.7484753596</v>
          </cell>
          <cell r="AF51">
            <v>0.75651540660000005</v>
          </cell>
          <cell r="AG51">
            <v>0.7642669393</v>
          </cell>
          <cell r="AH51">
            <v>0.77174359339999998</v>
          </cell>
          <cell r="AI51">
            <v>0.77895697850000001</v>
          </cell>
          <cell r="AJ51">
            <v>0.78591696730000005</v>
          </cell>
          <cell r="AK51">
            <v>0.79263200789999999</v>
          </cell>
          <cell r="AL51">
            <v>0.79905775010000002</v>
          </cell>
          <cell r="AM51">
            <v>0.80520370050000001</v>
          </cell>
          <cell r="AN51">
            <v>0.81107978420000004</v>
          </cell>
          <cell r="AO51">
            <v>0.81669668640000004</v>
          </cell>
          <cell r="AP51">
            <v>0.8220651779</v>
          </cell>
          <cell r="AQ51">
            <v>0.82719536579999997</v>
          </cell>
          <cell r="AR51">
            <v>0.83209615309999996</v>
          </cell>
          <cell r="AS51">
            <v>0.83677495300000004</v>
          </cell>
          <cell r="AT51">
            <v>0.84123761610000003</v>
          </cell>
          <cell r="AU51">
            <v>0.8454885016</v>
          </cell>
          <cell r="AV51">
            <v>0.84953485490000002</v>
          </cell>
          <cell r="AW51">
            <v>0.85337825609999995</v>
          </cell>
          <cell r="AX51">
            <v>0.85701920399999998</v>
          </cell>
          <cell r="AY51">
            <v>0.86045719450000002</v>
          </cell>
          <cell r="AZ51">
            <v>0.86369089610000005</v>
          </cell>
          <cell r="BA51">
            <v>0.90626562889999995</v>
          </cell>
          <cell r="BB51">
            <v>0.91114016870000003</v>
          </cell>
          <cell r="BC51">
            <v>0.91585367900000003</v>
          </cell>
          <cell r="BD51">
            <v>0.92041032209999996</v>
          </cell>
          <cell r="BE51">
            <v>0.92481464719999995</v>
          </cell>
        </row>
        <row r="52">
          <cell r="A52" t="str">
            <v>auto_cd_cgas_2</v>
          </cell>
          <cell r="B52">
            <v>0.2495444651</v>
          </cell>
          <cell r="C52">
            <v>0.25219966310000003</v>
          </cell>
          <cell r="D52">
            <v>0.25599337519999998</v>
          </cell>
          <cell r="E52">
            <v>0.26045688379999998</v>
          </cell>
          <cell r="F52">
            <v>0.26528285619999997</v>
          </cell>
          <cell r="G52">
            <v>0.27027519570000003</v>
          </cell>
          <cell r="H52">
            <v>0.27527583249999998</v>
          </cell>
          <cell r="I52">
            <v>0.28020432470000001</v>
          </cell>
          <cell r="J52">
            <v>0.2850070173</v>
          </cell>
          <cell r="K52">
            <v>0.28964648900000001</v>
          </cell>
          <cell r="L52">
            <v>0.29412704109999999</v>
          </cell>
          <cell r="M52">
            <v>0.29839840540000001</v>
          </cell>
          <cell r="N52">
            <v>0.30245403160000001</v>
          </cell>
          <cell r="O52">
            <v>0.30628311390000001</v>
          </cell>
          <cell r="P52">
            <v>0.30987465609999998</v>
          </cell>
          <cell r="Q52">
            <v>0.31321848819999998</v>
          </cell>
          <cell r="R52">
            <v>0.31630446709999999</v>
          </cell>
          <cell r="S52">
            <v>0.3191243299</v>
          </cell>
          <cell r="T52">
            <v>0.3216716329</v>
          </cell>
          <cell r="U52">
            <v>0.3239415658</v>
          </cell>
          <cell r="V52">
            <v>0.32589573649999998</v>
          </cell>
          <cell r="W52">
            <v>0.3275708718</v>
          </cell>
          <cell r="X52">
            <v>0.32896748809999998</v>
          </cell>
          <cell r="Y52">
            <v>0.33008767300000003</v>
          </cell>
          <cell r="Z52">
            <v>0.33093433490000002</v>
          </cell>
          <cell r="AA52">
            <v>0.33141963349999998</v>
          </cell>
          <cell r="AB52">
            <v>0.33160633950000001</v>
          </cell>
          <cell r="AC52">
            <v>0.33150587790000002</v>
          </cell>
          <cell r="AD52">
            <v>0.33113116869999998</v>
          </cell>
          <cell r="AE52">
            <v>0.33049527049999999</v>
          </cell>
          <cell r="AF52">
            <v>0.32961073629999998</v>
          </cell>
          <cell r="AG52">
            <v>0.32848956169999999</v>
          </cell>
          <cell r="AH52">
            <v>0.32714273300000002</v>
          </cell>
          <cell r="AI52">
            <v>0.32558032650000002</v>
          </cell>
          <cell r="AJ52">
            <v>0.32381169650000002</v>
          </cell>
          <cell r="AK52">
            <v>0.32184562750000001</v>
          </cell>
          <cell r="AL52">
            <v>0.3196757885</v>
          </cell>
          <cell r="AM52">
            <v>0.31731296549999999</v>
          </cell>
          <cell r="AN52">
            <v>0.31476694490000001</v>
          </cell>
          <cell r="AO52">
            <v>0.312047254</v>
          </cell>
          <cell r="AP52">
            <v>0.3091632171</v>
          </cell>
          <cell r="AQ52">
            <v>0.30612409889999997</v>
          </cell>
          <cell r="AR52">
            <v>0.3029385081</v>
          </cell>
          <cell r="AS52">
            <v>0.29961438000000001</v>
          </cell>
          <cell r="AT52">
            <v>0.29615908689999998</v>
          </cell>
          <cell r="AU52">
            <v>0.29257953510000001</v>
          </cell>
          <cell r="AV52">
            <v>0.28888418799999999</v>
          </cell>
          <cell r="AW52">
            <v>0.28507940510000002</v>
          </cell>
          <cell r="AX52">
            <v>0.28117086990000001</v>
          </cell>
          <cell r="AY52">
            <v>0.27716397129999998</v>
          </cell>
          <cell r="AZ52">
            <v>0.27306400130000003</v>
          </cell>
          <cell r="BA52">
            <v>0.27581100089999999</v>
          </cell>
          <cell r="BB52">
            <v>0.27146094479999999</v>
          </cell>
          <cell r="BC52">
            <v>0.26701789739999998</v>
          </cell>
          <cell r="BD52">
            <v>0.26248832030000002</v>
          </cell>
          <cell r="BE52">
            <v>0.25787865199999999</v>
          </cell>
        </row>
        <row r="53">
          <cell r="A53" t="str">
            <v>auto_cd_cgas_0</v>
          </cell>
          <cell r="B53">
            <v>0.2495444651</v>
          </cell>
          <cell r="C53">
            <v>0.25242828470000001</v>
          </cell>
          <cell r="D53">
            <v>0.25660192180000002</v>
          </cell>
          <cell r="E53">
            <v>0.2615233649</v>
          </cell>
          <cell r="F53">
            <v>0.26683808060000003</v>
          </cell>
          <cell r="G53">
            <v>0.27231908849999997</v>
          </cell>
          <cell r="H53">
            <v>0.27778898410000002</v>
          </cell>
          <cell r="I53">
            <v>0.28315553710000002</v>
          </cell>
          <cell r="J53">
            <v>0.28835885929999999</v>
          </cell>
          <cell r="K53">
            <v>0.29335906779999998</v>
          </cell>
          <cell r="L53">
            <v>0.298183898</v>
          </cell>
          <cell r="M53">
            <v>0.30275479550000001</v>
          </cell>
          <cell r="N53">
            <v>0.30705527510000002</v>
          </cell>
          <cell r="O53">
            <v>0.31107217850000002</v>
          </cell>
          <cell r="P53">
            <v>0.31479590860000001</v>
          </cell>
          <cell r="Q53">
            <v>0.31822002529999999</v>
          </cell>
          <cell r="R53">
            <v>0.32134071400000003</v>
          </cell>
          <cell r="S53">
            <v>0.32415628680000003</v>
          </cell>
          <cell r="T53">
            <v>0.3266667694</v>
          </cell>
          <cell r="U53">
            <v>0.32887358109999998</v>
          </cell>
          <cell r="V53">
            <v>0.3307440894</v>
          </cell>
          <cell r="W53">
            <v>0.33231992739999999</v>
          </cell>
          <cell r="X53">
            <v>0.33360632870000001</v>
          </cell>
          <cell r="Y53">
            <v>0.33460929509999998</v>
          </cell>
          <cell r="Z53">
            <v>0.33533487830000003</v>
          </cell>
          <cell r="AA53">
            <v>0.33569778109999998</v>
          </cell>
          <cell r="AB53">
            <v>0.33576115159999997</v>
          </cell>
          <cell r="AC53">
            <v>0.33553767439999999</v>
          </cell>
          <cell r="AD53">
            <v>0.33504132949999998</v>
          </cell>
          <cell r="AE53">
            <v>0.33428587999999998</v>
          </cell>
          <cell r="AF53">
            <v>0.33328421499999999</v>
          </cell>
          <cell r="AG53">
            <v>0.33204811639999998</v>
          </cell>
          <cell r="AH53">
            <v>0.33058826050000001</v>
          </cell>
          <cell r="AI53">
            <v>0.32891433689999999</v>
          </cell>
          <cell r="AJ53">
            <v>0.32703521390000001</v>
          </cell>
          <cell r="AK53">
            <v>0.324959104</v>
          </cell>
          <cell r="AL53">
            <v>0.3226772148</v>
          </cell>
          <cell r="AM53">
            <v>0.32019884799999998</v>
          </cell>
          <cell r="AN53">
            <v>0.3175333662</v>
          </cell>
          <cell r="AO53">
            <v>0.31469022369999999</v>
          </cell>
          <cell r="AP53">
            <v>0.31167872369999999</v>
          </cell>
          <cell r="AQ53">
            <v>0.30850779750000001</v>
          </cell>
          <cell r="AR53">
            <v>0.30518587470000003</v>
          </cell>
          <cell r="AS53">
            <v>0.30172084240000002</v>
          </cell>
          <cell r="AT53">
            <v>0.2981200698</v>
          </cell>
          <cell r="AU53">
            <v>0.29439047210000002</v>
          </cell>
          <cell r="AV53">
            <v>0.29053966120000002</v>
          </cell>
          <cell r="AW53">
            <v>0.2865737411</v>
          </cell>
          <cell r="AX53">
            <v>0.28249857839999998</v>
          </cell>
          <cell r="AY53">
            <v>0.27831985599999998</v>
          </cell>
          <cell r="AZ53">
            <v>0.27404314200000002</v>
          </cell>
          <cell r="BA53">
            <v>0.27612346450000003</v>
          </cell>
          <cell r="BB53">
            <v>0.2717945819</v>
          </cell>
          <cell r="BC53">
            <v>0.26737305779999998</v>
          </cell>
          <cell r="BD53">
            <v>0.26286532150000003</v>
          </cell>
          <cell r="BE53">
            <v>0.25827777819999997</v>
          </cell>
        </row>
        <row r="54">
          <cell r="A54" t="str">
            <v>auto_ce_cgas_2</v>
          </cell>
          <cell r="B54">
            <v>0.15020246549999999</v>
          </cell>
          <cell r="C54">
            <v>0.15199563420000001</v>
          </cell>
          <cell r="D54">
            <v>0.15440071650000001</v>
          </cell>
          <cell r="E54">
            <v>0.15711415149999999</v>
          </cell>
          <cell r="F54">
            <v>0.15993894750000001</v>
          </cell>
          <cell r="G54">
            <v>0.16275079670000001</v>
          </cell>
          <cell r="H54">
            <v>0.16545245610000001</v>
          </cell>
          <cell r="I54">
            <v>0.1679958422</v>
          </cell>
          <cell r="J54">
            <v>0.170350687</v>
          </cell>
          <cell r="K54">
            <v>0.17249762769999999</v>
          </cell>
          <cell r="L54">
            <v>0.17444225360000001</v>
          </cell>
          <cell r="M54">
            <v>0.17615968470000001</v>
          </cell>
          <cell r="N54">
            <v>0.17764976569999999</v>
          </cell>
          <cell r="O54">
            <v>0.17891014220000001</v>
          </cell>
          <cell r="P54">
            <v>0.1799388267</v>
          </cell>
          <cell r="Q54">
            <v>0.18073486529999999</v>
          </cell>
          <cell r="R54">
            <v>0.18129791000000001</v>
          </cell>
          <cell r="S54">
            <v>0.18162912549999999</v>
          </cell>
          <cell r="T54">
            <v>0.18173106389999999</v>
          </cell>
          <cell r="U54">
            <v>0.18160746210000001</v>
          </cell>
          <cell r="V54">
            <v>0.1812458166</v>
          </cell>
          <cell r="W54">
            <v>0.18067123979999999</v>
          </cell>
          <cell r="X54">
            <v>0.1798906726</v>
          </cell>
          <cell r="Y54">
            <v>0.1789118062</v>
          </cell>
          <cell r="Z54">
            <v>0.17774269610000001</v>
          </cell>
          <cell r="AA54">
            <v>0.1763499825</v>
          </cell>
          <cell r="AB54">
            <v>0.17477042640000001</v>
          </cell>
          <cell r="AC54">
            <v>0.17301654550000001</v>
          </cell>
          <cell r="AD54">
            <v>0.17110114430000001</v>
          </cell>
          <cell r="AE54">
            <v>0.16903668999999999</v>
          </cell>
          <cell r="AF54">
            <v>0.16683505200000001</v>
          </cell>
          <cell r="AG54">
            <v>0.16450750759999999</v>
          </cell>
          <cell r="AH54">
            <v>0.16206458069999999</v>
          </cell>
          <cell r="AI54">
            <v>0.15951611060000001</v>
          </cell>
          <cell r="AJ54">
            <v>0.15687135760000001</v>
          </cell>
          <cell r="AK54">
            <v>0.15413909049999999</v>
          </cell>
          <cell r="AL54">
            <v>0.1513221431</v>
          </cell>
          <cell r="AM54">
            <v>0.1484298788</v>
          </cell>
          <cell r="AN54">
            <v>0.14547099899999999</v>
          </cell>
          <cell r="AO54">
            <v>0.14245381909999999</v>
          </cell>
          <cell r="AP54">
            <v>0.13938630599999999</v>
          </cell>
          <cell r="AQ54">
            <v>0.13627615000000001</v>
          </cell>
          <cell r="AR54">
            <v>0.1331305773</v>
          </cell>
          <cell r="AS54">
            <v>0.1299563604</v>
          </cell>
          <cell r="AT54">
            <v>0.12675987480000001</v>
          </cell>
          <cell r="AU54">
            <v>0.12354714629999999</v>
          </cell>
          <cell r="AV54">
            <v>0.12032449100000001</v>
          </cell>
          <cell r="AW54">
            <v>0.1170973698</v>
          </cell>
          <cell r="AX54">
            <v>0.11387084629999999</v>
          </cell>
          <cell r="AY54">
            <v>0.1106497166</v>
          </cell>
          <cell r="AZ54">
            <v>0.1074385796</v>
          </cell>
          <cell r="BA54">
            <v>0.1050646423</v>
          </cell>
          <cell r="BB54">
            <v>0.1018301482</v>
          </cell>
          <cell r="BC54">
            <v>9.8617462000000003E-2</v>
          </cell>
          <cell r="BD54">
            <v>9.5431064800000007E-2</v>
          </cell>
          <cell r="BE54">
            <v>9.2275199700000005E-2</v>
          </cell>
        </row>
        <row r="55">
          <cell r="A55" t="str">
            <v>auto_ce_cgas_0</v>
          </cell>
          <cell r="B55">
            <v>0.15020246549999999</v>
          </cell>
          <cell r="C55">
            <v>0.1521301739</v>
          </cell>
          <cell r="D55">
            <v>0.15475126289999999</v>
          </cell>
          <cell r="E55">
            <v>0.1577147408</v>
          </cell>
          <cell r="F55">
            <v>0.1607948276</v>
          </cell>
          <cell r="G55">
            <v>0.1638498524</v>
          </cell>
          <cell r="H55">
            <v>0.1667728557</v>
          </cell>
          <cell r="I55">
            <v>0.16951057689999999</v>
          </cell>
          <cell r="J55">
            <v>0.1720307438</v>
          </cell>
          <cell r="K55">
            <v>0.17431403649999999</v>
          </cell>
          <cell r="L55">
            <v>0.17637991359999999</v>
          </cell>
          <cell r="M55">
            <v>0.17818870549999999</v>
          </cell>
          <cell r="N55">
            <v>0.17973650969999999</v>
          </cell>
          <cell r="O55">
            <v>0.18102179269999999</v>
          </cell>
          <cell r="P55">
            <v>0.18204536869999999</v>
          </cell>
          <cell r="Q55">
            <v>0.18281005550000001</v>
          </cell>
          <cell r="R55">
            <v>0.18332029180000001</v>
          </cell>
          <cell r="S55">
            <v>0.18358179459999999</v>
          </cell>
          <cell r="T55">
            <v>0.1836012776</v>
          </cell>
          <cell r="U55">
            <v>0.1833862278</v>
          </cell>
          <cell r="V55">
            <v>0.1829275615</v>
          </cell>
          <cell r="W55">
            <v>0.1822528608</v>
          </cell>
          <cell r="X55">
            <v>0.18137143889999999</v>
          </cell>
          <cell r="Y55">
            <v>0.18029282429999999</v>
          </cell>
          <cell r="Z55">
            <v>0.17902642560000001</v>
          </cell>
          <cell r="AA55">
            <v>0.17754021440000001</v>
          </cell>
          <cell r="AB55">
            <v>0.17587063289999999</v>
          </cell>
          <cell r="AC55">
            <v>0.17403046210000001</v>
          </cell>
          <cell r="AD55">
            <v>0.17203266750000001</v>
          </cell>
          <cell r="AE55">
            <v>0.16988972499999999</v>
          </cell>
          <cell r="AF55">
            <v>0.1676133652</v>
          </cell>
          <cell r="AG55">
            <v>0.1652145136</v>
          </cell>
          <cell r="AH55">
            <v>0.16270332879999999</v>
          </cell>
          <cell r="AI55">
            <v>0.16008928829999999</v>
          </cell>
          <cell r="AJ55">
            <v>0.1573812869</v>
          </cell>
          <cell r="AK55">
            <v>0.1545877309</v>
          </cell>
          <cell r="AL55">
            <v>0.1517104591</v>
          </cell>
          <cell r="AM55">
            <v>0.14875819749999999</v>
          </cell>
          <cell r="AN55">
            <v>0.14573948</v>
          </cell>
          <cell r="AO55">
            <v>0.14266263609999999</v>
          </cell>
          <cell r="AP55">
            <v>0.1395356942</v>
          </cell>
          <cell r="AQ55">
            <v>0.1363663088</v>
          </cell>
          <cell r="AR55">
            <v>0.1331617283</v>
          </cell>
          <cell r="AS55">
            <v>0.12992879639999999</v>
          </cell>
          <cell r="AT55">
            <v>0.1266739758</v>
          </cell>
          <cell r="AU55">
            <v>0.1234033823</v>
          </cell>
          <cell r="AV55">
            <v>0.12012314490000001</v>
          </cell>
          <cell r="AW55">
            <v>0.11683872939999999</v>
          </cell>
          <cell r="AX55">
            <v>0.1135553513</v>
          </cell>
          <cell r="AY55">
            <v>0.11027799789999999</v>
          </cell>
          <cell r="AZ55">
            <v>0.1070114522</v>
          </cell>
          <cell r="BA55">
            <v>0.1053358968</v>
          </cell>
          <cell r="BB55">
            <v>0.1021107666</v>
          </cell>
          <cell r="BC55">
            <v>9.8906918499999996E-2</v>
          </cell>
          <cell r="BD55">
            <v>9.5728802700000004E-2</v>
          </cell>
          <cell r="BE55">
            <v>9.2580637699999996E-2</v>
          </cell>
        </row>
        <row r="56">
          <cell r="A56" t="str">
            <v>auto_cf_cgas_2</v>
          </cell>
          <cell r="B56">
            <v>7.4609436000000001E-2</v>
          </cell>
          <cell r="C56">
            <v>7.5273424399999997E-2</v>
          </cell>
          <cell r="D56">
            <v>7.61154094E-2</v>
          </cell>
          <cell r="E56">
            <v>7.6966166200000005E-2</v>
          </cell>
          <cell r="F56">
            <v>7.7722054400000004E-2</v>
          </cell>
          <cell r="G56">
            <v>7.83229441E-2</v>
          </cell>
          <cell r="H56">
            <v>7.8728552800000004E-2</v>
          </cell>
          <cell r="I56">
            <v>7.8925003600000002E-2</v>
          </cell>
          <cell r="J56">
            <v>7.8909232800000007E-2</v>
          </cell>
          <cell r="K56">
            <v>7.86847512E-2</v>
          </cell>
          <cell r="L56">
            <v>7.8265822099999993E-2</v>
          </cell>
          <cell r="M56">
            <v>7.7656169499999997E-2</v>
          </cell>
          <cell r="N56">
            <v>7.6868208800000004E-2</v>
          </cell>
          <cell r="O56">
            <v>7.5913578499999995E-2</v>
          </cell>
          <cell r="P56">
            <v>7.4804255799999997E-2</v>
          </cell>
          <cell r="Q56">
            <v>7.3552763399999999E-2</v>
          </cell>
          <cell r="R56">
            <v>7.2171913399999996E-2</v>
          </cell>
          <cell r="S56">
            <v>7.0674872400000005E-2</v>
          </cell>
          <cell r="T56">
            <v>6.9074939399999993E-2</v>
          </cell>
          <cell r="U56">
            <v>6.7385319700000001E-2</v>
          </cell>
          <cell r="V56">
            <v>6.5615188000000005E-2</v>
          </cell>
          <cell r="W56">
            <v>6.3781641799999997E-2</v>
          </cell>
          <cell r="X56">
            <v>6.1896758099999998E-2</v>
          </cell>
          <cell r="Y56">
            <v>5.9971988599999998E-2</v>
          </cell>
          <cell r="Z56">
            <v>5.8018076299999999E-2</v>
          </cell>
          <cell r="AA56">
            <v>5.6038129700000001E-2</v>
          </cell>
          <cell r="AB56">
            <v>5.4046954299999998E-2</v>
          </cell>
          <cell r="AC56">
            <v>5.2054065500000003E-2</v>
          </cell>
          <cell r="AD56">
            <v>5.0068083999999999E-2</v>
          </cell>
          <cell r="AE56">
            <v>4.8096692500000003E-2</v>
          </cell>
          <cell r="AF56">
            <v>4.61466694E-2</v>
          </cell>
          <cell r="AG56">
            <v>4.4223960700000002E-2</v>
          </cell>
          <cell r="AH56">
            <v>4.2333726699999998E-2</v>
          </cell>
          <cell r="AI56">
            <v>4.0480412E-2</v>
          </cell>
          <cell r="AJ56">
            <v>3.8667815899999999E-2</v>
          </cell>
          <cell r="AK56">
            <v>3.6899154300000001E-2</v>
          </cell>
          <cell r="AL56">
            <v>3.5176658100000001E-2</v>
          </cell>
          <cell r="AM56">
            <v>3.3502739500000003E-2</v>
          </cell>
          <cell r="AN56">
            <v>3.1879311399999999E-2</v>
          </cell>
          <cell r="AO56">
            <v>3.03078484E-2</v>
          </cell>
          <cell r="AP56">
            <v>2.8789430299999998E-2</v>
          </cell>
          <cell r="AQ56">
            <v>2.7324784899999999E-2</v>
          </cell>
          <cell r="AR56">
            <v>2.59143121E-2</v>
          </cell>
          <cell r="AS56">
            <v>2.4558116800000002E-2</v>
          </cell>
          <cell r="AT56">
            <v>2.3256042599999999E-2</v>
          </cell>
          <cell r="AU56">
            <v>2.2007701899999999E-2</v>
          </cell>
          <cell r="AV56">
            <v>2.0812527899999999E-2</v>
          </cell>
          <cell r="AW56">
            <v>1.9669747800000002E-2</v>
          </cell>
          <cell r="AX56">
            <v>1.8578425999999999E-2</v>
          </cell>
          <cell r="AY56">
            <v>1.7537489699999999E-2</v>
          </cell>
          <cell r="AZ56">
            <v>1.6545751899999999E-2</v>
          </cell>
          <cell r="BA56">
            <v>1.5214498E-2</v>
          </cell>
          <cell r="BB56">
            <v>1.4334256199999999E-2</v>
          </cell>
          <cell r="BC56">
            <v>1.34989068E-2</v>
          </cell>
          <cell r="BD56">
            <v>1.27069182E-2</v>
          </cell>
          <cell r="BE56">
            <v>1.1956719899999999E-2</v>
          </cell>
        </row>
        <row r="57">
          <cell r="A57" t="str">
            <v>auto_cf_cgas_0</v>
          </cell>
          <cell r="B57">
            <v>7.4609436000000001E-2</v>
          </cell>
          <cell r="C57">
            <v>7.5328545799999994E-2</v>
          </cell>
          <cell r="D57">
            <v>7.6246810299999995E-2</v>
          </cell>
          <cell r="E57">
            <v>7.7169642799999993E-2</v>
          </cell>
          <cell r="F57">
            <v>7.7981432399999995E-2</v>
          </cell>
          <cell r="G57">
            <v>7.86176861E-2</v>
          </cell>
          <cell r="H57">
            <v>7.9038013200000007E-2</v>
          </cell>
          <cell r="I57">
            <v>7.9230162500000006E-2</v>
          </cell>
          <cell r="J57">
            <v>7.9193570899999996E-2</v>
          </cell>
          <cell r="K57">
            <v>7.8934576699999995E-2</v>
          </cell>
          <cell r="L57">
            <v>7.8473965899999998E-2</v>
          </cell>
          <cell r="M57">
            <v>7.7812261399999999E-2</v>
          </cell>
          <cell r="N57">
            <v>7.6963139299999997E-2</v>
          </cell>
          <cell r="O57">
            <v>7.5941112500000005E-2</v>
          </cell>
          <cell r="P57">
            <v>7.4761250400000007E-2</v>
          </cell>
          <cell r="Q57">
            <v>7.3438858199999998E-2</v>
          </cell>
          <cell r="R57">
            <v>7.1989204000000001E-2</v>
          </cell>
          <cell r="S57">
            <v>7.0427304100000004E-2</v>
          </cell>
          <cell r="T57">
            <v>6.8767756799999996E-2</v>
          </cell>
          <cell r="U57">
            <v>6.7024618600000002E-2</v>
          </cell>
          <cell r="V57">
            <v>6.5207685799999998E-2</v>
          </cell>
          <cell r="W57">
            <v>6.3334029900000005E-2</v>
          </cell>
          <cell r="X57">
            <v>6.14156888E-2</v>
          </cell>
          <cell r="Y57">
            <v>5.9463879599999998E-2</v>
          </cell>
          <cell r="Z57">
            <v>5.7488969000000001E-2</v>
          </cell>
          <cell r="AA57">
            <v>5.5493850400000003E-2</v>
          </cell>
          <cell r="AB57">
            <v>5.3492491500000003E-2</v>
          </cell>
          <cell r="AC57">
            <v>5.1493832000000003E-2</v>
          </cell>
          <cell r="AD57">
            <v>4.9505950100000001E-2</v>
          </cell>
          <cell r="AE57">
            <v>4.7536018200000002E-2</v>
          </cell>
          <cell r="AF57">
            <v>4.5590338799999998E-2</v>
          </cell>
          <cell r="AG57">
            <v>4.3674407700000001E-2</v>
          </cell>
          <cell r="AH57">
            <v>4.1792984700000001E-2</v>
          </cell>
          <cell r="AI57">
            <v>3.9950163300000001E-2</v>
          </cell>
          <cell r="AJ57">
            <v>3.8149435299999999E-2</v>
          </cell>
          <cell r="AK57">
            <v>3.6393748599999998E-2</v>
          </cell>
          <cell r="AL57">
            <v>3.4685057499999998E-2</v>
          </cell>
          <cell r="AM57">
            <v>3.3025544900000002E-2</v>
          </cell>
          <cell r="AN57">
            <v>3.1416970099999997E-2</v>
          </cell>
          <cell r="AO57">
            <v>2.9860693099999999E-2</v>
          </cell>
          <cell r="AP57">
            <v>2.8357698800000001E-2</v>
          </cell>
          <cell r="AQ57">
            <v>2.6908624200000002E-2</v>
          </cell>
          <cell r="AR57">
            <v>2.5513789799999999E-2</v>
          </cell>
          <cell r="AS57">
            <v>2.41732305E-2</v>
          </cell>
          <cell r="AT57">
            <v>2.2886726600000001E-2</v>
          </cell>
          <cell r="AU57">
            <v>2.1653832599999999E-2</v>
          </cell>
          <cell r="AV57">
            <v>2.0473916599999999E-2</v>
          </cell>
          <cell r="AW57">
            <v>1.9346155300000001E-2</v>
          </cell>
          <cell r="AX57">
            <v>1.8269574199999999E-2</v>
          </cell>
          <cell r="AY57">
            <v>1.7243068899999998E-2</v>
          </cell>
          <cell r="AZ57">
            <v>1.6265423899999999E-2</v>
          </cell>
          <cell r="BA57">
            <v>1.52630786E-2</v>
          </cell>
          <cell r="BB57">
            <v>1.43817345E-2</v>
          </cell>
          <cell r="BC57">
            <v>1.35451741E-2</v>
          </cell>
          <cell r="BD57">
            <v>1.2751882000000001E-2</v>
          </cell>
          <cell r="BE57">
            <v>1.20003032E-2</v>
          </cell>
        </row>
        <row r="58">
          <cell r="A58" t="str">
            <v>auto_cg_cgas_2</v>
          </cell>
          <cell r="B58">
            <v>0.13435819299999999</v>
          </cell>
          <cell r="C58">
            <v>0.13583202690000001</v>
          </cell>
          <cell r="D58">
            <v>0.1374217864</v>
          </cell>
          <cell r="E58">
            <v>0.13878784850000001</v>
          </cell>
          <cell r="F58">
            <v>0.13973879729999999</v>
          </cell>
          <cell r="G58">
            <v>0.14017929109999999</v>
          </cell>
          <cell r="H58">
            <v>0.1400615268</v>
          </cell>
          <cell r="I58">
            <v>0.1393902635</v>
          </cell>
          <cell r="J58">
            <v>0.13819217640000001</v>
          </cell>
          <cell r="K58">
            <v>0.13650614750000001</v>
          </cell>
          <cell r="L58">
            <v>0.13438734760000001</v>
          </cell>
          <cell r="M58">
            <v>0.1318742953</v>
          </cell>
          <cell r="N58">
            <v>0.12901584629999999</v>
          </cell>
          <cell r="O58">
            <v>0.12585765469999999</v>
          </cell>
          <cell r="P58">
            <v>0.12244387800000001</v>
          </cell>
          <cell r="Q58">
            <v>0.11881732640000001</v>
          </cell>
          <cell r="R58">
            <v>0.11501892850000001</v>
          </cell>
          <cell r="S58">
            <v>0.11108758069999999</v>
          </cell>
          <cell r="T58">
            <v>0.10705973169999999</v>
          </cell>
          <cell r="U58">
            <v>0.10296904900000001</v>
          </cell>
          <cell r="V58">
            <v>9.8842727000000005E-2</v>
          </cell>
          <cell r="W58">
            <v>9.4712911100000005E-2</v>
          </cell>
          <cell r="X58">
            <v>9.0604188899999993E-2</v>
          </cell>
          <cell r="Y58">
            <v>8.6538118799999994E-2</v>
          </cell>
          <cell r="Z58">
            <v>8.2533355399999994E-2</v>
          </cell>
          <cell r="AA58">
            <v>7.8600781800000005E-2</v>
          </cell>
          <cell r="AB58">
            <v>7.4758348700000005E-2</v>
          </cell>
          <cell r="AC58">
            <v>7.10179596E-2</v>
          </cell>
          <cell r="AD58">
            <v>6.7389129800000003E-2</v>
          </cell>
          <cell r="AE58">
            <v>6.3879192599999995E-2</v>
          </cell>
          <cell r="AF58">
            <v>6.0493550600000001E-2</v>
          </cell>
          <cell r="AG58">
            <v>5.7235928599999999E-2</v>
          </cell>
          <cell r="AH58">
            <v>5.4108590499999998E-2</v>
          </cell>
          <cell r="AI58">
            <v>5.11125459E-2</v>
          </cell>
          <cell r="AJ58">
            <v>4.8247739099999999E-2</v>
          </cell>
          <cell r="AK58">
            <v>4.5513213199999999E-2</v>
          </cell>
          <cell r="AL58">
            <v>4.2907074000000003E-2</v>
          </cell>
          <cell r="AM58">
            <v>4.0427088799999997E-2</v>
          </cell>
          <cell r="AN58">
            <v>3.8070465400000003E-2</v>
          </cell>
          <cell r="AO58">
            <v>3.5833963500000003E-2</v>
          </cell>
          <cell r="AP58">
            <v>3.3713988399999999E-2</v>
          </cell>
          <cell r="AQ58">
            <v>3.1706675599999998E-2</v>
          </cell>
          <cell r="AR58">
            <v>2.9807957600000001E-2</v>
          </cell>
          <cell r="AS58">
            <v>2.8013626400000002E-2</v>
          </cell>
          <cell r="AT58">
            <v>2.6319387499999999E-2</v>
          </cell>
          <cell r="AU58">
            <v>2.4720906500000001E-2</v>
          </cell>
          <cell r="AV58">
            <v>2.3213853400000001E-2</v>
          </cell>
          <cell r="AW58">
            <v>2.17939243E-2</v>
          </cell>
          <cell r="AX58">
            <v>2.0456873800000001E-2</v>
          </cell>
          <cell r="AY58">
            <v>1.91985395E-2</v>
          </cell>
          <cell r="AZ58">
            <v>1.8014861399999998E-2</v>
          </cell>
          <cell r="BA58">
            <v>1.63579495E-2</v>
          </cell>
          <cell r="BB58">
            <v>1.5344181700000001E-2</v>
          </cell>
          <cell r="BC58">
            <v>1.4391943900000001E-2</v>
          </cell>
          <cell r="BD58">
            <v>1.3497753600000001E-2</v>
          </cell>
          <cell r="BE58">
            <v>1.2658279600000001E-2</v>
          </cell>
        </row>
        <row r="59">
          <cell r="A59" t="str">
            <v>auto_cg_cgas_0</v>
          </cell>
          <cell r="B59">
            <v>0.13435819299999999</v>
          </cell>
          <cell r="C59">
            <v>0.1359196198</v>
          </cell>
          <cell r="D59">
            <v>0.1376097553</v>
          </cell>
          <cell r="E59">
            <v>0.139040723</v>
          </cell>
          <cell r="F59">
            <v>0.14000475670000001</v>
          </cell>
          <cell r="G59">
            <v>0.14040689849999999</v>
          </cell>
          <cell r="H59">
            <v>0.14020756879999999</v>
          </cell>
          <cell r="I59">
            <v>0.13942143839999999</v>
          </cell>
          <cell r="J59">
            <v>0.13808502980000001</v>
          </cell>
          <cell r="K59">
            <v>0.13624613560000001</v>
          </cell>
          <cell r="L59">
            <v>0.13397192229999999</v>
          </cell>
          <cell r="M59">
            <v>0.13129902299999999</v>
          </cell>
          <cell r="N59">
            <v>0.12828077639999999</v>
          </cell>
          <cell r="O59">
            <v>0.1249689708</v>
          </cell>
          <cell r="P59">
            <v>0.1214131557</v>
          </cell>
          <cell r="Q59">
            <v>0.117660057</v>
          </cell>
          <cell r="R59">
            <v>0.1137531842</v>
          </cell>
          <cell r="S59">
            <v>0.1097326019</v>
          </cell>
          <cell r="T59">
            <v>0.1056348261</v>
          </cell>
          <cell r="U59">
            <v>0.101492817</v>
          </cell>
          <cell r="V59">
            <v>9.7332758500000005E-2</v>
          </cell>
          <cell r="W59">
            <v>9.3184915500000007E-2</v>
          </cell>
          <cell r="X59">
            <v>8.9072153000000001E-2</v>
          </cell>
          <cell r="Y59">
            <v>8.50142287E-2</v>
          </cell>
          <cell r="Z59">
            <v>8.1028006799999996E-2</v>
          </cell>
          <cell r="AA59">
            <v>7.7122966000000001E-2</v>
          </cell>
          <cell r="AB59">
            <v>7.3315100999999994E-2</v>
          </cell>
          <cell r="AC59">
            <v>6.9614825399999997E-2</v>
          </cell>
          <cell r="AD59">
            <v>6.60303582E-2</v>
          </cell>
          <cell r="AE59">
            <v>6.2567914700000005E-2</v>
          </cell>
          <cell r="AF59">
            <v>5.9231940900000002E-2</v>
          </cell>
          <cell r="AG59">
            <v>5.60253452E-2</v>
          </cell>
          <cell r="AH59">
            <v>5.2949711500000003E-2</v>
          </cell>
          <cell r="AI59">
            <v>5.0005490600000001E-2</v>
          </cell>
          <cell r="AJ59">
            <v>4.7192170899999997E-2</v>
          </cell>
          <cell r="AK59">
            <v>4.4508428000000003E-2</v>
          </cell>
          <cell r="AL59">
            <v>4.1952060499999999E-2</v>
          </cell>
          <cell r="AM59">
            <v>3.9520592299999997E-2</v>
          </cell>
          <cell r="AN59">
            <v>3.7211063000000003E-2</v>
          </cell>
          <cell r="AO59">
            <v>3.5020113999999998E-2</v>
          </cell>
          <cell r="AP59">
            <v>3.2944067399999999E-2</v>
          </cell>
          <cell r="AQ59">
            <v>3.0978999199999999E-2</v>
          </cell>
          <cell r="AR59">
            <v>2.9120805100000001E-2</v>
          </cell>
          <cell r="AS59">
            <v>2.7365259400000001E-2</v>
          </cell>
          <cell r="AT59">
            <v>2.57080651E-2</v>
          </cell>
          <cell r="AU59">
            <v>2.41448984E-2</v>
          </cell>
          <cell r="AV59">
            <v>2.2671448399999999E-2</v>
          </cell>
          <cell r="AW59">
            <v>2.12834415E-2</v>
          </cell>
          <cell r="AX59">
            <v>1.9976672500000001E-2</v>
          </cell>
          <cell r="AY59">
            <v>1.8747025600000002E-2</v>
          </cell>
          <cell r="AZ59">
            <v>1.7590491900000001E-2</v>
          </cell>
          <cell r="BA59">
            <v>1.6384401199999999E-2</v>
          </cell>
          <cell r="BB59">
            <v>1.53693497E-2</v>
          </cell>
          <cell r="BC59">
            <v>1.44158467E-2</v>
          </cell>
          <cell r="BD59">
            <v>1.35204174E-2</v>
          </cell>
          <cell r="BE59">
            <v>1.26797366E-2</v>
          </cell>
        </row>
      </sheetData>
      <sheetData sheetId="18"/>
      <sheetData sheetId="19"/>
      <sheetData sheetId="20">
        <row r="100">
          <cell r="A100" t="str">
            <v>y_toe_2</v>
          </cell>
          <cell r="B100">
            <v>137.10500709999999</v>
          </cell>
          <cell r="C100">
            <v>137.56953899999999</v>
          </cell>
          <cell r="D100">
            <v>138.068331</v>
          </cell>
          <cell r="E100">
            <v>138.68611709999999</v>
          </cell>
          <cell r="F100">
            <v>139.4727662</v>
          </cell>
          <cell r="G100">
            <v>140.425704</v>
          </cell>
          <cell r="H100">
            <v>141.43799250000001</v>
          </cell>
          <cell r="I100">
            <v>142.53120860000001</v>
          </cell>
          <cell r="J100">
            <v>143.68355690000001</v>
          </cell>
          <cell r="K100">
            <v>144.87053270000001</v>
          </cell>
          <cell r="L100">
            <v>146.00462949999999</v>
          </cell>
          <cell r="M100">
            <v>147.3421701</v>
          </cell>
          <cell r="N100">
            <v>148.7040484</v>
          </cell>
          <cell r="O100">
            <v>150.08004579999999</v>
          </cell>
          <cell r="P100">
            <v>151.468143</v>
          </cell>
          <cell r="Q100">
            <v>152.86725530000001</v>
          </cell>
          <cell r="R100">
            <v>154.26690769999999</v>
          </cell>
          <cell r="S100">
            <v>155.6724408</v>
          </cell>
          <cell r="T100">
            <v>157.08455190000001</v>
          </cell>
          <cell r="U100">
            <v>158.5039917</v>
          </cell>
          <cell r="V100">
            <v>159.83750180000001</v>
          </cell>
          <cell r="W100">
            <v>161.2453821</v>
          </cell>
          <cell r="X100">
            <v>162.67667839999999</v>
          </cell>
          <cell r="Y100">
            <v>164.1266024</v>
          </cell>
          <cell r="Z100">
            <v>165.5948003</v>
          </cell>
          <cell r="AA100">
            <v>166.81500500000001</v>
          </cell>
          <cell r="AB100">
            <v>168.11699100000001</v>
          </cell>
          <cell r="AC100">
            <v>169.43563739999999</v>
          </cell>
          <cell r="AD100">
            <v>170.76963259999999</v>
          </cell>
          <cell r="AE100">
            <v>172.12155390000001</v>
          </cell>
          <cell r="AF100">
            <v>173.49436660000001</v>
          </cell>
          <cell r="AG100">
            <v>174.8931809</v>
          </cell>
          <cell r="AH100">
            <v>176.31815169999999</v>
          </cell>
          <cell r="AI100">
            <v>177.77020820000001</v>
          </cell>
          <cell r="AJ100">
            <v>179.2498147</v>
          </cell>
          <cell r="AK100">
            <v>180.75710839999999</v>
          </cell>
          <cell r="AL100">
            <v>182.25405570000001</v>
          </cell>
          <cell r="AM100">
            <v>183.76646589999999</v>
          </cell>
          <cell r="AN100">
            <v>185.29937799999999</v>
          </cell>
          <cell r="AO100">
            <v>186.85440109999999</v>
          </cell>
          <cell r="AP100">
            <v>188.43224309999999</v>
          </cell>
          <cell r="AQ100">
            <v>190.03738619999999</v>
          </cell>
          <cell r="AR100">
            <v>191.66748519999999</v>
          </cell>
          <cell r="AS100">
            <v>193.32235890000001</v>
          </cell>
          <cell r="AT100">
            <v>195.0018038</v>
          </cell>
          <cell r="AU100">
            <v>196.7055636</v>
          </cell>
          <cell r="AV100">
            <v>198.45309689999999</v>
          </cell>
          <cell r="AW100">
            <v>200.23106630000001</v>
          </cell>
          <cell r="AX100">
            <v>202.0372692</v>
          </cell>
          <cell r="AY100">
            <v>203.87020939999999</v>
          </cell>
          <cell r="AZ100">
            <v>205.72880850000001</v>
          </cell>
          <cell r="BA100">
            <v>246.2616218</v>
          </cell>
          <cell r="BB100">
            <v>249.59194579999999</v>
          </cell>
          <cell r="BC100">
            <v>252.97991350000001</v>
          </cell>
          <cell r="BD100">
            <v>256.42639680000002</v>
          </cell>
          <cell r="BE100">
            <v>259.93237049999999</v>
          </cell>
        </row>
        <row r="101">
          <cell r="A101" t="str">
            <v>m_toe_2</v>
          </cell>
          <cell r="B101">
            <v>148.99747339999999</v>
          </cell>
          <cell r="C101">
            <v>149.55824190000001</v>
          </cell>
          <cell r="D101">
            <v>150.2202892</v>
          </cell>
          <cell r="E101">
            <v>151.01235869999999</v>
          </cell>
          <cell r="F101">
            <v>151.9880278</v>
          </cell>
          <cell r="G101">
            <v>153.15394430000001</v>
          </cell>
          <cell r="H101">
            <v>154.40307659999999</v>
          </cell>
          <cell r="I101">
            <v>155.760077</v>
          </cell>
          <cell r="J101">
            <v>157.2069027</v>
          </cell>
          <cell r="K101">
            <v>158.71826100000001</v>
          </cell>
          <cell r="L101">
            <v>160.1897079</v>
          </cell>
          <cell r="M101">
            <v>161.91385650000001</v>
          </cell>
          <cell r="N101">
            <v>163.70381689999999</v>
          </cell>
          <cell r="O101">
            <v>165.5329567</v>
          </cell>
          <cell r="P101">
            <v>167.39434600000001</v>
          </cell>
          <cell r="Q101">
            <v>169.28430040000001</v>
          </cell>
          <cell r="R101">
            <v>171.19149200000001</v>
          </cell>
          <cell r="S101">
            <v>173.11887519999999</v>
          </cell>
          <cell r="T101">
            <v>175.06521380000001</v>
          </cell>
          <cell r="U101">
            <v>177.02918399999999</v>
          </cell>
          <cell r="V101">
            <v>178.90662570000001</v>
          </cell>
          <cell r="W101">
            <v>180.86552180000001</v>
          </cell>
          <cell r="X101">
            <v>182.8567803</v>
          </cell>
          <cell r="Y101">
            <v>184.87228339999999</v>
          </cell>
          <cell r="Z101">
            <v>186.91075369999999</v>
          </cell>
          <cell r="AA101">
            <v>188.6775202</v>
          </cell>
          <cell r="AB101">
            <v>190.51748190000001</v>
          </cell>
          <cell r="AC101">
            <v>192.3739339</v>
          </cell>
          <cell r="AD101">
            <v>194.24283969999999</v>
          </cell>
          <cell r="AE101">
            <v>196.1273822</v>
          </cell>
          <cell r="AF101">
            <v>198.03165290000001</v>
          </cell>
          <cell r="AG101">
            <v>199.9615747</v>
          </cell>
          <cell r="AH101">
            <v>201.91835570000001</v>
          </cell>
          <cell r="AI101">
            <v>203.90376979999999</v>
          </cell>
          <cell r="AJ101">
            <v>205.91912669999999</v>
          </cell>
          <cell r="AK101">
            <v>207.96537280000001</v>
          </cell>
          <cell r="AL101">
            <v>209.99531329999999</v>
          </cell>
          <cell r="AM101">
            <v>212.0366459</v>
          </cell>
          <cell r="AN101">
            <v>214.09735259999999</v>
          </cell>
          <cell r="AO101">
            <v>216.1812247</v>
          </cell>
          <cell r="AP101">
            <v>218.29073270000001</v>
          </cell>
          <cell r="AQ101">
            <v>220.43135670000001</v>
          </cell>
          <cell r="AR101">
            <v>222.60187049999999</v>
          </cell>
          <cell r="AS101">
            <v>224.8028928</v>
          </cell>
          <cell r="AT101">
            <v>227.0350163</v>
          </cell>
          <cell r="AU101">
            <v>229.29863800000001</v>
          </cell>
          <cell r="AV101">
            <v>231.61317120000001</v>
          </cell>
          <cell r="AW101">
            <v>233.9657512</v>
          </cell>
          <cell r="AX101">
            <v>236.35427079999999</v>
          </cell>
          <cell r="AY101">
            <v>238.77809569999999</v>
          </cell>
          <cell r="AZ101">
            <v>241.23691500000001</v>
          </cell>
          <cell r="BA101">
            <v>288.74522830000001</v>
          </cell>
          <cell r="BB101">
            <v>292.93593909999998</v>
          </cell>
          <cell r="BC101">
            <v>297.19389749999999</v>
          </cell>
          <cell r="BD101">
            <v>301.52066719999999</v>
          </cell>
          <cell r="BE101">
            <v>305.91793699999999</v>
          </cell>
        </row>
        <row r="102">
          <cell r="A102" t="str">
            <v>ci_toe_2</v>
          </cell>
          <cell r="B102">
            <v>189.96141979999999</v>
          </cell>
          <cell r="C102">
            <v>190.63991859999999</v>
          </cell>
          <cell r="D102">
            <v>191.71082480000001</v>
          </cell>
          <cell r="E102">
            <v>193.0595194</v>
          </cell>
          <cell r="F102">
            <v>194.70029579999999</v>
          </cell>
          <cell r="G102">
            <v>196.6178721</v>
          </cell>
          <cell r="H102">
            <v>198.6592431</v>
          </cell>
          <cell r="I102">
            <v>200.84353379999999</v>
          </cell>
          <cell r="J102">
            <v>203.14600569999999</v>
          </cell>
          <cell r="K102">
            <v>205.53658279999999</v>
          </cell>
          <cell r="L102">
            <v>207.88981240000001</v>
          </cell>
          <cell r="M102">
            <v>210.56264580000001</v>
          </cell>
          <cell r="N102">
            <v>213.33372209999999</v>
          </cell>
          <cell r="O102">
            <v>216.15733090000001</v>
          </cell>
          <cell r="P102">
            <v>219.0190829</v>
          </cell>
          <cell r="Q102">
            <v>221.910652</v>
          </cell>
          <cell r="R102">
            <v>224.81850900000001</v>
          </cell>
          <cell r="S102">
            <v>227.74159879999999</v>
          </cell>
          <cell r="T102">
            <v>230.67833450000001</v>
          </cell>
          <cell r="U102">
            <v>233.62804170000001</v>
          </cell>
          <cell r="V102">
            <v>236.45264950000001</v>
          </cell>
          <cell r="W102">
            <v>239.37225620000001</v>
          </cell>
          <cell r="X102">
            <v>242.3324188</v>
          </cell>
          <cell r="Y102">
            <v>245.3229427</v>
          </cell>
          <cell r="Z102">
            <v>248.3435403</v>
          </cell>
          <cell r="AA102">
            <v>250.9996745</v>
          </cell>
          <cell r="AB102">
            <v>253.7344085</v>
          </cell>
          <cell r="AC102">
            <v>256.49286330000001</v>
          </cell>
          <cell r="AD102">
            <v>259.27083620000002</v>
          </cell>
          <cell r="AE102">
            <v>262.07439640000001</v>
          </cell>
          <cell r="AF102">
            <v>264.91051620000002</v>
          </cell>
          <cell r="AG102">
            <v>267.78720290000001</v>
          </cell>
          <cell r="AH102">
            <v>270.70791279999997</v>
          </cell>
          <cell r="AI102">
            <v>273.67542040000001</v>
          </cell>
          <cell r="AJ102">
            <v>276.69151690000001</v>
          </cell>
          <cell r="AK102">
            <v>279.75716670000003</v>
          </cell>
          <cell r="AL102">
            <v>282.79912949999999</v>
          </cell>
          <cell r="AM102">
            <v>285.86095990000001</v>
          </cell>
          <cell r="AN102">
            <v>288.95483109999998</v>
          </cell>
          <cell r="AO102">
            <v>292.08558140000002</v>
          </cell>
          <cell r="AP102">
            <v>295.25594210000003</v>
          </cell>
          <cell r="AQ102">
            <v>298.4712073</v>
          </cell>
          <cell r="AR102">
            <v>301.7310895</v>
          </cell>
          <cell r="AS102">
            <v>305.03595380000002</v>
          </cell>
          <cell r="AT102">
            <v>308.3859994</v>
          </cell>
          <cell r="AU102">
            <v>311.78113930000001</v>
          </cell>
          <cell r="AV102">
            <v>315.24181659999999</v>
          </cell>
          <cell r="AW102">
            <v>318.7572485</v>
          </cell>
          <cell r="AX102">
            <v>322.32400760000002</v>
          </cell>
          <cell r="AY102">
            <v>325.9402422</v>
          </cell>
          <cell r="AZ102">
            <v>329.6044986</v>
          </cell>
          <cell r="BA102">
            <v>394.43394949999998</v>
          </cell>
          <cell r="BB102">
            <v>400.53157679999998</v>
          </cell>
          <cell r="BC102">
            <v>406.72715749999998</v>
          </cell>
          <cell r="BD102">
            <v>413.02284150000003</v>
          </cell>
          <cell r="BE102">
            <v>419.4208261</v>
          </cell>
        </row>
        <row r="103">
          <cell r="A103" t="str">
            <v>ch_toe_2</v>
          </cell>
          <cell r="B103">
            <v>64.30144018</v>
          </cell>
          <cell r="C103">
            <v>64.311548689999995</v>
          </cell>
          <cell r="D103">
            <v>64.021508800000007</v>
          </cell>
          <cell r="E103">
            <v>63.691322419999999</v>
          </cell>
          <cell r="F103">
            <v>63.41221865</v>
          </cell>
          <cell r="G103">
            <v>63.206232049999997</v>
          </cell>
          <cell r="H103">
            <v>63.050111749999999</v>
          </cell>
          <cell r="I103">
            <v>62.938125329999998</v>
          </cell>
          <cell r="J103">
            <v>62.856187030000001</v>
          </cell>
          <cell r="K103">
            <v>62.785061319999997</v>
          </cell>
          <cell r="L103">
            <v>62.736037959999997</v>
          </cell>
          <cell r="M103">
            <v>62.662565999999998</v>
          </cell>
          <cell r="N103">
            <v>62.578473719999998</v>
          </cell>
          <cell r="O103">
            <v>62.492567299999997</v>
          </cell>
          <cell r="P103">
            <v>62.410104070000003</v>
          </cell>
          <cell r="Q103">
            <v>62.334365509999998</v>
          </cell>
          <cell r="R103">
            <v>62.263476500000003</v>
          </cell>
          <cell r="S103">
            <v>62.200056029999999</v>
          </cell>
          <cell r="T103">
            <v>62.144740679999998</v>
          </cell>
          <cell r="U103">
            <v>62.097205719999998</v>
          </cell>
          <cell r="V103">
            <v>62.037877250000001</v>
          </cell>
          <cell r="W103">
            <v>61.994171229999999</v>
          </cell>
          <cell r="X103">
            <v>61.960241680000003</v>
          </cell>
          <cell r="Y103">
            <v>61.933085079999998</v>
          </cell>
          <cell r="Z103">
            <v>61.911097480000002</v>
          </cell>
          <cell r="AA103">
            <v>61.84221582</v>
          </cell>
          <cell r="AB103">
            <v>61.779794369999998</v>
          </cell>
          <cell r="AC103">
            <v>61.720796329999999</v>
          </cell>
          <cell r="AD103">
            <v>61.66392003</v>
          </cell>
          <cell r="AE103">
            <v>61.608758289999997</v>
          </cell>
          <cell r="AF103">
            <v>61.555333619999999</v>
          </cell>
          <cell r="AG103">
            <v>61.504645140000001</v>
          </cell>
          <cell r="AH103">
            <v>61.456476019999997</v>
          </cell>
          <cell r="AI103">
            <v>61.410772770000001</v>
          </cell>
          <cell r="AJ103">
            <v>61.367556149999999</v>
          </cell>
          <cell r="AK103">
            <v>61.326992619999999</v>
          </cell>
          <cell r="AL103">
            <v>61.285327909999999</v>
          </cell>
          <cell r="AM103">
            <v>61.243873100000002</v>
          </cell>
          <cell r="AN103">
            <v>61.203556710000001</v>
          </cell>
          <cell r="AO103">
            <v>61.165075960000003</v>
          </cell>
          <cell r="AP103">
            <v>61.129004389999999</v>
          </cell>
          <cell r="AQ103">
            <v>61.096906990000001</v>
          </cell>
          <cell r="AR103">
            <v>61.068588310000003</v>
          </cell>
          <cell r="AS103">
            <v>61.044166079999997</v>
          </cell>
          <cell r="AT103">
            <v>61.023864000000003</v>
          </cell>
          <cell r="AU103">
            <v>61.007928040000003</v>
          </cell>
          <cell r="AV103">
            <v>61.000962260000001</v>
          </cell>
          <cell r="AW103">
            <v>61.000717629999997</v>
          </cell>
          <cell r="AX103">
            <v>61.006346829999998</v>
          </cell>
          <cell r="AY103">
            <v>61.017624740000002</v>
          </cell>
          <cell r="AZ103">
            <v>61.034651949999997</v>
          </cell>
          <cell r="BA103">
            <v>64.419719540000003</v>
          </cell>
          <cell r="BB103">
            <v>64.521376770000003</v>
          </cell>
          <cell r="BC103">
            <v>64.626029189999997</v>
          </cell>
          <cell r="BD103">
            <v>64.733579050000003</v>
          </cell>
          <cell r="BE103">
            <v>64.844110799999996</v>
          </cell>
        </row>
        <row r="104">
          <cell r="A104" t="str">
            <v>x_toe_2</v>
          </cell>
          <cell r="B104">
            <v>31.83962051</v>
          </cell>
          <cell r="C104">
            <v>32.176313520000001</v>
          </cell>
          <cell r="D104">
            <v>32.556286610000001</v>
          </cell>
          <cell r="E104">
            <v>32.947633959999997</v>
          </cell>
          <cell r="F104">
            <v>33.348279570000003</v>
          </cell>
          <cell r="G104">
            <v>33.755544159999999</v>
          </cell>
          <cell r="H104">
            <v>34.131714279999997</v>
          </cell>
          <cell r="I104">
            <v>34.509626419999996</v>
          </cell>
          <cell r="J104">
            <v>34.888266809999998</v>
          </cell>
          <cell r="K104">
            <v>35.267149600000003</v>
          </cell>
          <cell r="L104">
            <v>35.568486960000001</v>
          </cell>
          <cell r="M104">
            <v>36.030814759999998</v>
          </cell>
          <cell r="N104">
            <v>36.495669499999998</v>
          </cell>
          <cell r="O104">
            <v>36.963104309999999</v>
          </cell>
          <cell r="P104">
            <v>37.433302050000002</v>
          </cell>
          <cell r="Q104">
            <v>37.906538210000001</v>
          </cell>
          <cell r="R104">
            <v>38.376414310000001</v>
          </cell>
          <cell r="S104">
            <v>38.849661249999997</v>
          </cell>
          <cell r="T104">
            <v>39.326690460000002</v>
          </cell>
          <cell r="U104">
            <v>39.807928339999997</v>
          </cell>
          <cell r="V104">
            <v>40.253600720000001</v>
          </cell>
          <cell r="W104">
            <v>40.744476509999998</v>
          </cell>
          <cell r="X104">
            <v>41.240798179999999</v>
          </cell>
          <cell r="Y104">
            <v>41.742857970000003</v>
          </cell>
          <cell r="Z104">
            <v>42.250916220000001</v>
          </cell>
          <cell r="AA104">
            <v>42.650634859999997</v>
          </cell>
          <cell r="AB104">
            <v>43.12027003</v>
          </cell>
          <cell r="AC104">
            <v>43.595911700000002</v>
          </cell>
          <cell r="AD104">
            <v>44.077716049999999</v>
          </cell>
          <cell r="AE104">
            <v>44.565781430000001</v>
          </cell>
          <cell r="AF104">
            <v>45.060169680000001</v>
          </cell>
          <cell r="AG104">
            <v>45.562907580000001</v>
          </cell>
          <cell r="AH104">
            <v>46.072118609999997</v>
          </cell>
          <cell r="AI104">
            <v>46.58778487</v>
          </cell>
          <cell r="AJ104">
            <v>47.109868349999999</v>
          </cell>
          <cell r="AK104">
            <v>47.638321990000001</v>
          </cell>
          <cell r="AL104">
            <v>48.164911570000001</v>
          </cell>
          <cell r="AM104">
            <v>48.698278780000003</v>
          </cell>
          <cell r="AN104">
            <v>49.238342699999997</v>
          </cell>
          <cell r="AO104">
            <v>49.784968419999998</v>
          </cell>
          <cell r="AP104">
            <v>50.33802936</v>
          </cell>
          <cell r="AQ104">
            <v>50.900628609999998</v>
          </cell>
          <cell r="AR104">
            <v>51.469677869999998</v>
          </cell>
          <cell r="AS104">
            <v>52.045131810000001</v>
          </cell>
          <cell r="AT104">
            <v>52.626956759999999</v>
          </cell>
          <cell r="AU104">
            <v>53.215134249999998</v>
          </cell>
          <cell r="AV104">
            <v>53.823489260000002</v>
          </cell>
          <cell r="AW104">
            <v>54.438851319999998</v>
          </cell>
          <cell r="AX104">
            <v>55.061185559999998</v>
          </cell>
          <cell r="AY104">
            <v>55.690438229999998</v>
          </cell>
          <cell r="AZ104">
            <v>56.326572890000001</v>
          </cell>
          <cell r="BA104">
            <v>76.153181029999999</v>
          </cell>
          <cell r="BB104">
            <v>77.474931299999994</v>
          </cell>
          <cell r="BC104">
            <v>78.820624289999998</v>
          </cell>
          <cell r="BD104">
            <v>80.190643519999995</v>
          </cell>
          <cell r="BE104">
            <v>81.585370549999993</v>
          </cell>
        </row>
        <row r="105">
          <cell r="A105" t="str">
            <v>y_toe_0</v>
          </cell>
          <cell r="B105">
            <v>139.60539019999999</v>
          </cell>
          <cell r="C105">
            <v>140.71595590000001</v>
          </cell>
          <cell r="D105">
            <v>141.75063510000001</v>
          </cell>
          <cell r="E105">
            <v>142.85682259999999</v>
          </cell>
          <cell r="F105">
            <v>144.07966579999999</v>
          </cell>
          <cell r="G105">
            <v>145.43149589999999</v>
          </cell>
          <cell r="H105">
            <v>146.8228154</v>
          </cell>
          <cell r="I105">
            <v>148.2883831</v>
          </cell>
          <cell r="J105">
            <v>149.81685479999999</v>
          </cell>
          <cell r="K105">
            <v>151.39436649999999</v>
          </cell>
          <cell r="L105">
            <v>153.1495674</v>
          </cell>
          <cell r="M105">
            <v>154.8389397</v>
          </cell>
          <cell r="N105">
            <v>156.53565710000001</v>
          </cell>
          <cell r="O105">
            <v>158.24582430000001</v>
          </cell>
          <cell r="P105">
            <v>159.97047040000001</v>
          </cell>
          <cell r="Q105">
            <v>161.70993770000001</v>
          </cell>
          <cell r="R105">
            <v>163.46483950000001</v>
          </cell>
          <cell r="S105">
            <v>165.23619339999999</v>
          </cell>
          <cell r="T105">
            <v>167.02535080000001</v>
          </cell>
          <cell r="U105">
            <v>168.8338876</v>
          </cell>
          <cell r="V105">
            <v>170.56150769999999</v>
          </cell>
          <cell r="W105">
            <v>172.3825013</v>
          </cell>
          <cell r="X105">
            <v>174.24083569999999</v>
          </cell>
          <cell r="Y105">
            <v>176.13146140000001</v>
          </cell>
          <cell r="Z105">
            <v>178.05380690000001</v>
          </cell>
          <cell r="AA105">
            <v>179.71602970000001</v>
          </cell>
          <cell r="AB105">
            <v>181.4750368</v>
          </cell>
          <cell r="AC105">
            <v>183.2596523</v>
          </cell>
          <cell r="AD105">
            <v>185.06819010000001</v>
          </cell>
          <cell r="AE105">
            <v>186.9030018</v>
          </cell>
          <cell r="AF105">
            <v>188.76686599999999</v>
          </cell>
          <cell r="AG105">
            <v>190.6620949</v>
          </cell>
          <cell r="AH105">
            <v>192.5903423</v>
          </cell>
          <cell r="AI105">
            <v>194.55263769999999</v>
          </cell>
          <cell r="AJ105">
            <v>196.54949669999999</v>
          </cell>
          <cell r="AK105">
            <v>198.5810534</v>
          </cell>
          <cell r="AL105">
            <v>200.57748269999999</v>
          </cell>
          <cell r="AM105">
            <v>202.5863511</v>
          </cell>
          <cell r="AN105">
            <v>204.615634</v>
          </cell>
          <cell r="AO105">
            <v>206.66895410000001</v>
          </cell>
          <cell r="AP105">
            <v>208.7486485</v>
          </cell>
          <cell r="AQ105">
            <v>210.85649979999999</v>
          </cell>
          <cell r="AR105">
            <v>212.99391660000001</v>
          </cell>
          <cell r="AS105">
            <v>215.16198940000001</v>
          </cell>
          <cell r="AT105">
            <v>217.36149019999999</v>
          </cell>
          <cell r="AU105">
            <v>219.5927701</v>
          </cell>
          <cell r="AV105">
            <v>221.8612632</v>
          </cell>
          <cell r="AW105">
            <v>224.158591</v>
          </cell>
          <cell r="AX105">
            <v>226.4820986</v>
          </cell>
          <cell r="AY105">
            <v>228.8354769</v>
          </cell>
          <cell r="AZ105">
            <v>231.22222629999999</v>
          </cell>
          <cell r="BA105">
            <v>248.76068989999999</v>
          </cell>
          <cell r="BB105">
            <v>252.16318720000001</v>
          </cell>
          <cell r="BC105">
            <v>255.6227614</v>
          </cell>
          <cell r="BD105">
            <v>259.14068689999999</v>
          </cell>
          <cell r="BE105">
            <v>262.7181764</v>
          </cell>
        </row>
        <row r="106">
          <cell r="A106" t="str">
            <v>m_toe_0</v>
          </cell>
          <cell r="B106">
            <v>151.4012845</v>
          </cell>
          <cell r="C106">
            <v>152.663352</v>
          </cell>
          <cell r="D106">
            <v>153.86342780000001</v>
          </cell>
          <cell r="E106">
            <v>155.1746109</v>
          </cell>
          <cell r="F106">
            <v>156.64782070000001</v>
          </cell>
          <cell r="G106">
            <v>158.29523259999999</v>
          </cell>
          <cell r="H106">
            <v>160.01514180000001</v>
          </cell>
          <cell r="I106">
            <v>161.835871</v>
          </cell>
          <cell r="J106">
            <v>163.7439234</v>
          </cell>
          <cell r="K106">
            <v>165.72227570000001</v>
          </cell>
          <cell r="L106">
            <v>167.9078428</v>
          </cell>
          <cell r="M106">
            <v>170.04404049999999</v>
          </cell>
          <cell r="N106">
            <v>172.19674860000001</v>
          </cell>
          <cell r="O106">
            <v>174.37371049999999</v>
          </cell>
          <cell r="P106">
            <v>176.57467489999999</v>
          </cell>
          <cell r="Q106">
            <v>178.7985434</v>
          </cell>
          <cell r="R106">
            <v>181.044724</v>
          </cell>
          <cell r="S106">
            <v>183.3132511</v>
          </cell>
          <cell r="T106">
            <v>185.6046652</v>
          </cell>
          <cell r="U106">
            <v>187.9198681</v>
          </cell>
          <cell r="V106">
            <v>190.14875319999999</v>
          </cell>
          <cell r="W106">
            <v>192.47440359999999</v>
          </cell>
          <cell r="X106">
            <v>194.84393589999999</v>
          </cell>
          <cell r="Y106">
            <v>197.24937929999999</v>
          </cell>
          <cell r="Z106">
            <v>199.68975570000001</v>
          </cell>
          <cell r="AA106">
            <v>201.8452638</v>
          </cell>
          <cell r="AB106">
            <v>204.0881095</v>
          </cell>
          <cell r="AC106">
            <v>206.35688200000001</v>
          </cell>
          <cell r="AD106">
            <v>208.64680129999999</v>
          </cell>
          <cell r="AE106">
            <v>210.96047999999999</v>
          </cell>
          <cell r="AF106">
            <v>213.30156590000001</v>
          </cell>
          <cell r="AG106">
            <v>215.67329989999999</v>
          </cell>
          <cell r="AH106">
            <v>218.07820219999999</v>
          </cell>
          <cell r="AI106">
            <v>220.51808370000001</v>
          </cell>
          <cell r="AJ106">
            <v>222.99415590000001</v>
          </cell>
          <cell r="AK106">
            <v>225.5071648</v>
          </cell>
          <cell r="AL106">
            <v>227.98061580000001</v>
          </cell>
          <cell r="AM106">
            <v>230.46287799999999</v>
          </cell>
          <cell r="AN106">
            <v>232.96484570000001</v>
          </cell>
          <cell r="AO106">
            <v>235.49106040000001</v>
          </cell>
          <cell r="AP106">
            <v>238.04450829999999</v>
          </cell>
          <cell r="AQ106">
            <v>240.6275861</v>
          </cell>
          <cell r="AR106">
            <v>243.24227160000001</v>
          </cell>
          <cell r="AS106">
            <v>245.89014710000001</v>
          </cell>
          <cell r="AT106">
            <v>248.5723912</v>
          </cell>
          <cell r="AU106">
            <v>251.2896978</v>
          </cell>
          <cell r="AV106">
            <v>254.0486689</v>
          </cell>
          <cell r="AW106">
            <v>256.84328260000001</v>
          </cell>
          <cell r="AX106">
            <v>259.67027359999997</v>
          </cell>
          <cell r="AY106">
            <v>262.53378789999999</v>
          </cell>
          <cell r="AZ106">
            <v>265.4375728</v>
          </cell>
          <cell r="BA106">
            <v>289.18244320000002</v>
          </cell>
          <cell r="BB106">
            <v>293.36051500000002</v>
          </cell>
          <cell r="BC106">
            <v>297.60425559999999</v>
          </cell>
          <cell r="BD106">
            <v>301.9153384</v>
          </cell>
          <cell r="BE106">
            <v>306.29544920000001</v>
          </cell>
        </row>
        <row r="107">
          <cell r="A107" t="str">
            <v>ci_toe_0</v>
          </cell>
          <cell r="B107">
            <v>193.20841820000001</v>
          </cell>
          <cell r="C107">
            <v>195.11808260000001</v>
          </cell>
          <cell r="D107">
            <v>197.05250889999999</v>
          </cell>
          <cell r="E107">
            <v>199.16416559999999</v>
          </cell>
          <cell r="F107">
            <v>201.497919</v>
          </cell>
          <cell r="G107">
            <v>204.04660870000001</v>
          </cell>
          <cell r="H107">
            <v>206.67011199999999</v>
          </cell>
          <cell r="I107">
            <v>209.40289179999999</v>
          </cell>
          <cell r="J107">
            <v>212.2338766</v>
          </cell>
          <cell r="K107">
            <v>215.14567460000001</v>
          </cell>
          <cell r="L107">
            <v>218.3232538</v>
          </cell>
          <cell r="M107">
            <v>221.43877380000001</v>
          </cell>
          <cell r="N107">
            <v>224.56729010000001</v>
          </cell>
          <cell r="O107">
            <v>227.72169120000001</v>
          </cell>
          <cell r="P107">
            <v>230.9027519</v>
          </cell>
          <cell r="Q107">
            <v>234.1099816</v>
          </cell>
          <cell r="R107">
            <v>237.34366800000001</v>
          </cell>
          <cell r="S107">
            <v>240.6050444</v>
          </cell>
          <cell r="T107">
            <v>243.89608920000001</v>
          </cell>
          <cell r="U107">
            <v>247.2192852</v>
          </cell>
          <cell r="V107">
            <v>250.4293131</v>
          </cell>
          <cell r="W107">
            <v>253.76360310000001</v>
          </cell>
          <cell r="X107">
            <v>257.16320250000001</v>
          </cell>
          <cell r="Y107">
            <v>260.61725719999998</v>
          </cell>
          <cell r="Z107">
            <v>264.12507390000002</v>
          </cell>
          <cell r="AA107">
            <v>267.26079909999999</v>
          </cell>
          <cell r="AB107">
            <v>270.49915800000002</v>
          </cell>
          <cell r="AC107">
            <v>273.7782282</v>
          </cell>
          <cell r="AD107">
            <v>277.09190949999999</v>
          </cell>
          <cell r="AE107">
            <v>280.44524589999997</v>
          </cell>
          <cell r="AF107">
            <v>283.84438540000002</v>
          </cell>
          <cell r="AG107">
            <v>287.29442760000001</v>
          </cell>
          <cell r="AH107">
            <v>290.79906679999999</v>
          </cell>
          <cell r="AI107">
            <v>294.36069900000001</v>
          </cell>
          <cell r="AJ107">
            <v>297.98065780000002</v>
          </cell>
          <cell r="AK107">
            <v>301.65947629999999</v>
          </cell>
          <cell r="AL107">
            <v>305.29415289999997</v>
          </cell>
          <cell r="AM107">
            <v>308.94343270000002</v>
          </cell>
          <cell r="AN107">
            <v>312.62324849999999</v>
          </cell>
          <cell r="AO107">
            <v>316.34017779999999</v>
          </cell>
          <cell r="AP107">
            <v>320.09856710000003</v>
          </cell>
          <cell r="AQ107">
            <v>323.90190990000002</v>
          </cell>
          <cell r="AR107">
            <v>327.75306740000002</v>
          </cell>
          <cell r="AS107">
            <v>331.65431280000001</v>
          </cell>
          <cell r="AT107">
            <v>335.60737619999998</v>
          </cell>
          <cell r="AU107">
            <v>339.61350190000002</v>
          </cell>
          <cell r="AV107">
            <v>343.68269229999999</v>
          </cell>
          <cell r="AW107">
            <v>347.80748999999997</v>
          </cell>
          <cell r="AX107">
            <v>351.9857078</v>
          </cell>
          <cell r="AY107">
            <v>356.21853850000002</v>
          </cell>
          <cell r="AZ107">
            <v>360.50754430000001</v>
          </cell>
          <cell r="BA107">
            <v>395.34974249999999</v>
          </cell>
          <cell r="BB107">
            <v>401.4616911</v>
          </cell>
          <cell r="BC107">
            <v>407.67003840000001</v>
          </cell>
          <cell r="BD107">
            <v>413.97701210000002</v>
          </cell>
          <cell r="BE107">
            <v>420.38488769999998</v>
          </cell>
        </row>
        <row r="108">
          <cell r="A108" t="str">
            <v>ch_toe_0</v>
          </cell>
          <cell r="B108">
            <v>64.301440170000006</v>
          </cell>
          <cell r="C108">
            <v>64.244438369999997</v>
          </cell>
          <cell r="D108">
            <v>63.979054079999997</v>
          </cell>
          <cell r="E108">
            <v>63.707653290000003</v>
          </cell>
          <cell r="F108">
            <v>63.482470319999997</v>
          </cell>
          <cell r="G108">
            <v>63.33626314</v>
          </cell>
          <cell r="H108">
            <v>63.253989879999999</v>
          </cell>
          <cell r="I108">
            <v>63.230666929999998</v>
          </cell>
          <cell r="J108">
            <v>63.252706680000003</v>
          </cell>
          <cell r="K108">
            <v>63.306551370000001</v>
          </cell>
          <cell r="L108">
            <v>63.411263249999998</v>
          </cell>
          <cell r="M108">
            <v>63.51618208</v>
          </cell>
          <cell r="N108">
            <v>63.624458619999999</v>
          </cell>
          <cell r="O108">
            <v>63.736656089999997</v>
          </cell>
          <cell r="P108">
            <v>63.852380830000001</v>
          </cell>
          <cell r="Q108">
            <v>63.970976999999998</v>
          </cell>
          <cell r="R108">
            <v>64.091795379999994</v>
          </cell>
          <cell r="S108">
            <v>64.214278669999999</v>
          </cell>
          <cell r="T108">
            <v>64.337973910000002</v>
          </cell>
          <cell r="U108">
            <v>64.462521330000001</v>
          </cell>
          <cell r="V108">
            <v>64.568139380000005</v>
          </cell>
          <cell r="W108">
            <v>64.683683700000003</v>
          </cell>
          <cell r="X108">
            <v>64.803930449999996</v>
          </cell>
          <cell r="Y108">
            <v>64.926449009999999</v>
          </cell>
          <cell r="Z108">
            <v>65.050136649999999</v>
          </cell>
          <cell r="AA108">
            <v>65.121097649999996</v>
          </cell>
          <cell r="AB108">
            <v>65.193553129999998</v>
          </cell>
          <cell r="AC108">
            <v>65.265840030000007</v>
          </cell>
          <cell r="AD108">
            <v>65.337381339999993</v>
          </cell>
          <cell r="AE108">
            <v>65.407922540000001</v>
          </cell>
          <cell r="AF108">
            <v>65.477596669999997</v>
          </cell>
          <cell r="AG108">
            <v>65.546739619999997</v>
          </cell>
          <cell r="AH108">
            <v>65.615737949999996</v>
          </cell>
          <cell r="AI108">
            <v>65.684962479999996</v>
          </cell>
          <cell r="AJ108">
            <v>65.754746159999996</v>
          </cell>
          <cell r="AK108">
            <v>65.825382390000001</v>
          </cell>
          <cell r="AL108">
            <v>65.885647590000005</v>
          </cell>
          <cell r="AM108">
            <v>65.94129762</v>
          </cell>
          <cell r="AN108">
            <v>65.995158489999994</v>
          </cell>
          <cell r="AO108">
            <v>66.048711650000001</v>
          </cell>
          <cell r="AP108">
            <v>66.102831050000006</v>
          </cell>
          <cell r="AQ108">
            <v>66.158102880000001</v>
          </cell>
          <cell r="AR108">
            <v>66.214952920000002</v>
          </cell>
          <cell r="AS108">
            <v>66.273683399999996</v>
          </cell>
          <cell r="AT108">
            <v>66.334417720000005</v>
          </cell>
          <cell r="AU108">
            <v>66.396858870000003</v>
          </cell>
          <cell r="AV108">
            <v>66.460015330000004</v>
          </cell>
          <cell r="AW108">
            <v>66.519687480000002</v>
          </cell>
          <cell r="AX108">
            <v>66.572028009999997</v>
          </cell>
          <cell r="AY108">
            <v>66.623567429999994</v>
          </cell>
          <cell r="AZ108">
            <v>66.679879819999996</v>
          </cell>
          <cell r="BA108">
            <v>66.181774820000001</v>
          </cell>
          <cell r="BB108">
            <v>66.315964530000002</v>
          </cell>
          <cell r="BC108">
            <v>66.452371409999998</v>
          </cell>
          <cell r="BD108">
            <v>66.591310300000004</v>
          </cell>
          <cell r="BE108">
            <v>66.732995119999998</v>
          </cell>
        </row>
        <row r="109">
          <cell r="A109" t="str">
            <v>x_toe_0</v>
          </cell>
          <cell r="B109">
            <v>33.496816299999999</v>
          </cell>
          <cell r="C109">
            <v>34.016786949999997</v>
          </cell>
          <cell r="D109">
            <v>34.582499839999997</v>
          </cell>
          <cell r="E109">
            <v>35.159614650000002</v>
          </cell>
          <cell r="F109">
            <v>35.747097170000004</v>
          </cell>
          <cell r="G109">
            <v>36.343856629999998</v>
          </cell>
          <cell r="H109">
            <v>36.913855409999996</v>
          </cell>
          <cell r="I109">
            <v>37.49069532</v>
          </cell>
          <cell r="J109">
            <v>38.074194929999997</v>
          </cell>
          <cell r="K109">
            <v>38.664416279999998</v>
          </cell>
          <cell r="L109">
            <v>39.322893180000001</v>
          </cell>
          <cell r="M109">
            <v>39.928024360000002</v>
          </cell>
          <cell r="N109">
            <v>40.540657060000001</v>
          </cell>
          <cell r="O109">
            <v>41.161187570000003</v>
          </cell>
          <cell r="P109">
            <v>41.79001264</v>
          </cell>
          <cell r="Q109">
            <v>42.427522439999997</v>
          </cell>
          <cell r="R109">
            <v>43.074100129999998</v>
          </cell>
          <cell r="S109">
            <v>43.730121429999997</v>
          </cell>
          <cell r="T109">
            <v>44.395952880000003</v>
          </cell>
          <cell r="U109">
            <v>45.071949160000003</v>
          </cell>
          <cell r="V109">
            <v>45.712808469999999</v>
          </cell>
          <cell r="W109">
            <v>46.40961815</v>
          </cell>
          <cell r="X109">
            <v>47.117638650000004</v>
          </cell>
          <cell r="Y109">
            <v>47.837134499999998</v>
          </cell>
          <cell r="Z109">
            <v>48.568352070000003</v>
          </cell>
          <cell r="AA109">
            <v>49.179396750000002</v>
          </cell>
          <cell r="AB109">
            <v>49.870435129999997</v>
          </cell>
          <cell r="AC109">
            <v>50.572466079999998</v>
          </cell>
          <cell r="AD109">
            <v>51.285700509999998</v>
          </cell>
          <cell r="AE109">
            <v>52.010313379999999</v>
          </cell>
          <cell r="AF109">
            <v>52.746449830000003</v>
          </cell>
          <cell r="AG109">
            <v>53.494227530000003</v>
          </cell>
          <cell r="AH109">
            <v>54.253739690000003</v>
          </cell>
          <cell r="AI109">
            <v>55.025059949999999</v>
          </cell>
          <cell r="AJ109">
            <v>55.808248640000002</v>
          </cell>
          <cell r="AK109">
            <v>56.603359519999998</v>
          </cell>
          <cell r="AL109">
            <v>57.37829799</v>
          </cell>
          <cell r="AM109">
            <v>58.164498809999998</v>
          </cell>
          <cell r="AN109">
            <v>58.962072650000003</v>
          </cell>
          <cell r="AO109">
            <v>59.771125159999997</v>
          </cell>
          <cell r="AP109">
            <v>60.591758570000003</v>
          </cell>
          <cell r="AQ109">
            <v>61.424073180000001</v>
          </cell>
          <cell r="AR109">
            <v>62.268167890000001</v>
          </cell>
          <cell r="AS109">
            <v>63.124140339999997</v>
          </cell>
          <cell r="AT109">
            <v>63.992087480000002</v>
          </cell>
          <cell r="AU109">
            <v>64.872107119999995</v>
          </cell>
          <cell r="AV109">
            <v>65.767224479999996</v>
          </cell>
          <cell r="AW109">
            <v>66.674696119999993</v>
          </cell>
          <cell r="AX109">
            <v>67.594636350000002</v>
          </cell>
          <cell r="AY109">
            <v>68.52715895</v>
          </cell>
          <cell r="AZ109">
            <v>69.472374959999996</v>
          </cell>
          <cell r="BA109">
            <v>76.411615780000005</v>
          </cell>
          <cell r="BB109">
            <v>77.746046530000001</v>
          </cell>
          <cell r="BC109">
            <v>79.104607090000002</v>
          </cell>
          <cell r="BD109">
            <v>80.487702900000002</v>
          </cell>
          <cell r="BE109">
            <v>81.895742740000003</v>
          </cell>
        </row>
      </sheetData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Feuil1"/>
  <dimension ref="A1:BF529"/>
  <sheetViews>
    <sheetView zoomScale="77" workbookViewId="0">
      <pane xSplit="2" ySplit="4" topLeftCell="C5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baseColWidth="10" defaultRowHeight="14.5" x14ac:dyDescent="0.35"/>
  <cols>
    <col min="1" max="1" width="26.90625" customWidth="1"/>
    <col min="2" max="2" width="43.08984375" customWidth="1"/>
    <col min="3" max="3" width="12.7265625" bestFit="1" customWidth="1"/>
    <col min="4" max="26" width="11.1796875" bestFit="1" customWidth="1"/>
    <col min="27" max="36" width="11.81640625" bestFit="1" customWidth="1"/>
    <col min="37" max="58" width="12.81640625" bestFit="1" customWidth="1"/>
  </cols>
  <sheetData>
    <row r="1" spans="1:58" x14ac:dyDescent="0.35">
      <c r="A1" t="s">
        <v>5</v>
      </c>
      <c r="B1" t="s">
        <v>6</v>
      </c>
    </row>
    <row r="4" spans="1:58" x14ac:dyDescent="0.35">
      <c r="A4" s="12" t="s">
        <v>0</v>
      </c>
      <c r="C4" s="2">
        <v>42005</v>
      </c>
      <c r="D4" s="2">
        <v>42370</v>
      </c>
      <c r="E4" s="2">
        <v>42736</v>
      </c>
      <c r="F4" s="2">
        <v>43101</v>
      </c>
      <c r="G4" s="2">
        <v>43466</v>
      </c>
      <c r="H4" s="2">
        <v>43831</v>
      </c>
      <c r="I4" s="2">
        <v>44197</v>
      </c>
      <c r="J4" s="2">
        <v>44562</v>
      </c>
      <c r="K4" s="2">
        <v>44927</v>
      </c>
      <c r="L4" s="2">
        <v>45292</v>
      </c>
      <c r="M4" s="2">
        <v>45658</v>
      </c>
      <c r="N4" s="2">
        <v>46023</v>
      </c>
      <c r="O4" s="2">
        <v>46388</v>
      </c>
      <c r="P4" s="2">
        <v>46753</v>
      </c>
      <c r="Q4" s="2">
        <v>47119</v>
      </c>
      <c r="R4" s="2">
        <v>47484</v>
      </c>
      <c r="S4" s="2">
        <v>47849</v>
      </c>
      <c r="T4" s="2">
        <v>48214</v>
      </c>
      <c r="U4" s="2">
        <v>48580</v>
      </c>
      <c r="V4" s="2">
        <v>48945</v>
      </c>
      <c r="W4" s="2">
        <v>49310</v>
      </c>
      <c r="X4" s="2">
        <v>49675</v>
      </c>
      <c r="Y4" s="2">
        <v>50041</v>
      </c>
      <c r="Z4" s="2">
        <v>50406</v>
      </c>
      <c r="AA4" s="2">
        <v>50771</v>
      </c>
      <c r="AB4" s="2">
        <v>51136</v>
      </c>
      <c r="AC4" s="2">
        <v>51502</v>
      </c>
      <c r="AD4" s="2">
        <v>51867</v>
      </c>
      <c r="AE4" s="2">
        <v>52232</v>
      </c>
      <c r="AF4" s="2">
        <v>52597</v>
      </c>
      <c r="AG4" s="2">
        <v>52963</v>
      </c>
      <c r="AH4" s="2">
        <v>53328</v>
      </c>
      <c r="AI4" s="2">
        <v>53693</v>
      </c>
      <c r="AJ4" s="2">
        <v>54058</v>
      </c>
      <c r="AK4" s="2">
        <v>54424</v>
      </c>
      <c r="AL4" s="2">
        <v>54789</v>
      </c>
      <c r="AM4" s="2">
        <v>55154</v>
      </c>
      <c r="AN4" s="2">
        <v>55519</v>
      </c>
      <c r="AO4" s="2">
        <v>55885</v>
      </c>
      <c r="AP4" s="2">
        <v>56250</v>
      </c>
      <c r="AQ4" s="2">
        <v>56615</v>
      </c>
      <c r="AR4" s="2">
        <v>56980</v>
      </c>
      <c r="AS4" s="2">
        <v>57346</v>
      </c>
      <c r="AT4" s="2">
        <v>57711</v>
      </c>
      <c r="AU4" s="2">
        <v>58076</v>
      </c>
      <c r="AV4" s="2">
        <v>58441</v>
      </c>
      <c r="AW4" s="2">
        <v>58807</v>
      </c>
      <c r="AX4" s="2">
        <v>59172</v>
      </c>
      <c r="AY4" s="2">
        <v>59537</v>
      </c>
      <c r="AZ4" s="2">
        <v>59902</v>
      </c>
      <c r="BA4" s="2">
        <v>60268</v>
      </c>
      <c r="BB4" s="2">
        <v>60633</v>
      </c>
      <c r="BC4" s="2">
        <v>60998</v>
      </c>
      <c r="BD4" s="2">
        <v>61363</v>
      </c>
      <c r="BE4" s="2">
        <v>61729</v>
      </c>
      <c r="BF4" s="2">
        <v>62094</v>
      </c>
    </row>
    <row r="5" spans="1:58" x14ac:dyDescent="0.35">
      <c r="A5" s="3" t="str">
        <f>[1]Results!E1365</f>
        <v>100*(GDP_2/GDP_0-1)</v>
      </c>
      <c r="B5" t="s">
        <v>18</v>
      </c>
      <c r="C5" s="1">
        <f>[1]Results!F1365</f>
        <v>-1.3806021979057337</v>
      </c>
      <c r="D5" s="1">
        <f>[1]Results!G1365</f>
        <v>-1.7480486286687191</v>
      </c>
      <c r="E5" s="1">
        <f>[1]Results!H1365</f>
        <v>-2.0891661472786871</v>
      </c>
      <c r="F5" s="1">
        <f>[1]Results!I1365</f>
        <v>-2.3845793038393404</v>
      </c>
      <c r="G5" s="1">
        <f>[1]Results!J1365</f>
        <v>-2.641080340774693</v>
      </c>
      <c r="H5" s="1">
        <f>[1]Results!K1365</f>
        <v>-2.8674419026982645</v>
      </c>
      <c r="I5" s="1">
        <f>[1]Results!L1365</f>
        <v>-3.0732049106733994</v>
      </c>
      <c r="J5" s="1">
        <f>[1]Results!M1365</f>
        <v>-3.2620496645927366</v>
      </c>
      <c r="K5" s="1">
        <f>[1]Results!N1365</f>
        <v>-3.4382447698241725</v>
      </c>
      <c r="L5" s="1">
        <f>[1]Results!O1365</f>
        <v>-3.6053091816805383</v>
      </c>
      <c r="M5" s="1">
        <f>[1]Results!P1365</f>
        <v>-3.8605332841323614</v>
      </c>
      <c r="N5" s="1">
        <f>[1]Results!Q1365</f>
        <v>-3.9729931402567087</v>
      </c>
      <c r="O5" s="1">
        <f>[1]Results!R1365</f>
        <v>-4.0730645930684206</v>
      </c>
      <c r="P5" s="1">
        <f>[1]Results!S1365</f>
        <v>-4.1612842658112159</v>
      </c>
      <c r="Q5" s="1">
        <f>[1]Results!T1365</f>
        <v>-4.2405890614810922</v>
      </c>
      <c r="R5" s="1">
        <f>[1]Results!U1365</f>
        <v>-4.3137536103815766</v>
      </c>
      <c r="S5" s="1">
        <f>[1]Results!V1365</f>
        <v>-4.3878096041695898</v>
      </c>
      <c r="T5" s="1">
        <f>[1]Results!W1365</f>
        <v>-4.4611063157367408</v>
      </c>
      <c r="U5" s="1">
        <f>[1]Results!X1365</f>
        <v>-4.5351085377838496</v>
      </c>
      <c r="V5" s="1">
        <f>[1]Results!Y1365</f>
        <v>-4.6108494006062202</v>
      </c>
      <c r="W5" s="1">
        <f>[1]Results!Z1365</f>
        <v>-4.6892738198556883</v>
      </c>
      <c r="X5" s="1">
        <f>[1]Results!AA1365</f>
        <v>-4.7702100401025511</v>
      </c>
      <c r="Y5" s="1">
        <f>[1]Results!AB1365</f>
        <v>-4.8541150572132157</v>
      </c>
      <c r="Z5" s="1">
        <f>[1]Results!AC1365</f>
        <v>-4.9410902134095718</v>
      </c>
      <c r="AA5" s="1">
        <f>[1]Results!AD1365</f>
        <v>-5.0310152897432463</v>
      </c>
      <c r="AB5" s="1">
        <f>[1]Results!AE1365</f>
        <v>-5.1240634534562846</v>
      </c>
      <c r="AC5" s="1">
        <f>[1]Results!AF1365</f>
        <v>-5.2170075163591401</v>
      </c>
      <c r="AD5" s="1">
        <f>[1]Results!AG1365</f>
        <v>-5.3111987688361122</v>
      </c>
      <c r="AE5" s="1">
        <f>[1]Results!AH1365</f>
        <v>-5.4064971725801936</v>
      </c>
      <c r="AF5" s="1">
        <f>[1]Results!AI1365</f>
        <v>-5.5027429449865277</v>
      </c>
      <c r="AG5" s="1">
        <f>[1]Results!AJ1365</f>
        <v>-5.5997344016054162</v>
      </c>
      <c r="AH5" s="1">
        <f>[1]Results!AK1365</f>
        <v>-5.6961288349583583</v>
      </c>
      <c r="AI5" s="1">
        <f>[1]Results!AL1365</f>
        <v>-5.7925701399403451</v>
      </c>
      <c r="AJ5" s="1">
        <f>[1]Results!AM1365</f>
        <v>-5.8889061572018235</v>
      </c>
      <c r="AK5" s="1">
        <f>[1]Results!AN1365</f>
        <v>-5.9850274064450755</v>
      </c>
      <c r="AL5" s="1">
        <f>[1]Results!AO1365</f>
        <v>-6.0808439463491348</v>
      </c>
      <c r="AM5" s="1">
        <f>[1]Results!AP1365</f>
        <v>-6.1664061587992425</v>
      </c>
      <c r="AN5" s="1">
        <f>[1]Results!AQ1365</f>
        <v>-6.24937237998261</v>
      </c>
      <c r="AO5" s="1">
        <f>[1]Results!AR1365</f>
        <v>-6.3301235386888592</v>
      </c>
      <c r="AP5" s="1">
        <f>[1]Results!AS1365</f>
        <v>-6.4092469543638781</v>
      </c>
      <c r="AQ5" s="1">
        <f>[1]Results!AT1365</f>
        <v>-6.487227670656404</v>
      </c>
      <c r="AR5" s="1">
        <f>[1]Results!AU1365</f>
        <v>-6.5628351790368082</v>
      </c>
      <c r="AS5" s="1">
        <f>[1]Results!AV1365</f>
        <v>-6.6375475313916299</v>
      </c>
      <c r="AT5" s="1">
        <f>[1]Results!AW1365</f>
        <v>-6.7116454172487572</v>
      </c>
      <c r="AU5" s="1">
        <f>[1]Results!AX1365</f>
        <v>-6.7853971166916498</v>
      </c>
      <c r="AV5" s="1">
        <f>[1]Results!AY1365</f>
        <v>-6.859029758116808</v>
      </c>
      <c r="AW5" s="1">
        <f>[1]Results!AZ1365</f>
        <v>-6.9274087709707661</v>
      </c>
      <c r="AX5" s="1">
        <f>[1]Results!BA1365</f>
        <v>-6.9947916420658558</v>
      </c>
      <c r="AY5" s="1">
        <f>[1]Results!BB1365</f>
        <v>-7.0616110227255451</v>
      </c>
      <c r="AZ5" s="1">
        <f>[1]Results!BC1365</f>
        <v>-7.1283018366647184</v>
      </c>
      <c r="BA5" s="1">
        <f>[1]Results!BD1365</f>
        <v>-7.1951879397782914</v>
      </c>
      <c r="BB5" s="1">
        <f>[1]Results!BE1365</f>
        <v>-0.17309504926293906</v>
      </c>
      <c r="BC5" s="1">
        <f>[1]Results!BF1365</f>
        <v>-0.17504737969170625</v>
      </c>
      <c r="BD5" s="1">
        <f>[1]Results!BG1365</f>
        <v>-0.17671713472687811</v>
      </c>
      <c r="BE5" s="1">
        <f>[1]Results!BH1365</f>
        <v>-0.17817411467598854</v>
      </c>
      <c r="BF5" s="1">
        <f>[1]Results!BI1365</f>
        <v>-0.17947550510799548</v>
      </c>
    </row>
    <row r="6" spans="1:58" x14ac:dyDescent="0.35">
      <c r="A6" s="3" t="str">
        <f>[1]Results!E1366</f>
        <v>100*((VA_2-VA_spub_2)/(VA_0-VA_spub_0)-1)</v>
      </c>
      <c r="B6" t="str">
        <f>[1]Results!C1366</f>
        <v>VA du secteur marchand</v>
      </c>
      <c r="C6" s="1">
        <f>[1]Results!F1366</f>
        <v>-1.7289580780226022</v>
      </c>
      <c r="D6" s="1">
        <f>[1]Results!G1366</f>
        <v>-2.1327121367738844</v>
      </c>
      <c r="E6" s="1">
        <f>[1]Results!H1366</f>
        <v>-2.5154357591840593</v>
      </c>
      <c r="F6" s="1">
        <f>[1]Results!I1366</f>
        <v>-2.8478509097257354</v>
      </c>
      <c r="G6" s="1">
        <f>[1]Results!J1366</f>
        <v>-3.1376248570160747</v>
      </c>
      <c r="H6" s="1">
        <f>[1]Results!K1366</f>
        <v>-3.3948313604399982</v>
      </c>
      <c r="I6" s="1">
        <f>[1]Results!L1366</f>
        <v>-3.6303249428897288</v>
      </c>
      <c r="J6" s="1">
        <f>[1]Results!M1366</f>
        <v>-3.848165286735572</v>
      </c>
      <c r="K6" s="1">
        <f>[1]Results!N1366</f>
        <v>-4.0530379633150204</v>
      </c>
      <c r="L6" s="1">
        <f>[1]Results!O1366</f>
        <v>-4.2487671080824407</v>
      </c>
      <c r="M6" s="1">
        <f>[1]Results!P1366</f>
        <v>-4.5574485297263152</v>
      </c>
      <c r="N6" s="1">
        <f>[1]Results!Q1366</f>
        <v>-4.6837028241965335</v>
      </c>
      <c r="O6" s="1">
        <f>[1]Results!R1366</f>
        <v>-4.7993751030252385</v>
      </c>
      <c r="P6" s="1">
        <f>[1]Results!S1366</f>
        <v>-4.9038139263515301</v>
      </c>
      <c r="Q6" s="1">
        <f>[1]Results!T1366</f>
        <v>-5.0000864824296221</v>
      </c>
      <c r="R6" s="1">
        <f>[1]Results!U1366</f>
        <v>-5.0911169279335367</v>
      </c>
      <c r="S6" s="1">
        <f>[1]Results!V1366</f>
        <v>-5.1852272012558593</v>
      </c>
      <c r="T6" s="1">
        <f>[1]Results!W1366</f>
        <v>-5.2796121868738721</v>
      </c>
      <c r="U6" s="1">
        <f>[1]Results!X1366</f>
        <v>-5.3757150201156678</v>
      </c>
      <c r="V6" s="1">
        <f>[1]Results!Y1366</f>
        <v>-5.4744849437697969</v>
      </c>
      <c r="W6" s="1">
        <f>[1]Results!Z1366</f>
        <v>-5.5764817647154015</v>
      </c>
      <c r="X6" s="1">
        <f>[1]Results!AA1366</f>
        <v>-5.6821245158808598</v>
      </c>
      <c r="Y6" s="1">
        <f>[1]Results!AB1366</f>
        <v>-5.7912371277814128</v>
      </c>
      <c r="Z6" s="1">
        <f>[1]Results!AC1366</f>
        <v>-5.9038304422447947</v>
      </c>
      <c r="AA6" s="1">
        <f>[1]Results!AD1366</f>
        <v>-6.0196616431063443</v>
      </c>
      <c r="AB6" s="1">
        <f>[1]Results!AE1366</f>
        <v>-6.1379223519360426</v>
      </c>
      <c r="AC6" s="1">
        <f>[1]Results!AF1366</f>
        <v>-6.2565471760378299</v>
      </c>
      <c r="AD6" s="1">
        <f>[1]Results!AG1366</f>
        <v>-6.3763813296935261</v>
      </c>
      <c r="AE6" s="1">
        <f>[1]Results!AH1366</f>
        <v>-6.4972115262962316</v>
      </c>
      <c r="AF6" s="1">
        <f>[1]Results!AI1366</f>
        <v>-6.6188011006556025</v>
      </c>
      <c r="AG6" s="1">
        <f>[1]Results!AJ1366</f>
        <v>-6.7408841882241166</v>
      </c>
      <c r="AH6" s="1">
        <f>[1]Results!AK1366</f>
        <v>-6.8617754912128071</v>
      </c>
      <c r="AI6" s="1">
        <f>[1]Results!AL1366</f>
        <v>-6.9823551224675651</v>
      </c>
      <c r="AJ6" s="1">
        <f>[1]Results!AM1366</f>
        <v>-7.1024474215318651</v>
      </c>
      <c r="AK6" s="1">
        <f>[1]Results!AN1366</f>
        <v>-7.221940717503772</v>
      </c>
      <c r="AL6" s="1">
        <f>[1]Results!AO1366</f>
        <v>-7.3407539022667496</v>
      </c>
      <c r="AM6" s="1">
        <f>[1]Results!AP1366</f>
        <v>-7.4461443702983132</v>
      </c>
      <c r="AN6" s="1">
        <f>[1]Results!AQ1366</f>
        <v>-7.5485748789418388</v>
      </c>
      <c r="AO6" s="1">
        <f>[1]Results!AR1366</f>
        <v>-7.6483881184838731</v>
      </c>
      <c r="AP6" s="1">
        <f>[1]Results!AS1366</f>
        <v>-7.7462436421412706</v>
      </c>
      <c r="AQ6" s="1">
        <f>[1]Results!AT1366</f>
        <v>-7.8426992115223193</v>
      </c>
      <c r="AR6" s="1">
        <f>[1]Results!AU1366</f>
        <v>-7.9361704898806895</v>
      </c>
      <c r="AS6" s="1">
        <f>[1]Results!AV1366</f>
        <v>-8.0285613576037136</v>
      </c>
      <c r="AT6" s="1">
        <f>[1]Results!AW1366</f>
        <v>-8.1201884281905894</v>
      </c>
      <c r="AU6" s="1">
        <f>[1]Results!AX1366</f>
        <v>-8.2113635882205323</v>
      </c>
      <c r="AV6" s="1">
        <f>[1]Results!AY1366</f>
        <v>-8.3023541832075942</v>
      </c>
      <c r="AW6" s="1">
        <f>[1]Results!AZ1366</f>
        <v>-8.3867004684735953</v>
      </c>
      <c r="AX6" s="1">
        <f>[1]Results!BA1366</f>
        <v>-8.4699262073786308</v>
      </c>
      <c r="AY6" s="1">
        <f>[1]Results!BB1366</f>
        <v>-8.5524997136118728</v>
      </c>
      <c r="AZ6" s="1">
        <f>[1]Results!BC1366</f>
        <v>-8.6349052827492283</v>
      </c>
      <c r="BA6" s="1">
        <f>[1]Results!BD1366</f>
        <v>-8.7175100997931469</v>
      </c>
      <c r="BB6" s="1">
        <f>[1]Results!BE1366</f>
        <v>-0.23572931163051702</v>
      </c>
      <c r="BC6" s="1">
        <f>[1]Results!BF1366</f>
        <v>-0.23913277799035848</v>
      </c>
      <c r="BD6" s="1">
        <f>[1]Results!BG1366</f>
        <v>-0.24217281316902817</v>
      </c>
      <c r="BE6" s="1">
        <f>[1]Results!BH1366</f>
        <v>-0.24492995704027409</v>
      </c>
      <c r="BF6" s="1">
        <f>[1]Results!BI1366</f>
        <v>-0.24747210843392153</v>
      </c>
    </row>
    <row r="7" spans="1:58" x14ac:dyDescent="0.35">
      <c r="A7" s="3" t="str">
        <f>[1]Results!E1367</f>
        <v>100*((CH_2-CH_0)/GDP_0)</v>
      </c>
      <c r="B7" t="s">
        <v>19</v>
      </c>
      <c r="C7" s="1">
        <f>[1]Results!F1367</f>
        <v>-0.26084051361275862</v>
      </c>
      <c r="D7" s="1">
        <f>[1]Results!G1367</f>
        <v>-0.56986654690874505</v>
      </c>
      <c r="E7" s="1">
        <f>[1]Results!H1367</f>
        <v>-0.85535180629911833</v>
      </c>
      <c r="F7" s="1">
        <f>[1]Results!I1367</f>
        <v>-1.1010415435942271</v>
      </c>
      <c r="G7" s="1">
        <f>[1]Results!J1367</f>
        <v>-1.3077706265025109</v>
      </c>
      <c r="H7" s="1">
        <f>[1]Results!K1367</f>
        <v>-1.4808348172615882</v>
      </c>
      <c r="I7" s="1">
        <f>[1]Results!L1367</f>
        <v>-1.6270032227517983</v>
      </c>
      <c r="J7" s="1">
        <f>[1]Results!M1367</f>
        <v>-1.7506739022224129</v>
      </c>
      <c r="K7" s="1">
        <f>[1]Results!N1367</f>
        <v>-1.856221762569048</v>
      </c>
      <c r="L7" s="1">
        <f>[1]Results!O1367</f>
        <v>-1.9474083846869799</v>
      </c>
      <c r="M7" s="1">
        <f>[1]Results!P1367</f>
        <v>-2.0422783141977896</v>
      </c>
      <c r="N7" s="1">
        <f>[1]Results!Q1367</f>
        <v>-2.1227808240604373</v>
      </c>
      <c r="O7" s="1">
        <f>[1]Results!R1367</f>
        <v>-2.1829428978910967</v>
      </c>
      <c r="P7" s="1">
        <f>[1]Results!S1367</f>
        <v>-2.2238482021034591</v>
      </c>
      <c r="Q7" s="1">
        <f>[1]Results!T1367</f>
        <v>-2.2482338369962251</v>
      </c>
      <c r="R7" s="1">
        <f>[1]Results!U1367</f>
        <v>-2.2592596570673265</v>
      </c>
      <c r="S7" s="1">
        <f>[1]Results!V1367</f>
        <v>-2.2610197524325812</v>
      </c>
      <c r="T7" s="1">
        <f>[1]Results!W1367</f>
        <v>-2.2565153824835931</v>
      </c>
      <c r="U7" s="1">
        <f>[1]Results!X1367</f>
        <v>-2.2481370449722631</v>
      </c>
      <c r="V7" s="1">
        <f>[1]Results!Y1367</f>
        <v>-2.2378459791117549</v>
      </c>
      <c r="W7" s="1">
        <f>[1]Results!Z1367</f>
        <v>-2.2279453916319967</v>
      </c>
      <c r="X7" s="1">
        <f>[1]Results!AA1367</f>
        <v>-2.217764918075809</v>
      </c>
      <c r="Y7" s="1">
        <f>[1]Results!AB1367</f>
        <v>-2.2094213088036239</v>
      </c>
      <c r="Z7" s="1">
        <f>[1]Results!AC1367</f>
        <v>-2.2036419992038971</v>
      </c>
      <c r="AA7" s="1">
        <f>[1]Results!AD1367</f>
        <v>-2.2008803701924382</v>
      </c>
      <c r="AB7" s="1">
        <f>[1]Results!AE1367</f>
        <v>-2.2032338554309039</v>
      </c>
      <c r="AC7" s="1">
        <f>[1]Results!AF1367</f>
        <v>-2.2062323165924851</v>
      </c>
      <c r="AD7" s="1">
        <f>[1]Results!AG1367</f>
        <v>-2.2115352268055983</v>
      </c>
      <c r="AE7" s="1">
        <f>[1]Results!AH1367</f>
        <v>-2.2193841977120234</v>
      </c>
      <c r="AF7" s="1">
        <f>[1]Results!AI1367</f>
        <v>-2.2299171803824134</v>
      </c>
      <c r="AG7" s="1">
        <f>[1]Results!AJ1367</f>
        <v>-2.243141443758744</v>
      </c>
      <c r="AH7" s="1">
        <f>[1]Results!AK1367</f>
        <v>-2.2587346826782104</v>
      </c>
      <c r="AI7" s="1">
        <f>[1]Results!AL1367</f>
        <v>-2.2765400250558145</v>
      </c>
      <c r="AJ7" s="1">
        <f>[1]Results!AM1367</f>
        <v>-2.2964355593146908</v>
      </c>
      <c r="AK7" s="1">
        <f>[1]Results!AN1367</f>
        <v>-2.3182869371577293</v>
      </c>
      <c r="AL7" s="1">
        <f>[1]Results!AO1367</f>
        <v>-2.3419425011084631</v>
      </c>
      <c r="AM7" s="1">
        <f>[1]Results!AP1367</f>
        <v>-2.365575008311211</v>
      </c>
      <c r="AN7" s="1">
        <f>[1]Results!AQ1367</f>
        <v>-2.3882937084663567</v>
      </c>
      <c r="AO7" s="1">
        <f>[1]Results!AR1367</f>
        <v>-2.4105032417867553</v>
      </c>
      <c r="AP7" s="1">
        <f>[1]Results!AS1367</f>
        <v>-2.432662208873114</v>
      </c>
      <c r="AQ7" s="1">
        <f>[1]Results!AT1367</f>
        <v>-2.4551016549178271</v>
      </c>
      <c r="AR7" s="1">
        <f>[1]Results!AU1367</f>
        <v>-2.4776972547052969</v>
      </c>
      <c r="AS7" s="1">
        <f>[1]Results!AV1367</f>
        <v>-2.500567477422865</v>
      </c>
      <c r="AT7" s="1">
        <f>[1]Results!AW1367</f>
        <v>-2.523883809162236</v>
      </c>
      <c r="AU7" s="1">
        <f>[1]Results!AX1367</f>
        <v>-2.5477973993989123</v>
      </c>
      <c r="AV7" s="1">
        <f>[1]Results!AY1367</f>
        <v>-2.5724247330777339</v>
      </c>
      <c r="AW7" s="1">
        <f>[1]Results!AZ1367</f>
        <v>-2.5967203869770881</v>
      </c>
      <c r="AX7" s="1">
        <f>[1]Results!BA1367</f>
        <v>-2.6208059576648419</v>
      </c>
      <c r="AY7" s="1">
        <f>[1]Results!BB1367</f>
        <v>-2.6450429433361533</v>
      </c>
      <c r="AZ7" s="1">
        <f>[1]Results!BC1367</f>
        <v>-2.6697551253873284</v>
      </c>
      <c r="BA7" s="1">
        <f>[1]Results!BD1367</f>
        <v>-2.6951516976946661</v>
      </c>
      <c r="BB7" s="1">
        <f>[1]Results!BE1367</f>
        <v>2.4627260846567238E-2</v>
      </c>
      <c r="BC7" s="1">
        <f>[1]Results!BF1367</f>
        <v>2.6598171712759654E-2</v>
      </c>
      <c r="BD7" s="1">
        <f>[1]Results!BG1367</f>
        <v>2.8484324639781216E-2</v>
      </c>
      <c r="BE7" s="1">
        <f>[1]Results!BH1367</f>
        <v>3.0234981441569546E-2</v>
      </c>
      <c r="BF7" s="1">
        <f>[1]Results!BI1367</f>
        <v>3.1819722090826522E-2</v>
      </c>
    </row>
    <row r="8" spans="1:58" x14ac:dyDescent="0.35">
      <c r="A8" s="3" t="str">
        <f>[1]Results!E1368</f>
        <v>100*((CH_cveh_2-CH_cveh_0)/GDP_0)</v>
      </c>
      <c r="B8" t="str">
        <f>[1]Results!C1368</f>
        <v>Consommation des ménages automobile</v>
      </c>
      <c r="C8" s="1">
        <f>[1]Results!F1368</f>
        <v>-2.246902256306718E-4</v>
      </c>
      <c r="D8" s="1">
        <f>[1]Results!G1368</f>
        <v>-2.0313643083955116E-2</v>
      </c>
      <c r="E8" s="1">
        <f>[1]Results!H1368</f>
        <v>-4.3962160632031046E-2</v>
      </c>
      <c r="F8" s="1">
        <f>[1]Results!I1368</f>
        <v>-6.3559479076297346E-2</v>
      </c>
      <c r="G8" s="1">
        <f>[1]Results!J1368</f>
        <v>-7.7337656280045131E-2</v>
      </c>
      <c r="H8" s="1">
        <f>[1]Results!K1368</f>
        <v>-8.5887527134391142E-2</v>
      </c>
      <c r="I8" s="1">
        <f>[1]Results!L1368</f>
        <v>-9.0600147337455972E-2</v>
      </c>
      <c r="J8" s="1">
        <f>[1]Results!M1368</f>
        <v>-9.2715750863766128E-2</v>
      </c>
      <c r="K8" s="1">
        <f>[1]Results!N1368</f>
        <v>-9.3251667513658223E-2</v>
      </c>
      <c r="L8" s="1">
        <f>[1]Results!O1368</f>
        <v>-9.292576363281066E-2</v>
      </c>
      <c r="M8" s="1">
        <f>[1]Results!P1368</f>
        <v>-9.4073317533274622E-2</v>
      </c>
      <c r="N8" s="1">
        <f>[1]Results!Q1368</f>
        <v>-9.3713840578852833E-2</v>
      </c>
      <c r="O8" s="1">
        <f>[1]Results!R1368</f>
        <v>-9.1696813659736712E-2</v>
      </c>
      <c r="P8" s="1">
        <f>[1]Results!S1368</f>
        <v>-8.8502864386049707E-2</v>
      </c>
      <c r="Q8" s="1">
        <f>[1]Results!T1368</f>
        <v>-8.4602375517199041E-2</v>
      </c>
      <c r="R8" s="1">
        <f>[1]Results!U1368</f>
        <v>-8.0375595840023809E-2</v>
      </c>
      <c r="S8" s="1">
        <f>[1]Results!V1368</f>
        <v>-7.6198611804836336E-2</v>
      </c>
      <c r="T8" s="1">
        <f>[1]Results!W1368</f>
        <v>-7.2273085331644518E-2</v>
      </c>
      <c r="U8" s="1">
        <f>[1]Results!X1368</f>
        <v>-6.8702786653007775E-2</v>
      </c>
      <c r="V8" s="1">
        <f>[1]Results!Y1368</f>
        <v>-6.5541541236898981E-2</v>
      </c>
      <c r="W8" s="1">
        <f>[1]Results!Z1368</f>
        <v>-6.2822437667118813E-2</v>
      </c>
      <c r="X8" s="1">
        <f>[1]Results!AA1368</f>
        <v>-6.0483452983500101E-2</v>
      </c>
      <c r="Y8" s="1">
        <f>[1]Results!AB1368</f>
        <v>-5.8551193893869508E-2</v>
      </c>
      <c r="Z8" s="1">
        <f>[1]Results!AC1368</f>
        <v>-5.6994691706826986E-2</v>
      </c>
      <c r="AA8" s="1">
        <f>[1]Results!AD1368</f>
        <v>-5.5771542339132694E-2</v>
      </c>
      <c r="AB8" s="1">
        <f>[1]Results!AE1368</f>
        <v>-5.4870964968379544E-2</v>
      </c>
      <c r="AC8" s="1">
        <f>[1]Results!AF1368</f>
        <v>-5.4086223258403461E-2</v>
      </c>
      <c r="AD8" s="1">
        <f>[1]Results!AG1368</f>
        <v>-5.3464892376374612E-2</v>
      </c>
      <c r="AE8" s="1">
        <f>[1]Results!AH1368</f>
        <v>-5.3011513077419352E-2</v>
      </c>
      <c r="AF8" s="1">
        <f>[1]Results!AI1368</f>
        <v>-5.2712224342529215E-2</v>
      </c>
      <c r="AG8" s="1">
        <f>[1]Results!AJ1368</f>
        <v>-5.2541028126644157E-2</v>
      </c>
      <c r="AH8" s="1">
        <f>[1]Results!AK1368</f>
        <v>-5.2449674311959751E-2</v>
      </c>
      <c r="AI8" s="1">
        <f>[1]Results!AL1368</f>
        <v>-5.2413171044165846E-2</v>
      </c>
      <c r="AJ8" s="1">
        <f>[1]Results!AM1368</f>
        <v>-5.2415661880932822E-2</v>
      </c>
      <c r="AK8" s="1">
        <f>[1]Results!AN1368</f>
        <v>-5.2441508842183127E-2</v>
      </c>
      <c r="AL8" s="1">
        <f>[1]Results!AO1368</f>
        <v>-5.2474773265788248E-2</v>
      </c>
      <c r="AM8" s="1">
        <f>[1]Results!AP1368</f>
        <v>-5.2349863944310064E-2</v>
      </c>
      <c r="AN8" s="1">
        <f>[1]Results!AQ1368</f>
        <v>-5.2060653329629836E-2</v>
      </c>
      <c r="AO8" s="1">
        <f>[1]Results!AR1368</f>
        <v>-5.1681512363426427E-2</v>
      </c>
      <c r="AP8" s="1">
        <f>[1]Results!AS1368</f>
        <v>-5.1260413694624314E-2</v>
      </c>
      <c r="AQ8" s="1">
        <f>[1]Results!AT1368</f>
        <v>-5.0812991500870805E-2</v>
      </c>
      <c r="AR8" s="1">
        <f>[1]Results!AU1368</f>
        <v>-5.0312866410764143E-2</v>
      </c>
      <c r="AS8" s="1">
        <f>[1]Results!AV1368</f>
        <v>-4.9757542721447091E-2</v>
      </c>
      <c r="AT8" s="1">
        <f>[1]Results!AW1368</f>
        <v>-4.9152953504381813E-2</v>
      </c>
      <c r="AU8" s="1">
        <f>[1]Results!AX1368</f>
        <v>-4.8502043375904226E-2</v>
      </c>
      <c r="AV8" s="1">
        <f>[1]Results!AY1368</f>
        <v>-4.7804063918067206E-2</v>
      </c>
      <c r="AW8" s="1">
        <f>[1]Results!AZ1368</f>
        <v>-4.6976737681631124E-2</v>
      </c>
      <c r="AX8" s="1">
        <f>[1]Results!BA1368</f>
        <v>-4.6034514960923693E-2</v>
      </c>
      <c r="AY8" s="1">
        <f>[1]Results!BB1368</f>
        <v>-4.5014782661684273E-2</v>
      </c>
      <c r="AZ8" s="1">
        <f>[1]Results!BC1368</f>
        <v>-4.3935767884013273E-2</v>
      </c>
      <c r="BA8" s="1">
        <f>[1]Results!BD1368</f>
        <v>-4.2797247730576735E-2</v>
      </c>
      <c r="BB8" s="1">
        <f>[1]Results!BE1368</f>
        <v>6.2562576488679683E-3</v>
      </c>
      <c r="BC8" s="1">
        <f>[1]Results!BF1368</f>
        <v>6.4977563843595931E-3</v>
      </c>
      <c r="BD8" s="1">
        <f>[1]Results!BG1368</f>
        <v>6.7405093711651069E-3</v>
      </c>
      <c r="BE8" s="1">
        <f>[1]Results!BH1368</f>
        <v>6.9831096687923509E-3</v>
      </c>
      <c r="BF8" s="1">
        <f>[1]Results!BI1368</f>
        <v>7.2267607524996134E-3</v>
      </c>
    </row>
    <row r="9" spans="1:58" x14ac:dyDescent="0.35">
      <c r="A9" s="3" t="str">
        <f>[1]Results!E1369</f>
        <v>100*((G_2-G_0)/GDP_0)</v>
      </c>
      <c r="B9" t="str">
        <f>[1]Results!C1369</f>
        <v>Dépenses publiques</v>
      </c>
      <c r="C9" s="1">
        <f>[1]Results!F1369</f>
        <v>0</v>
      </c>
      <c r="D9" s="1">
        <f>[1]Results!G1369</f>
        <v>0</v>
      </c>
      <c r="E9" s="1">
        <f>[1]Results!H1369</f>
        <v>0</v>
      </c>
      <c r="F9" s="1">
        <f>[1]Results!I1369</f>
        <v>0</v>
      </c>
      <c r="G9" s="1">
        <f>[1]Results!J1369</f>
        <v>0</v>
      </c>
      <c r="H9" s="1">
        <f>[1]Results!K1369</f>
        <v>0</v>
      </c>
      <c r="I9" s="1">
        <f>[1]Results!L1369</f>
        <v>0</v>
      </c>
      <c r="J9" s="1">
        <f>[1]Results!M1369</f>
        <v>0</v>
      </c>
      <c r="K9" s="1">
        <f>[1]Results!N1369</f>
        <v>0</v>
      </c>
      <c r="L9" s="1">
        <f>[1]Results!O1369</f>
        <v>0</v>
      </c>
      <c r="M9" s="1">
        <f>[1]Results!P1369</f>
        <v>0</v>
      </c>
      <c r="N9" s="1">
        <f>[1]Results!Q1369</f>
        <v>0</v>
      </c>
      <c r="O9" s="1">
        <f>[1]Results!R1369</f>
        <v>0</v>
      </c>
      <c r="P9" s="1">
        <f>[1]Results!S1369</f>
        <v>0</v>
      </c>
      <c r="Q9" s="1">
        <f>[1]Results!T1369</f>
        <v>0</v>
      </c>
      <c r="R9" s="1">
        <f>[1]Results!U1369</f>
        <v>0</v>
      </c>
      <c r="S9" s="1">
        <f>[1]Results!V1369</f>
        <v>0</v>
      </c>
      <c r="T9" s="1">
        <f>[1]Results!W1369</f>
        <v>0</v>
      </c>
      <c r="U9" s="1">
        <f>[1]Results!X1369</f>
        <v>0</v>
      </c>
      <c r="V9" s="1">
        <f>[1]Results!Y1369</f>
        <v>0</v>
      </c>
      <c r="W9" s="1">
        <f>[1]Results!Z1369</f>
        <v>0</v>
      </c>
      <c r="X9" s="1">
        <f>[1]Results!AA1369</f>
        <v>0</v>
      </c>
      <c r="Y9" s="1">
        <f>[1]Results!AB1369</f>
        <v>0</v>
      </c>
      <c r="Z9" s="1">
        <f>[1]Results!AC1369</f>
        <v>0</v>
      </c>
      <c r="AA9" s="1">
        <f>[1]Results!AD1369</f>
        <v>0</v>
      </c>
      <c r="AB9" s="1">
        <f>[1]Results!AE1369</f>
        <v>0</v>
      </c>
      <c r="AC9" s="1">
        <f>[1]Results!AF1369</f>
        <v>0</v>
      </c>
      <c r="AD9" s="1">
        <f>[1]Results!AG1369</f>
        <v>0</v>
      </c>
      <c r="AE9" s="1">
        <f>[1]Results!AH1369</f>
        <v>0</v>
      </c>
      <c r="AF9" s="1">
        <f>[1]Results!AI1369</f>
        <v>0</v>
      </c>
      <c r="AG9" s="1">
        <f>[1]Results!AJ1369</f>
        <v>0</v>
      </c>
      <c r="AH9" s="1">
        <f>[1]Results!AK1369</f>
        <v>0</v>
      </c>
      <c r="AI9" s="1">
        <f>[1]Results!AL1369</f>
        <v>0</v>
      </c>
      <c r="AJ9" s="1">
        <f>[1]Results!AM1369</f>
        <v>0</v>
      </c>
      <c r="AK9" s="1">
        <f>[1]Results!AN1369</f>
        <v>0</v>
      </c>
      <c r="AL9" s="1">
        <f>[1]Results!AO1369</f>
        <v>0</v>
      </c>
      <c r="AM9" s="1">
        <f>[1]Results!AP1369</f>
        <v>0</v>
      </c>
      <c r="AN9" s="1">
        <f>[1]Results!AQ1369</f>
        <v>0</v>
      </c>
      <c r="AO9" s="1">
        <f>[1]Results!AR1369</f>
        <v>0</v>
      </c>
      <c r="AP9" s="1">
        <f>[1]Results!AS1369</f>
        <v>0</v>
      </c>
      <c r="AQ9" s="1">
        <f>[1]Results!AT1369</f>
        <v>0</v>
      </c>
      <c r="AR9" s="1">
        <f>[1]Results!AU1369</f>
        <v>0</v>
      </c>
      <c r="AS9" s="1">
        <f>[1]Results!AV1369</f>
        <v>0</v>
      </c>
      <c r="AT9" s="1">
        <f>[1]Results!AW1369</f>
        <v>0</v>
      </c>
      <c r="AU9" s="1">
        <f>[1]Results!AX1369</f>
        <v>0</v>
      </c>
      <c r="AV9" s="1">
        <f>[1]Results!AY1369</f>
        <v>0</v>
      </c>
      <c r="AW9" s="1">
        <f>[1]Results!AZ1369</f>
        <v>0</v>
      </c>
      <c r="AX9" s="1">
        <f>[1]Results!BA1369</f>
        <v>0</v>
      </c>
      <c r="AY9" s="1">
        <f>[1]Results!BB1369</f>
        <v>0</v>
      </c>
      <c r="AZ9" s="1">
        <f>[1]Results!BC1369</f>
        <v>0</v>
      </c>
      <c r="BA9" s="1">
        <f>[1]Results!BD1369</f>
        <v>0</v>
      </c>
      <c r="BB9" s="1">
        <f>[1]Results!BE1369</f>
        <v>0</v>
      </c>
      <c r="BC9" s="1">
        <f>[1]Results!BF1369</f>
        <v>0</v>
      </c>
      <c r="BD9" s="1">
        <f>[1]Results!BG1369</f>
        <v>0</v>
      </c>
      <c r="BE9" s="1">
        <f>[1]Results!BH1369</f>
        <v>0</v>
      </c>
      <c r="BF9" s="1">
        <f>[1]Results!BI1369</f>
        <v>0</v>
      </c>
    </row>
    <row r="10" spans="1:58" x14ac:dyDescent="0.35">
      <c r="A10" s="3" t="str">
        <f>[1]Results!E1370</f>
        <v>100*((I_2-I_0)/GDP_0)</v>
      </c>
      <c r="B10" t="s">
        <v>21</v>
      </c>
      <c r="C10" s="1">
        <f>[1]Results!F1370</f>
        <v>-0.20720769836062941</v>
      </c>
      <c r="D10" s="1">
        <f>[1]Results!G1370</f>
        <v>-0.34975774694658385</v>
      </c>
      <c r="E10" s="1">
        <f>[1]Results!H1370</f>
        <v>-0.45567748225170496</v>
      </c>
      <c r="F10" s="1">
        <f>[1]Results!I1370</f>
        <v>-0.54323470445198629</v>
      </c>
      <c r="G10" s="1">
        <f>[1]Results!J1370</f>
        <v>-0.62139902432301153</v>
      </c>
      <c r="H10" s="1">
        <f>[1]Results!K1370</f>
        <v>-0.69469958891119155</v>
      </c>
      <c r="I10" s="1">
        <f>[1]Results!L1370</f>
        <v>-0.76598034574279872</v>
      </c>
      <c r="J10" s="1">
        <f>[1]Results!M1370</f>
        <v>-0.83603609047494776</v>
      </c>
      <c r="K10" s="1">
        <f>[1]Results!N1370</f>
        <v>-0.90539543848295378</v>
      </c>
      <c r="L10" s="1">
        <f>[1]Results!O1370</f>
        <v>-0.97433643723151309</v>
      </c>
      <c r="M10" s="1">
        <f>[1]Results!P1370</f>
        <v>-1.056704165432385</v>
      </c>
      <c r="N10" s="1">
        <f>[1]Results!Q1370</f>
        <v>-1.1247289715919171</v>
      </c>
      <c r="O10" s="1">
        <f>[1]Results!R1370</f>
        <v>-1.1844958939778991</v>
      </c>
      <c r="P10" s="1">
        <f>[1]Results!S1370</f>
        <v>-1.2397864182881038</v>
      </c>
      <c r="Q10" s="1">
        <f>[1]Results!T1370</f>
        <v>-1.2922338537059626</v>
      </c>
      <c r="R10" s="1">
        <f>[1]Results!U1370</f>
        <v>-1.3425152740808974</v>
      </c>
      <c r="S10" s="1">
        <f>[1]Results!V1370</f>
        <v>-1.3915905760590102</v>
      </c>
      <c r="T10" s="1">
        <f>[1]Results!W1370</f>
        <v>-1.439382464778032</v>
      </c>
      <c r="U10" s="1">
        <f>[1]Results!X1370</f>
        <v>-1.4858517492713768</v>
      </c>
      <c r="V10" s="1">
        <f>[1]Results!Y1370</f>
        <v>-1.5309944427713542</v>
      </c>
      <c r="W10" s="1">
        <f>[1]Results!Z1370</f>
        <v>-1.5753163852542686</v>
      </c>
      <c r="X10" s="1">
        <f>[1]Results!AA1370</f>
        <v>-1.6176674266682081</v>
      </c>
      <c r="Y10" s="1">
        <f>[1]Results!AB1370</f>
        <v>-1.6587325838919365</v>
      </c>
      <c r="Z10" s="1">
        <f>[1]Results!AC1370</f>
        <v>-1.6984840421365215</v>
      </c>
      <c r="AA10" s="1">
        <f>[1]Results!AD1370</f>
        <v>-1.7369054940588644</v>
      </c>
      <c r="AB10" s="1">
        <f>[1]Results!AE1370</f>
        <v>-1.7754662742539971</v>
      </c>
      <c r="AC10" s="1">
        <f>[1]Results!AF1370</f>
        <v>-1.8110815589888145</v>
      </c>
      <c r="AD10" s="1">
        <f>[1]Results!AG1370</f>
        <v>-1.8449566410766833</v>
      </c>
      <c r="AE10" s="1">
        <f>[1]Results!AH1370</f>
        <v>-1.8770932353679117</v>
      </c>
      <c r="AF10" s="1">
        <f>[1]Results!AI1370</f>
        <v>-1.9075103686820365</v>
      </c>
      <c r="AG10" s="1">
        <f>[1]Results!AJ1370</f>
        <v>-1.9362340137388641</v>
      </c>
      <c r="AH10" s="1">
        <f>[1]Results!AK1370</f>
        <v>-1.9631286075313708</v>
      </c>
      <c r="AI10" s="1">
        <f>[1]Results!AL1370</f>
        <v>-1.9882791098915256</v>
      </c>
      <c r="AJ10" s="1">
        <f>[1]Results!AM1370</f>
        <v>-2.0117595559710346</v>
      </c>
      <c r="AK10" s="1">
        <f>[1]Results!AN1370</f>
        <v>-2.0336398060792513</v>
      </c>
      <c r="AL10" s="1">
        <f>[1]Results!AO1370</f>
        <v>-2.053990237591711</v>
      </c>
      <c r="AM10" s="1">
        <f>[1]Results!AP1370</f>
        <v>-2.0717644705002374</v>
      </c>
      <c r="AN10" s="1">
        <f>[1]Results!AQ1370</f>
        <v>-2.0870275780305314</v>
      </c>
      <c r="AO10" s="1">
        <f>[1]Results!AR1370</f>
        <v>-2.1002023493702571</v>
      </c>
      <c r="AP10" s="1">
        <f>[1]Results!AS1370</f>
        <v>-2.1115936081285489</v>
      </c>
      <c r="AQ10" s="1">
        <f>[1]Results!AT1370</f>
        <v>-2.1214390053444814</v>
      </c>
      <c r="AR10" s="1">
        <f>[1]Results!AU1370</f>
        <v>-2.1296918774897895</v>
      </c>
      <c r="AS10" s="1">
        <f>[1]Results!AV1370</f>
        <v>-2.1365814928239235</v>
      </c>
      <c r="AT10" s="1">
        <f>[1]Results!AW1370</f>
        <v>-2.1422962373718235</v>
      </c>
      <c r="AU10" s="1">
        <f>[1]Results!AX1370</f>
        <v>-2.1469987775805306</v>
      </c>
      <c r="AV10" s="1">
        <f>[1]Results!AY1370</f>
        <v>-2.1508363900945753</v>
      </c>
      <c r="AW10" s="1">
        <f>[1]Results!AZ1370</f>
        <v>-2.1531193604149159</v>
      </c>
      <c r="AX10" s="1">
        <f>[1]Results!BA1370</f>
        <v>-2.1542591609890271</v>
      </c>
      <c r="AY10" s="1">
        <f>[1]Results!BB1370</f>
        <v>-2.1545534434144331</v>
      </c>
      <c r="AZ10" s="1">
        <f>[1]Results!BC1370</f>
        <v>-2.1542386781009903</v>
      </c>
      <c r="BA10" s="1">
        <f>[1]Results!BD1370</f>
        <v>-2.1535062417026385</v>
      </c>
      <c r="BB10" s="1">
        <f>[1]Results!BE1370</f>
        <v>-4.521236430945175E-3</v>
      </c>
      <c r="BC10" s="1">
        <f>[1]Results!BF1370</f>
        <v>7.2949558812879342E-4</v>
      </c>
      <c r="BD10" s="1">
        <f>[1]Results!BG1370</f>
        <v>6.3874356486643144E-3</v>
      </c>
      <c r="BE10" s="1">
        <f>[1]Results!BH1370</f>
        <v>1.2419202628000638E-2</v>
      </c>
      <c r="BF10" s="1">
        <f>[1]Results!BI1370</f>
        <v>1.8789179124359609E-2</v>
      </c>
    </row>
    <row r="11" spans="1:58" x14ac:dyDescent="0.35">
      <c r="A11" s="3" t="str">
        <f>[1]Results!E1371</f>
        <v>100*((DS_2-DS_0)/GDP_0)</v>
      </c>
      <c r="B11" t="str">
        <f>[1]Results!C1371</f>
        <v>Variations de stocks</v>
      </c>
      <c r="C11" s="1">
        <f>[1]Results!F1371</f>
        <v>0</v>
      </c>
      <c r="D11" s="1">
        <f>[1]Results!G1371</f>
        <v>0</v>
      </c>
      <c r="E11" s="1">
        <f>[1]Results!H1371</f>
        <v>0</v>
      </c>
      <c r="F11" s="1">
        <f>[1]Results!I1371</f>
        <v>0</v>
      </c>
      <c r="G11" s="1">
        <f>[1]Results!J1371</f>
        <v>0</v>
      </c>
      <c r="H11" s="1">
        <f>[1]Results!K1371</f>
        <v>0</v>
      </c>
      <c r="I11" s="1">
        <f>[1]Results!L1371</f>
        <v>0</v>
      </c>
      <c r="J11" s="1">
        <f>[1]Results!M1371</f>
        <v>0</v>
      </c>
      <c r="K11" s="1">
        <f>[1]Results!N1371</f>
        <v>0</v>
      </c>
      <c r="L11" s="1">
        <f>[1]Results!O1371</f>
        <v>0</v>
      </c>
      <c r="M11" s="1">
        <f>[1]Results!P1371</f>
        <v>0</v>
      </c>
      <c r="N11" s="1">
        <f>[1]Results!Q1371</f>
        <v>0</v>
      </c>
      <c r="O11" s="1">
        <f>[1]Results!R1371</f>
        <v>0</v>
      </c>
      <c r="P11" s="1">
        <f>[1]Results!S1371</f>
        <v>0</v>
      </c>
      <c r="Q11" s="1">
        <f>[1]Results!T1371</f>
        <v>0</v>
      </c>
      <c r="R11" s="1">
        <f>[1]Results!U1371</f>
        <v>0</v>
      </c>
      <c r="S11" s="1">
        <f>[1]Results!V1371</f>
        <v>0</v>
      </c>
      <c r="T11" s="1">
        <f>[1]Results!W1371</f>
        <v>0</v>
      </c>
      <c r="U11" s="1">
        <f>[1]Results!X1371</f>
        <v>0</v>
      </c>
      <c r="V11" s="1">
        <f>[1]Results!Y1371</f>
        <v>0</v>
      </c>
      <c r="W11" s="1">
        <f>[1]Results!Z1371</f>
        <v>0</v>
      </c>
      <c r="X11" s="1">
        <f>[1]Results!AA1371</f>
        <v>0</v>
      </c>
      <c r="Y11" s="1">
        <f>[1]Results!AB1371</f>
        <v>0</v>
      </c>
      <c r="Z11" s="1">
        <f>[1]Results!AC1371</f>
        <v>0</v>
      </c>
      <c r="AA11" s="1">
        <f>[1]Results!AD1371</f>
        <v>0</v>
      </c>
      <c r="AB11" s="1">
        <f>[1]Results!AE1371</f>
        <v>0</v>
      </c>
      <c r="AC11" s="1">
        <f>[1]Results!AF1371</f>
        <v>0</v>
      </c>
      <c r="AD11" s="1">
        <f>[1]Results!AG1371</f>
        <v>0</v>
      </c>
      <c r="AE11" s="1">
        <f>[1]Results!AH1371</f>
        <v>0</v>
      </c>
      <c r="AF11" s="1">
        <f>[1]Results!AI1371</f>
        <v>0</v>
      </c>
      <c r="AG11" s="1">
        <f>[1]Results!AJ1371</f>
        <v>0</v>
      </c>
      <c r="AH11" s="1">
        <f>[1]Results!AK1371</f>
        <v>0</v>
      </c>
      <c r="AI11" s="1">
        <f>[1]Results!AL1371</f>
        <v>0</v>
      </c>
      <c r="AJ11" s="1">
        <f>[1]Results!AM1371</f>
        <v>0</v>
      </c>
      <c r="AK11" s="1">
        <f>[1]Results!AN1371</f>
        <v>0</v>
      </c>
      <c r="AL11" s="1">
        <f>[1]Results!AO1371</f>
        <v>0</v>
      </c>
      <c r="AM11" s="1">
        <f>[1]Results!AP1371</f>
        <v>0</v>
      </c>
      <c r="AN11" s="1">
        <f>[1]Results!AQ1371</f>
        <v>0</v>
      </c>
      <c r="AO11" s="1">
        <f>[1]Results!AR1371</f>
        <v>0</v>
      </c>
      <c r="AP11" s="1">
        <f>[1]Results!AS1371</f>
        <v>0</v>
      </c>
      <c r="AQ11" s="1">
        <f>[1]Results!AT1371</f>
        <v>0</v>
      </c>
      <c r="AR11" s="1">
        <f>[1]Results!AU1371</f>
        <v>0</v>
      </c>
      <c r="AS11" s="1">
        <f>[1]Results!AV1371</f>
        <v>0</v>
      </c>
      <c r="AT11" s="1">
        <f>[1]Results!AW1371</f>
        <v>0</v>
      </c>
      <c r="AU11" s="1">
        <f>[1]Results!AX1371</f>
        <v>0</v>
      </c>
      <c r="AV11" s="1">
        <f>[1]Results!AY1371</f>
        <v>0</v>
      </c>
      <c r="AW11" s="1">
        <f>[1]Results!AZ1371</f>
        <v>0</v>
      </c>
      <c r="AX11" s="1">
        <f>[1]Results!BA1371</f>
        <v>0</v>
      </c>
      <c r="AY11" s="1">
        <f>[1]Results!BB1371</f>
        <v>0</v>
      </c>
      <c r="AZ11" s="1">
        <f>[1]Results!BC1371</f>
        <v>0</v>
      </c>
      <c r="BA11" s="1">
        <f>[1]Results!BD1371</f>
        <v>0</v>
      </c>
      <c r="BB11" s="1">
        <f>[1]Results!BE1371</f>
        <v>0</v>
      </c>
      <c r="BC11" s="1">
        <f>[1]Results!BF1371</f>
        <v>0</v>
      </c>
      <c r="BD11" s="1">
        <f>[1]Results!BG1371</f>
        <v>0</v>
      </c>
      <c r="BE11" s="1">
        <f>[1]Results!BH1371</f>
        <v>0</v>
      </c>
      <c r="BF11" s="1">
        <f>[1]Results!BI1371</f>
        <v>0</v>
      </c>
    </row>
    <row r="12" spans="1:58" x14ac:dyDescent="0.35">
      <c r="A12" s="3" t="str">
        <f>[1]Results!E1372</f>
        <v>100*((X_2-X_0)/GDP_0)-100*((M_2-M_0)/GDP_0)</v>
      </c>
      <c r="B12" t="s">
        <v>20</v>
      </c>
      <c r="C12" s="1">
        <f>[1]Results!F1372</f>
        <v>-0.91255396321157756</v>
      </c>
      <c r="D12" s="1">
        <f>[1]Results!G1372</f>
        <v>-0.82842433930079273</v>
      </c>
      <c r="E12" s="1">
        <f>[1]Results!H1372</f>
        <v>-0.77813688085920707</v>
      </c>
      <c r="F12" s="1">
        <f>[1]Results!I1372</f>
        <v>-0.74030304270378444</v>
      </c>
      <c r="G12" s="1">
        <f>[1]Results!J1372</f>
        <v>-0.71191068565072557</v>
      </c>
      <c r="H12" s="1">
        <f>[1]Results!K1372</f>
        <v>-0.69190747112889084</v>
      </c>
      <c r="I12" s="1">
        <f>[1]Results!L1372</f>
        <v>-0.68022134217879859</v>
      </c>
      <c r="J12" s="1">
        <f>[1]Results!M1372</f>
        <v>-0.67533967600157818</v>
      </c>
      <c r="K12" s="1">
        <f>[1]Results!N1372</f>
        <v>-0.67662762538387211</v>
      </c>
      <c r="L12" s="1">
        <f>[1]Results!O1372</f>
        <v>-0.68356435578025887</v>
      </c>
      <c r="M12" s="1">
        <f>[1]Results!P1372</f>
        <v>-0.76155081625124699</v>
      </c>
      <c r="N12" s="1">
        <f>[1]Results!Q1372</f>
        <v>-0.72548337544394204</v>
      </c>
      <c r="O12" s="1">
        <f>[1]Results!R1372</f>
        <v>-0.70562580499412442</v>
      </c>
      <c r="P12" s="1">
        <f>[1]Results!S1372</f>
        <v>-0.6976496678331563</v>
      </c>
      <c r="Q12" s="1">
        <f>[1]Results!T1372</f>
        <v>-0.70012135974598166</v>
      </c>
      <c r="R12" s="1">
        <f>[1]Results!U1372</f>
        <v>-0.7119786538875732</v>
      </c>
      <c r="S12" s="1">
        <f>[1]Results!V1372</f>
        <v>-0.73519927211288927</v>
      </c>
      <c r="T12" s="1">
        <f>[1]Results!W1372</f>
        <v>-0.76520845443353736</v>
      </c>
      <c r="U12" s="1">
        <f>[1]Results!X1372</f>
        <v>-0.80111977810716972</v>
      </c>
      <c r="V12" s="1">
        <f>[1]Results!Y1372</f>
        <v>-0.84200894468374088</v>
      </c>
      <c r="W12" s="1">
        <f>[1]Results!Z1372</f>
        <v>-0.88601203290618025</v>
      </c>
      <c r="X12" s="1">
        <f>[1]Results!AA1372</f>
        <v>-0.93477770196652132</v>
      </c>
      <c r="Y12" s="1">
        <f>[1]Results!AB1372</f>
        <v>-0.98596118078897144</v>
      </c>
      <c r="Z12" s="1">
        <f>[1]Results!AC1372</f>
        <v>-1.0389641656587449</v>
      </c>
      <c r="AA12" s="1">
        <f>[1]Results!AD1372</f>
        <v>-1.0932294444328301</v>
      </c>
      <c r="AB12" s="1">
        <f>[1]Results!AE1372</f>
        <v>-1.1453633175416118</v>
      </c>
      <c r="AC12" s="1">
        <f>[1]Results!AF1372</f>
        <v>-1.1996936223461909</v>
      </c>
      <c r="AD12" s="1">
        <f>[1]Results!AG1372</f>
        <v>-1.254706916103447</v>
      </c>
      <c r="AE12" s="1">
        <f>[1]Results!AH1372</f>
        <v>-1.310019721568255</v>
      </c>
      <c r="AF12" s="1">
        <f>[1]Results!AI1372</f>
        <v>-1.3653153752856091</v>
      </c>
      <c r="AG12" s="1">
        <f>[1]Results!AJ1372</f>
        <v>-1.4203589266595644</v>
      </c>
      <c r="AH12" s="1">
        <f>[1]Results!AK1372</f>
        <v>-1.4742655562229601</v>
      </c>
      <c r="AI12" s="1">
        <f>[1]Results!AL1372</f>
        <v>-1.5277510247998092</v>
      </c>
      <c r="AJ12" s="1">
        <f>[1]Results!AM1372</f>
        <v>-1.58071105308021</v>
      </c>
      <c r="AK12" s="1">
        <f>[1]Results!AN1372</f>
        <v>-1.6331006687140834</v>
      </c>
      <c r="AL12" s="1">
        <f>[1]Results!AO1372</f>
        <v>-1.6849112375189121</v>
      </c>
      <c r="AM12" s="1">
        <f>[1]Results!AP1372</f>
        <v>-1.7290667041026904</v>
      </c>
      <c r="AN12" s="1">
        <f>[1]Results!AQ1372</f>
        <v>-1.7740510617559466</v>
      </c>
      <c r="AO12" s="1">
        <f>[1]Results!AR1372</f>
        <v>-1.8194179684081004</v>
      </c>
      <c r="AP12" s="1">
        <f>[1]Results!AS1372</f>
        <v>-1.8649911528153051</v>
      </c>
      <c r="AQ12" s="1">
        <f>[1]Results!AT1372</f>
        <v>-1.9106870281884061</v>
      </c>
      <c r="AR12" s="1">
        <f>[1]Results!AU1372</f>
        <v>-1.9554460844778627</v>
      </c>
      <c r="AS12" s="1">
        <f>[1]Results!AV1372</f>
        <v>-2.0003985834340172</v>
      </c>
      <c r="AT12" s="1">
        <f>[1]Results!AW1372</f>
        <v>-2.0454653609366327</v>
      </c>
      <c r="AU12" s="1">
        <f>[1]Results!AX1372</f>
        <v>-2.0906009614281338</v>
      </c>
      <c r="AV12" s="1">
        <f>[1]Results!AY1372</f>
        <v>-2.1357685968379521</v>
      </c>
      <c r="AW12" s="1">
        <f>[1]Results!AZ1372</f>
        <v>-2.1775690047726166</v>
      </c>
      <c r="AX12" s="1">
        <f>[1]Results!BA1372</f>
        <v>-2.2197264932485905</v>
      </c>
      <c r="AY12" s="1">
        <f>[1]Results!BB1372</f>
        <v>-2.2620146062032211</v>
      </c>
      <c r="AZ12" s="1">
        <f>[1]Results!BC1372</f>
        <v>-2.3043080399575824</v>
      </c>
      <c r="BA12" s="1">
        <f>[1]Results!BD1372</f>
        <v>-2.3465300093050678</v>
      </c>
      <c r="BB12" s="1">
        <f>[1]Results!BE1372</f>
        <v>-0.19320109391079338</v>
      </c>
      <c r="BC12" s="1">
        <f>[1]Results!BF1372</f>
        <v>-0.20237502709255517</v>
      </c>
      <c r="BD12" s="1">
        <f>[1]Results!BG1372</f>
        <v>-0.21158891458899307</v>
      </c>
      <c r="BE12" s="1">
        <f>[1]Results!BH1372</f>
        <v>-0.22082829874555396</v>
      </c>
      <c r="BF12" s="1">
        <f>[1]Results!BI1372</f>
        <v>-0.23008438738529277</v>
      </c>
    </row>
    <row r="13" spans="1:58" x14ac:dyDescent="0.35">
      <c r="A13" s="3" t="str">
        <f>[1]Results!E1373</f>
        <v>100*((CH_2-CH_ccon_2-(CH_0-CH_ccon_0))/GDP_0)</v>
      </c>
      <c r="B13" t="str">
        <f>[1]Results!C1373</f>
        <v>Consommation des ménages</v>
      </c>
      <c r="C13" s="1">
        <f>[1]Results!F1373</f>
        <v>-0.2565840148053854</v>
      </c>
      <c r="D13" s="1">
        <f>[1]Results!G1373</f>
        <v>-0.56138758795093913</v>
      </c>
      <c r="E13" s="1">
        <f>[1]Results!H1373</f>
        <v>-0.84356646584836725</v>
      </c>
      <c r="F13" s="1">
        <f>[1]Results!I1373</f>
        <v>-1.0866668379100277</v>
      </c>
      <c r="G13" s="1">
        <f>[1]Results!J1373</f>
        <v>-1.2912144503867986</v>
      </c>
      <c r="H13" s="1">
        <f>[1]Results!K1373</f>
        <v>-1.4623215234482336</v>
      </c>
      <c r="I13" s="1">
        <f>[1]Results!L1373</f>
        <v>-1.6066665011070347</v>
      </c>
      <c r="J13" s="1">
        <f>[1]Results!M1373</f>
        <v>-1.7286421805154211</v>
      </c>
      <c r="K13" s="1">
        <f>[1]Results!N1373</f>
        <v>-1.8326321719524239</v>
      </c>
      <c r="L13" s="1">
        <f>[1]Results!O1373</f>
        <v>-1.9224076601103079</v>
      </c>
      <c r="M13" s="1">
        <f>[1]Results!P1373</f>
        <v>-2.0158235027629057</v>
      </c>
      <c r="N13" s="1">
        <f>[1]Results!Q1373</f>
        <v>-2.0950964468566093</v>
      </c>
      <c r="O13" s="1">
        <f>[1]Results!R1373</f>
        <v>-2.1543099837759123</v>
      </c>
      <c r="P13" s="1">
        <f>[1]Results!S1373</f>
        <v>-2.1945112381299348</v>
      </c>
      <c r="Q13" s="1">
        <f>[1]Results!T1373</f>
        <v>-2.218396372045758</v>
      </c>
      <c r="R13" s="1">
        <f>[1]Results!U1373</f>
        <v>-2.2290916316589615</v>
      </c>
      <c r="S13" s="1">
        <f>[1]Results!V1373</f>
        <v>-2.2306485145688351</v>
      </c>
      <c r="T13" s="1">
        <f>[1]Results!W1373</f>
        <v>-2.2260370021464424</v>
      </c>
      <c r="U13" s="1">
        <f>[1]Results!X1373</f>
        <v>-2.2176217096343804</v>
      </c>
      <c r="V13" s="1">
        <f>[1]Results!Y1373</f>
        <v>-2.2073394243034263</v>
      </c>
      <c r="W13" s="1">
        <f>[1]Results!Z1373</f>
        <v>-2.1974600682324827</v>
      </c>
      <c r="X13" s="1">
        <f>[1]Results!AA1373</f>
        <v>-2.1873192061187363</v>
      </c>
      <c r="Y13" s="1">
        <f>[1]Results!AB1373</f>
        <v>-2.1789995699801019</v>
      </c>
      <c r="Z13" s="1">
        <f>[1]Results!AC1373</f>
        <v>-2.1732138768441054</v>
      </c>
      <c r="AA13" s="1">
        <f>[1]Results!AD1373</f>
        <v>-2.1704052796534001</v>
      </c>
      <c r="AB13" s="1">
        <f>[1]Results!AE1373</f>
        <v>-2.1726383151140904</v>
      </c>
      <c r="AC13" s="1">
        <f>[1]Results!AF1373</f>
        <v>-2.1755027818297723</v>
      </c>
      <c r="AD13" s="1">
        <f>[1]Results!AG1373</f>
        <v>-2.1806322341485029</v>
      </c>
      <c r="AE13" s="1">
        <f>[1]Results!AH1373</f>
        <v>-2.1882616859071549</v>
      </c>
      <c r="AF13" s="1">
        <f>[1]Results!AI1373</f>
        <v>-2.198524757978376</v>
      </c>
      <c r="AG13" s="1">
        <f>[1]Results!AJ1373</f>
        <v>-2.2114275349112438</v>
      </c>
      <c r="AH13" s="1">
        <f>[1]Results!AK1373</f>
        <v>-2.2266524719445959</v>
      </c>
      <c r="AI13" s="1">
        <f>[1]Results!AL1373</f>
        <v>-2.2440457965438498</v>
      </c>
      <c r="AJ13" s="1">
        <f>[1]Results!AM1373</f>
        <v>-2.2634880620134115</v>
      </c>
      <c r="AK13" s="1">
        <f>[1]Results!AN1373</f>
        <v>-2.2848476585589435</v>
      </c>
      <c r="AL13" s="1">
        <f>[1]Results!AO1373</f>
        <v>-2.3079760966834515</v>
      </c>
      <c r="AM13" s="1">
        <f>[1]Results!AP1373</f>
        <v>-2.3310751156189813</v>
      </c>
      <c r="AN13" s="1">
        <f>[1]Results!AQ1373</f>
        <v>-2.3532687867504567</v>
      </c>
      <c r="AO13" s="1">
        <f>[1]Results!AR1373</f>
        <v>-2.3749532865583123</v>
      </c>
      <c r="AP13" s="1">
        <f>[1]Results!AS1373</f>
        <v>-2.3965779404550158</v>
      </c>
      <c r="AQ13" s="1">
        <f>[1]Results!AT1373</f>
        <v>-2.4184686548286414</v>
      </c>
      <c r="AR13" s="1">
        <f>[1]Results!AU1373</f>
        <v>-2.4405052784607713</v>
      </c>
      <c r="AS13" s="1">
        <f>[1]Results!AV1373</f>
        <v>-2.4628081179415413</v>
      </c>
      <c r="AT13" s="1">
        <f>[1]Results!AW1373</f>
        <v>-2.4855493656150069</v>
      </c>
      <c r="AU13" s="1">
        <f>[1]Results!AX1373</f>
        <v>-2.508880775944998</v>
      </c>
      <c r="AV13" s="1">
        <f>[1]Results!AY1373</f>
        <v>-2.53291946863142</v>
      </c>
      <c r="AW13" s="1">
        <f>[1]Results!AZ1373</f>
        <v>-2.5566379319854771</v>
      </c>
      <c r="AX13" s="1">
        <f>[1]Results!BA1373</f>
        <v>-2.5801562632187105</v>
      </c>
      <c r="AY13" s="1">
        <f>[1]Results!BB1373</f>
        <v>-2.6038288049068439</v>
      </c>
      <c r="AZ13" s="1">
        <f>[1]Results!BC1373</f>
        <v>-2.6279753900862981</v>
      </c>
      <c r="BA13" s="1">
        <f>[1]Results!BD1373</f>
        <v>-2.6528035228588558</v>
      </c>
      <c r="BB13" s="1">
        <f>[1]Results!BE1373</f>
        <v>2.6026198978007193E-2</v>
      </c>
      <c r="BC13" s="1">
        <f>[1]Results!BF1373</f>
        <v>2.8054577078108104E-2</v>
      </c>
      <c r="BD13" s="1">
        <f>[1]Results!BG1373</f>
        <v>2.9998808361020476E-2</v>
      </c>
      <c r="BE13" s="1">
        <f>[1]Results!BH1373</f>
        <v>3.1809355117782684E-2</v>
      </c>
      <c r="BF13" s="1">
        <f>[1]Results!BI1373</f>
        <v>3.3456583928692905E-2</v>
      </c>
    </row>
    <row r="14" spans="1:58" x14ac:dyDescent="0.35">
      <c r="A14" s="3" t="str">
        <f>[1]Results!E1374</f>
        <v>100*((I_2+CH_ccon_2-(I_0+CH_ccon_0))/GDP_0)</v>
      </c>
      <c r="B14" t="s">
        <v>21</v>
      </c>
      <c r="C14" s="1">
        <f>[1]Results!F1374</f>
        <v>-0.21146419716800793</v>
      </c>
      <c r="D14" s="1">
        <f>[1]Results!G1374</f>
        <v>-0.35823670590439244</v>
      </c>
      <c r="E14" s="1">
        <f>[1]Results!H1374</f>
        <v>-0.46746282270245088</v>
      </c>
      <c r="F14" s="1">
        <f>[1]Results!I1374</f>
        <v>-0.55760941013618326</v>
      </c>
      <c r="G14" s="1">
        <f>[1]Results!J1374</f>
        <v>-0.63795520043872345</v>
      </c>
      <c r="H14" s="1">
        <f>[1]Results!K1374</f>
        <v>-0.71321288272454342</v>
      </c>
      <c r="I14" s="1">
        <f>[1]Results!L1374</f>
        <v>-0.78631706738756002</v>
      </c>
      <c r="J14" s="1">
        <f>[1]Results!M1374</f>
        <v>-0.85806781218194184</v>
      </c>
      <c r="K14" s="1">
        <f>[1]Results!N1374</f>
        <v>-0.92898502909957581</v>
      </c>
      <c r="L14" s="1">
        <f>[1]Results!O1374</f>
        <v>-0.99933716180818499</v>
      </c>
      <c r="M14" s="1">
        <f>[1]Results!P1374</f>
        <v>-1.0831589768672685</v>
      </c>
      <c r="N14" s="1">
        <f>[1]Results!Q1374</f>
        <v>-1.1524133487957406</v>
      </c>
      <c r="O14" s="1">
        <f>[1]Results!R1374</f>
        <v>-1.2131288080930791</v>
      </c>
      <c r="P14" s="1">
        <f>[1]Results!S1374</f>
        <v>-1.2691233822616241</v>
      </c>
      <c r="Q14" s="1">
        <f>[1]Results!T1374</f>
        <v>-1.3220713186564341</v>
      </c>
      <c r="R14" s="1">
        <f>[1]Results!U1374</f>
        <v>-1.3726832994892584</v>
      </c>
      <c r="S14" s="1">
        <f>[1]Results!V1374</f>
        <v>-1.4219618139227561</v>
      </c>
      <c r="T14" s="1">
        <f>[1]Results!W1374</f>
        <v>-1.4698608451151827</v>
      </c>
      <c r="U14" s="1">
        <f>[1]Results!X1374</f>
        <v>-1.5163670846092514</v>
      </c>
      <c r="V14" s="1">
        <f>[1]Results!Y1374</f>
        <v>-1.5615009975796825</v>
      </c>
      <c r="W14" s="1">
        <f>[1]Results!Z1374</f>
        <v>-1.6058017086537826</v>
      </c>
      <c r="X14" s="1">
        <f>[1]Results!AA1374</f>
        <v>-1.6481131386252845</v>
      </c>
      <c r="Y14" s="1">
        <f>[1]Results!AB1374</f>
        <v>-1.6891543227154588</v>
      </c>
      <c r="Z14" s="1">
        <f>[1]Results!AC1374</f>
        <v>-1.7289121644963128</v>
      </c>
      <c r="AA14" s="1">
        <f>[1]Results!AD1374</f>
        <v>-1.7673805845979058</v>
      </c>
      <c r="AB14" s="1">
        <f>[1]Results!AE1374</f>
        <v>-1.8060618145708034</v>
      </c>
      <c r="AC14" s="1">
        <f>[1]Results!AF1374</f>
        <v>-1.8418110937515313</v>
      </c>
      <c r="AD14" s="1">
        <f>[1]Results!AG1374</f>
        <v>-1.8758596337337792</v>
      </c>
      <c r="AE14" s="1">
        <f>[1]Results!AH1374</f>
        <v>-1.9082157471727805</v>
      </c>
      <c r="AF14" s="1">
        <f>[1]Results!AI1374</f>
        <v>-1.9389027910860741</v>
      </c>
      <c r="AG14" s="1">
        <f>[1]Results!AJ1374</f>
        <v>-1.9679479225863648</v>
      </c>
      <c r="AH14" s="1">
        <f>[1]Results!AK1374</f>
        <v>-1.9952108182649884</v>
      </c>
      <c r="AI14" s="1">
        <f>[1]Results!AL1374</f>
        <v>-2.0207733384034934</v>
      </c>
      <c r="AJ14" s="1">
        <f>[1]Results!AM1374</f>
        <v>-2.0447070532723108</v>
      </c>
      <c r="AK14" s="1">
        <f>[1]Results!AN1374</f>
        <v>-2.0670790846780434</v>
      </c>
      <c r="AL14" s="1">
        <f>[1]Results!AO1374</f>
        <v>-2.0879566420167226</v>
      </c>
      <c r="AM14" s="1">
        <f>[1]Results!AP1374</f>
        <v>-2.1062643631924671</v>
      </c>
      <c r="AN14" s="1">
        <f>[1]Results!AQ1374</f>
        <v>-2.1220524997464252</v>
      </c>
      <c r="AO14" s="1">
        <f>[1]Results!AR1374</f>
        <v>-2.1357523045987059</v>
      </c>
      <c r="AP14" s="1">
        <f>[1]Results!AS1374</f>
        <v>-2.1476778765466507</v>
      </c>
      <c r="AQ14" s="1">
        <f>[1]Results!AT1374</f>
        <v>-2.1580720054336644</v>
      </c>
      <c r="AR14" s="1">
        <f>[1]Results!AU1374</f>
        <v>-2.1668838537343147</v>
      </c>
      <c r="AS14" s="1">
        <f>[1]Results!AV1374</f>
        <v>-2.174340852305253</v>
      </c>
      <c r="AT14" s="1">
        <f>[1]Results!AW1374</f>
        <v>-2.1806306809190557</v>
      </c>
      <c r="AU14" s="1">
        <f>[1]Results!AX1374</f>
        <v>-2.1859154010344448</v>
      </c>
      <c r="AV14" s="1">
        <f>[1]Results!AY1374</f>
        <v>-2.1903416545408865</v>
      </c>
      <c r="AW14" s="1">
        <f>[1]Results!AZ1374</f>
        <v>-2.1932018154065323</v>
      </c>
      <c r="AX14" s="1">
        <f>[1]Results!BA1374</f>
        <v>-2.1949088554351617</v>
      </c>
      <c r="AY14" s="1">
        <f>[1]Results!BB1374</f>
        <v>-2.1957675818437448</v>
      </c>
      <c r="AZ14" s="1">
        <f>[1]Results!BC1374</f>
        <v>-2.1960184134020255</v>
      </c>
      <c r="BA14" s="1">
        <f>[1]Results!BD1374</f>
        <v>-2.1958544165384462</v>
      </c>
      <c r="BB14" s="1">
        <f>[1]Results!BE1374</f>
        <v>-5.9201745623804168E-3</v>
      </c>
      <c r="BC14" s="1">
        <f>[1]Results!BF1374</f>
        <v>-7.2690977721502409E-4</v>
      </c>
      <c r="BD14" s="1">
        <f>[1]Results!BG1374</f>
        <v>4.8729519274250564E-3</v>
      </c>
      <c r="BE14" s="1">
        <f>[1]Results!BH1374</f>
        <v>1.0844828951787504E-2</v>
      </c>
      <c r="BF14" s="1">
        <f>[1]Results!BI1374</f>
        <v>1.7152317286497642E-2</v>
      </c>
    </row>
    <row r="15" spans="1:58" x14ac:dyDescent="0.35">
      <c r="A15" s="3" t="str">
        <f>[1]Results!E1375</f>
        <v>100*((I_2-IA_spub_2-(I_0-IA_spub_0))/GDP_0)</v>
      </c>
      <c r="B15" t="str">
        <f>[1]Results!C1375</f>
        <v>Investissement entreprises</v>
      </c>
      <c r="C15" s="1">
        <f>[1]Results!F1375</f>
        <v>-0.20425670856551326</v>
      </c>
      <c r="D15" s="1">
        <f>[1]Results!G1375</f>
        <v>-0.34492669328188086</v>
      </c>
      <c r="E15" s="1">
        <f>[1]Results!H1375</f>
        <v>-0.44978337658837408</v>
      </c>
      <c r="F15" s="1">
        <f>[1]Results!I1375</f>
        <v>-0.53663441773000298</v>
      </c>
      <c r="G15" s="1">
        <f>[1]Results!J1375</f>
        <v>-0.61415179214079851</v>
      </c>
      <c r="H15" s="1">
        <f>[1]Results!K1375</f>
        <v>-0.68671859609667707</v>
      </c>
      <c r="I15" s="1">
        <f>[1]Results!L1375</f>
        <v>-0.7571203609650522</v>
      </c>
      <c r="J15" s="1">
        <f>[1]Results!M1375</f>
        <v>-0.82615791405748917</v>
      </c>
      <c r="K15" s="1">
        <f>[1]Results!N1375</f>
        <v>-0.89438007434953415</v>
      </c>
      <c r="L15" s="1">
        <f>[1]Results!O1375</f>
        <v>-0.96208840469664203</v>
      </c>
      <c r="M15" s="1">
        <f>[1]Results!P1375</f>
        <v>-1.0429906895596495</v>
      </c>
      <c r="N15" s="1">
        <f>[1]Results!Q1375</f>
        <v>-1.1096787613168366</v>
      </c>
      <c r="O15" s="1">
        <f>[1]Results!R1375</f>
        <v>-1.1681533354867517</v>
      </c>
      <c r="P15" s="1">
        <f>[1]Results!S1375</f>
        <v>-1.2221473191726699</v>
      </c>
      <c r="Q15" s="1">
        <f>[1]Results!T1375</f>
        <v>-1.2732922666391562</v>
      </c>
      <c r="R15" s="1">
        <f>[1]Results!U1375</f>
        <v>-1.3222826275184372</v>
      </c>
      <c r="S15" s="1">
        <f>[1]Results!V1375</f>
        <v>-1.3700863631888933</v>
      </c>
      <c r="T15" s="1">
        <f>[1]Results!W1375</f>
        <v>-1.4166462527325869</v>
      </c>
      <c r="U15" s="1">
        <f>[1]Results!X1375</f>
        <v>-1.461939329888885</v>
      </c>
      <c r="V15" s="1">
        <f>[1]Results!Y1375</f>
        <v>-1.5059726304303636</v>
      </c>
      <c r="W15" s="1">
        <f>[1]Results!Z1375</f>
        <v>-1.549252556001776</v>
      </c>
      <c r="X15" s="1">
        <f>[1]Results!AA1375</f>
        <v>-1.5906485090295055</v>
      </c>
      <c r="Y15" s="1">
        <f>[1]Results!AB1375</f>
        <v>-1.6308356218081386</v>
      </c>
      <c r="Z15" s="1">
        <f>[1]Results!AC1375</f>
        <v>-1.6697859961596073</v>
      </c>
      <c r="AA15" s="1">
        <f>[1]Results!AD1375</f>
        <v>-1.7074815281358406</v>
      </c>
      <c r="AB15" s="1">
        <f>[1]Results!AE1375</f>
        <v>-1.7453711583359117</v>
      </c>
      <c r="AC15" s="1">
        <f>[1]Results!AF1375</f>
        <v>-1.7804093752513868</v>
      </c>
      <c r="AD15" s="1">
        <f>[1]Results!AG1375</f>
        <v>-1.8137759182124231</v>
      </c>
      <c r="AE15" s="1">
        <f>[1]Results!AH1375</f>
        <v>-1.8454648965246738</v>
      </c>
      <c r="AF15" s="1">
        <f>[1]Results!AI1375</f>
        <v>-1.8754869953385309</v>
      </c>
      <c r="AG15" s="1">
        <f>[1]Results!AJ1375</f>
        <v>-1.9038602519914076</v>
      </c>
      <c r="AH15" s="1">
        <f>[1]Results!AK1375</f>
        <v>-1.9304450468773333</v>
      </c>
      <c r="AI15" s="1">
        <f>[1]Results!AL1375</f>
        <v>-1.9553189549192038</v>
      </c>
      <c r="AJ15" s="1">
        <f>[1]Results!AM1375</f>
        <v>-1.9785486368957945</v>
      </c>
      <c r="AK15" s="1">
        <f>[1]Results!AN1375</f>
        <v>-2.0001971924998143</v>
      </c>
      <c r="AL15" s="1">
        <f>[1]Results!AO1375</f>
        <v>-2.020328985917839</v>
      </c>
      <c r="AM15" s="1">
        <f>[1]Results!AP1375</f>
        <v>-2.0379174913527454</v>
      </c>
      <c r="AN15" s="1">
        <f>[1]Results!AQ1375</f>
        <v>-2.0530235794557461</v>
      </c>
      <c r="AO15" s="1">
        <f>[1]Results!AR1375</f>
        <v>-2.0660545319103178</v>
      </c>
      <c r="AP15" s="1">
        <f>[1]Results!AS1375</f>
        <v>-2.0773029190106436</v>
      </c>
      <c r="AQ15" s="1">
        <f>[1]Results!AT1375</f>
        <v>-2.0869983321442569</v>
      </c>
      <c r="AR15" s="1">
        <f>[1]Results!AU1375</f>
        <v>-2.0950944223979238</v>
      </c>
      <c r="AS15" s="1">
        <f>[1]Results!AV1375</f>
        <v>-2.1018175536741284</v>
      </c>
      <c r="AT15" s="1">
        <f>[1]Results!AW1375</f>
        <v>-2.1073539141084741</v>
      </c>
      <c r="AU15" s="1">
        <f>[1]Results!AX1375</f>
        <v>-2.1118650587917118</v>
      </c>
      <c r="AV15" s="1">
        <f>[1]Results!AY1375</f>
        <v>-2.1154980579711951</v>
      </c>
      <c r="AW15" s="1">
        <f>[1]Results!AZ1375</f>
        <v>-2.1175801296344532</v>
      </c>
      <c r="AX15" s="1">
        <f>[1]Results!BA1375</f>
        <v>-2.1185194444762598</v>
      </c>
      <c r="AY15" s="1">
        <f>[1]Results!BB1375</f>
        <v>-2.1186084333089559</v>
      </c>
      <c r="AZ15" s="1">
        <f>[1]Results!BC1375</f>
        <v>-2.1180799945368776</v>
      </c>
      <c r="BA15" s="1">
        <f>[1]Results!BD1375</f>
        <v>-2.1171240623051926</v>
      </c>
      <c r="BB15" s="1">
        <f>[1]Results!BE1375</f>
        <v>-3.6374125724455979E-3</v>
      </c>
      <c r="BC15" s="1">
        <f>[1]Results!BF1375</f>
        <v>1.4909450650637188E-3</v>
      </c>
      <c r="BD15" s="1">
        <f>[1]Results!BG1375</f>
        <v>7.0179858722023399E-3</v>
      </c>
      <c r="BE15" s="1">
        <f>[1]Results!BH1375</f>
        <v>1.2911954943280624E-2</v>
      </c>
      <c r="BF15" s="1">
        <f>[1]Results!BI1375</f>
        <v>1.9138570094063296E-2</v>
      </c>
    </row>
    <row r="16" spans="1:58" x14ac:dyDescent="0.35">
      <c r="A16" s="3" t="str">
        <f>[1]Results!E1376</f>
        <v>100*((CH_ccon_2-CH_ccon_0)/GDP_0)</v>
      </c>
      <c r="B16" t="str">
        <f>[1]Results!C1376</f>
        <v>Investissement ménages</v>
      </c>
      <c r="C16" s="1">
        <f>[1]Results!F1376</f>
        <v>-4.2564988073786805E-3</v>
      </c>
      <c r="D16" s="1">
        <f>[1]Results!G1376</f>
        <v>-8.4789589578084159E-3</v>
      </c>
      <c r="E16" s="1">
        <f>[1]Results!H1376</f>
        <v>-1.1785340450745512E-2</v>
      </c>
      <c r="F16" s="1">
        <f>[1]Results!I1376</f>
        <v>-1.4374705684197988E-2</v>
      </c>
      <c r="G16" s="1">
        <f>[1]Results!J1376</f>
        <v>-1.6556176115710898E-2</v>
      </c>
      <c r="H16" s="1">
        <f>[1]Results!K1376</f>
        <v>-1.8513293813353263E-2</v>
      </c>
      <c r="I16" s="1">
        <f>[1]Results!L1376</f>
        <v>-2.0336721644764428E-2</v>
      </c>
      <c r="J16" s="1">
        <f>[1]Results!M1376</f>
        <v>-2.2031721706995296E-2</v>
      </c>
      <c r="K16" s="1">
        <f>[1]Results!N1376</f>
        <v>-2.3589590616620536E-2</v>
      </c>
      <c r="L16" s="1">
        <f>[1]Results!O1376</f>
        <v>-2.5000724576675747E-2</v>
      </c>
      <c r="M16" s="1">
        <f>[1]Results!P1376</f>
        <v>-2.6454811434886639E-2</v>
      </c>
      <c r="N16" s="1">
        <f>[1]Results!Q1376</f>
        <v>-2.7684377203824148E-2</v>
      </c>
      <c r="O16" s="1">
        <f>[1]Results!R1376</f>
        <v>-2.8632914115181429E-2</v>
      </c>
      <c r="P16" s="1">
        <f>[1]Results!S1376</f>
        <v>-2.9336963973521101E-2</v>
      </c>
      <c r="Q16" s="1">
        <f>[1]Results!T1376</f>
        <v>-2.9837464950469537E-2</v>
      </c>
      <c r="R16" s="1">
        <f>[1]Results!U1376</f>
        <v>-3.0168025408360472E-2</v>
      </c>
      <c r="S16" s="1">
        <f>[1]Results!V1376</f>
        <v>-3.0371237863746597E-2</v>
      </c>
      <c r="T16" s="1">
        <f>[1]Results!W1376</f>
        <v>-3.0478380337149693E-2</v>
      </c>
      <c r="U16" s="1">
        <f>[1]Results!X1376</f>
        <v>-3.051533533787814E-2</v>
      </c>
      <c r="V16" s="1">
        <f>[1]Results!Y1376</f>
        <v>-3.0506554808326512E-2</v>
      </c>
      <c r="W16" s="1">
        <f>[1]Results!Z1376</f>
        <v>-3.0485323399512557E-2</v>
      </c>
      <c r="X16" s="1">
        <f>[1]Results!AA1376</f>
        <v>-3.0445711957076241E-2</v>
      </c>
      <c r="Y16" s="1">
        <f>[1]Results!AB1376</f>
        <v>-3.0421738823522393E-2</v>
      </c>
      <c r="Z16" s="1">
        <f>[1]Results!AC1376</f>
        <v>-3.0428122359791979E-2</v>
      </c>
      <c r="AA16" s="1">
        <f>[1]Results!AD1376</f>
        <v>-3.0475090539041134E-2</v>
      </c>
      <c r="AB16" s="1">
        <f>[1]Results!AE1376</f>
        <v>-3.0595540316806929E-2</v>
      </c>
      <c r="AC16" s="1">
        <f>[1]Results!AF1376</f>
        <v>-3.0729534762715581E-2</v>
      </c>
      <c r="AD16" s="1">
        <f>[1]Results!AG1376</f>
        <v>-3.0902992657096666E-2</v>
      </c>
      <c r="AE16" s="1">
        <f>[1]Results!AH1376</f>
        <v>-3.1122511804870658E-2</v>
      </c>
      <c r="AF16" s="1">
        <f>[1]Results!AI1376</f>
        <v>-3.1392422404038084E-2</v>
      </c>
      <c r="AG16" s="1">
        <f>[1]Results!AJ1376</f>
        <v>-3.1713908847499528E-2</v>
      </c>
      <c r="AH16" s="1">
        <f>[1]Results!AK1376</f>
        <v>-3.2082210733616848E-2</v>
      </c>
      <c r="AI16" s="1">
        <f>[1]Results!AL1376</f>
        <v>-3.2494228511966421E-2</v>
      </c>
      <c r="AJ16" s="1">
        <f>[1]Results!AM1376</f>
        <v>-3.2947497301278099E-2</v>
      </c>
      <c r="AK16" s="1">
        <f>[1]Results!AN1376</f>
        <v>-3.3439278598790236E-2</v>
      </c>
      <c r="AL16" s="1">
        <f>[1]Results!AO1376</f>
        <v>-3.3966404425011115E-2</v>
      </c>
      <c r="AM16" s="1">
        <f>[1]Results!AP1376</f>
        <v>-3.4499892692230825E-2</v>
      </c>
      <c r="AN16" s="1">
        <f>[1]Results!AQ1376</f>
        <v>-3.5024921715895455E-2</v>
      </c>
      <c r="AO16" s="1">
        <f>[1]Results!AR1376</f>
        <v>-3.5549955228447269E-2</v>
      </c>
      <c r="AP16" s="1">
        <f>[1]Results!AS1376</f>
        <v>-3.608426841809978E-2</v>
      </c>
      <c r="AQ16" s="1">
        <f>[1]Results!AT1376</f>
        <v>-3.6633000089184881E-2</v>
      </c>
      <c r="AR16" s="1">
        <f>[1]Results!AU1376</f>
        <v>-3.7191976244523098E-2</v>
      </c>
      <c r="AS16" s="1">
        <f>[1]Results!AV1376</f>
        <v>-3.7759359481329566E-2</v>
      </c>
      <c r="AT16" s="1">
        <f>[1]Results!AW1376</f>
        <v>-3.8334443547230188E-2</v>
      </c>
      <c r="AU16" s="1">
        <f>[1]Results!AX1376</f>
        <v>-3.8916623453913148E-2</v>
      </c>
      <c r="AV16" s="1">
        <f>[1]Results!AY1376</f>
        <v>-3.9505264446312478E-2</v>
      </c>
      <c r="AW16" s="1">
        <f>[1]Results!AZ1376</f>
        <v>-4.0082454991615099E-2</v>
      </c>
      <c r="AX16" s="1">
        <f>[1]Results!BA1376</f>
        <v>-4.0649694446134831E-2</v>
      </c>
      <c r="AY16" s="1">
        <f>[1]Results!BB1376</f>
        <v>-4.1214138429311646E-2</v>
      </c>
      <c r="AZ16" s="1">
        <f>[1]Results!BC1376</f>
        <v>-4.1779735301034897E-2</v>
      </c>
      <c r="BA16" s="1">
        <f>[1]Results!BD1376</f>
        <v>-4.2348174835809486E-2</v>
      </c>
      <c r="BB16" s="1">
        <f>[1]Results!BE1376</f>
        <v>-1.3989381314381863E-3</v>
      </c>
      <c r="BC16" s="1">
        <f>[1]Results!BF1376</f>
        <v>-1.4564053653442521E-3</v>
      </c>
      <c r="BD16" s="1">
        <f>[1]Results!BG1376</f>
        <v>-1.5144837212395438E-3</v>
      </c>
      <c r="BE16" s="1">
        <f>[1]Results!BH1376</f>
        <v>-1.5743736762150961E-3</v>
      </c>
      <c r="BF16" s="1">
        <f>[1]Results!BI1376</f>
        <v>-1.6368618378615565E-3</v>
      </c>
    </row>
    <row r="17" spans="1:58" x14ac:dyDescent="0.35">
      <c r="A17" s="3" t="str">
        <f>[1]Results!E1377</f>
        <v>100*((IA_spub_2-IA_spub_0)/GDP_0)</v>
      </c>
      <c r="B17" t="str">
        <f>[1]Results!C1377</f>
        <v>Investissement public</v>
      </c>
      <c r="C17" s="1">
        <f>[1]Results!F1377</f>
        <v>-2.9509897951158189E-3</v>
      </c>
      <c r="D17" s="1">
        <f>[1]Results!G1377</f>
        <v>-4.8310536647043004E-3</v>
      </c>
      <c r="E17" s="1">
        <f>[1]Results!H1377</f>
        <v>-5.8941056633296709E-3</v>
      </c>
      <c r="F17" s="1">
        <f>[1]Results!I1377</f>
        <v>-6.6002867219827057E-3</v>
      </c>
      <c r="G17" s="1">
        <f>[1]Results!J1377</f>
        <v>-7.2472321822132897E-3</v>
      </c>
      <c r="H17" s="1">
        <f>[1]Results!K1377</f>
        <v>-7.9809928145129529E-3</v>
      </c>
      <c r="I17" s="1">
        <f>[1]Results!L1377</f>
        <v>-8.8599847777473782E-3</v>
      </c>
      <c r="J17" s="1">
        <f>[1]Results!M1377</f>
        <v>-9.878176417459127E-3</v>
      </c>
      <c r="K17" s="1">
        <f>[1]Results!N1377</f>
        <v>-1.101536413341906E-2</v>
      </c>
      <c r="L17" s="1">
        <f>[1]Results!O1377</f>
        <v>-1.2248032534870338E-2</v>
      </c>
      <c r="M17" s="1">
        <f>[1]Results!P1377</f>
        <v>-1.3713475872735513E-2</v>
      </c>
      <c r="N17" s="1">
        <f>[1]Results!Q1377</f>
        <v>-1.505021027507863E-2</v>
      </c>
      <c r="O17" s="1">
        <f>[1]Results!R1377</f>
        <v>-1.6342558491145343E-2</v>
      </c>
      <c r="P17" s="1">
        <f>[1]Results!S1377</f>
        <v>-1.7639099115433078E-2</v>
      </c>
      <c r="Q17" s="1">
        <f>[1]Results!T1377</f>
        <v>-1.8941587066808215E-2</v>
      </c>
      <c r="R17" s="1">
        <f>[1]Results!U1377</f>
        <v>-2.0232646562459732E-2</v>
      </c>
      <c r="S17" s="1">
        <f>[1]Results!V1377</f>
        <v>-2.1504212870116248E-2</v>
      </c>
      <c r="T17" s="1">
        <f>[1]Results!W1377</f>
        <v>-2.2736212045445296E-2</v>
      </c>
      <c r="U17" s="1">
        <f>[1]Results!X1377</f>
        <v>-2.3912419382491484E-2</v>
      </c>
      <c r="V17" s="1">
        <f>[1]Results!Y1377</f>
        <v>-2.5021812340993682E-2</v>
      </c>
      <c r="W17" s="1">
        <f>[1]Results!Z1377</f>
        <v>-2.6063829252491399E-2</v>
      </c>
      <c r="X17" s="1">
        <f>[1]Results!AA1377</f>
        <v>-2.701891763870426E-2</v>
      </c>
      <c r="Y17" s="1">
        <f>[1]Results!AB1377</f>
        <v>-2.7896962083799524E-2</v>
      </c>
      <c r="Z17" s="1">
        <f>[1]Results!AC1377</f>
        <v>-2.8698045976915464E-2</v>
      </c>
      <c r="AA17" s="1">
        <f>[1]Results!AD1377</f>
        <v>-2.9423965923022728E-2</v>
      </c>
      <c r="AB17" s="1">
        <f>[1]Results!AE1377</f>
        <v>-3.0095115918085419E-2</v>
      </c>
      <c r="AC17" s="1">
        <f>[1]Results!AF1377</f>
        <v>-3.0672183737427167E-2</v>
      </c>
      <c r="AD17" s="1">
        <f>[1]Results!AG1377</f>
        <v>-3.1180722864260463E-2</v>
      </c>
      <c r="AE17" s="1">
        <f>[1]Results!AH1377</f>
        <v>-3.162833884323657E-2</v>
      </c>
      <c r="AF17" s="1">
        <f>[1]Results!AI1377</f>
        <v>-3.2023373343505523E-2</v>
      </c>
      <c r="AG17" s="1">
        <f>[1]Results!AJ1377</f>
        <v>-3.237376174745657E-2</v>
      </c>
      <c r="AH17" s="1">
        <f>[1]Results!AK1377</f>
        <v>-3.2683560654036103E-2</v>
      </c>
      <c r="AI17" s="1">
        <f>[1]Results!AL1377</f>
        <v>-3.2960154972319473E-2</v>
      </c>
      <c r="AJ17" s="1">
        <f>[1]Results!AM1377</f>
        <v>-3.3210919075238779E-2</v>
      </c>
      <c r="AK17" s="1">
        <f>[1]Results!AN1377</f>
        <v>-3.3442613579437362E-2</v>
      </c>
      <c r="AL17" s="1">
        <f>[1]Results!AO1377</f>
        <v>-3.3661251673872225E-2</v>
      </c>
      <c r="AM17" s="1">
        <f>[1]Results!AP1377</f>
        <v>-3.3846979147491171E-2</v>
      </c>
      <c r="AN17" s="1">
        <f>[1]Results!AQ1377</f>
        <v>-3.4003998574783666E-2</v>
      </c>
      <c r="AO17" s="1">
        <f>[1]Results!AR1377</f>
        <v>-3.4147817459940159E-2</v>
      </c>
      <c r="AP17" s="1">
        <f>[1]Results!AS1377</f>
        <v>-3.4290689117905254E-2</v>
      </c>
      <c r="AQ17" s="1">
        <f>[1]Results!AT1377</f>
        <v>-3.444067320022387E-2</v>
      </c>
      <c r="AR17" s="1">
        <f>[1]Results!AU1377</f>
        <v>-3.4597455091867069E-2</v>
      </c>
      <c r="AS17" s="1">
        <f>[1]Results!AV1377</f>
        <v>-3.4763939149793636E-2</v>
      </c>
      <c r="AT17" s="1">
        <f>[1]Results!AW1377</f>
        <v>-3.4942323263351428E-2</v>
      </c>
      <c r="AU17" s="1">
        <f>[1]Results!AX1377</f>
        <v>-3.5133718788818852E-2</v>
      </c>
      <c r="AV17" s="1">
        <f>[1]Results!AY1377</f>
        <v>-3.5338332123380979E-2</v>
      </c>
      <c r="AW17" s="1">
        <f>[1]Results!AZ1377</f>
        <v>-3.5539230780462394E-2</v>
      </c>
      <c r="AX17" s="1">
        <f>[1]Results!BA1377</f>
        <v>-3.5739716512766702E-2</v>
      </c>
      <c r="AY17" s="1">
        <f>[1]Results!BB1377</f>
        <v>-3.5945010105475801E-2</v>
      </c>
      <c r="AZ17" s="1">
        <f>[1]Results!BC1377</f>
        <v>-3.6158683564112809E-2</v>
      </c>
      <c r="BA17" s="1">
        <f>[1]Results!BD1377</f>
        <v>-3.6382179397447485E-2</v>
      </c>
      <c r="BB17" s="1">
        <f>[1]Results!BE1377</f>
        <v>-8.8382385850016597E-4</v>
      </c>
      <c r="BC17" s="1">
        <f>[1]Results!BF1377</f>
        <v>-7.614494769360836E-4</v>
      </c>
      <c r="BD17" s="1">
        <f>[1]Results!BG1377</f>
        <v>-6.3055022354030314E-4</v>
      </c>
      <c r="BE17" s="1">
        <f>[1]Results!BH1377</f>
        <v>-4.9275231527942524E-4</v>
      </c>
      <c r="BF17" s="1">
        <f>[1]Results!BI1377</f>
        <v>-3.4939096970396073E-4</v>
      </c>
    </row>
    <row r="18" spans="1:58" x14ac:dyDescent="0.35">
      <c r="A18" s="3" t="str">
        <f>[1]Results!E1378</f>
        <v>100*(CH_2/CH_0-1)</v>
      </c>
      <c r="B18" t="str">
        <f>[1]Results!C1378</f>
        <v>Consommation des ménages</v>
      </c>
      <c r="C18" s="1">
        <f>[1]Results!F1378</f>
        <v>-0.47715759989498396</v>
      </c>
      <c r="D18" s="1">
        <f>[1]Results!G1378</f>
        <v>-1.0422660407104156</v>
      </c>
      <c r="E18" s="1">
        <f>[1]Results!H1378</f>
        <v>-1.5647346627913006</v>
      </c>
      <c r="F18" s="1">
        <f>[1]Results!I1378</f>
        <v>-2.0148661227611053</v>
      </c>
      <c r="G18" s="1">
        <f>[1]Results!J1378</f>
        <v>-2.3942642362072997</v>
      </c>
      <c r="H18" s="1">
        <f>[1]Results!K1378</f>
        <v>-2.7124052037153734</v>
      </c>
      <c r="I18" s="1">
        <f>[1]Results!L1378</f>
        <v>-2.9807546052346368</v>
      </c>
      <c r="J18" s="1">
        <f>[1]Results!M1378</f>
        <v>-3.2081077545878078</v>
      </c>
      <c r="K18" s="1">
        <f>[1]Results!N1378</f>
        <v>-3.4022409988403446</v>
      </c>
      <c r="L18" s="1">
        <f>[1]Results!O1378</f>
        <v>-3.5699133401360772</v>
      </c>
      <c r="M18" s="1">
        <f>[1]Results!P1378</f>
        <v>-3.7453685337526244</v>
      </c>
      <c r="N18" s="1">
        <f>[1]Results!Q1378</f>
        <v>-3.8920548695111079</v>
      </c>
      <c r="O18" s="1">
        <f>[1]Results!R1378</f>
        <v>-4.0015835366038814</v>
      </c>
      <c r="P18" s="1">
        <f>[1]Results!S1378</f>
        <v>-4.0759862692612892</v>
      </c>
      <c r="Q18" s="1">
        <f>[1]Results!T1378</f>
        <v>-4.1203501706712498</v>
      </c>
      <c r="R18" s="1">
        <f>[1]Results!U1378</f>
        <v>-4.1405166224989687</v>
      </c>
      <c r="S18" s="1">
        <f>[1]Results!V1378</f>
        <v>-4.1440166868508932</v>
      </c>
      <c r="T18" s="1">
        <f>[1]Results!W1378</f>
        <v>-4.1363633266145001</v>
      </c>
      <c r="U18" s="1">
        <f>[1]Results!X1378</f>
        <v>-4.1219416095790828</v>
      </c>
      <c r="V18" s="1">
        <f>[1]Results!Y1378</f>
        <v>-4.1043457037175379</v>
      </c>
      <c r="W18" s="1">
        <f>[1]Results!Z1378</f>
        <v>-4.0869536815169472</v>
      </c>
      <c r="X18" s="1">
        <f>[1]Results!AA1378</f>
        <v>-4.0709492909492662</v>
      </c>
      <c r="Y18" s="1">
        <f>[1]Results!AB1378</f>
        <v>-4.0584174620906914</v>
      </c>
      <c r="Z18" s="1">
        <f>[1]Results!AC1378</f>
        <v>-4.0507403619873816</v>
      </c>
      <c r="AA18" s="1">
        <f>[1]Results!AD1378</f>
        <v>-4.0487738929734558</v>
      </c>
      <c r="AB18" s="1">
        <f>[1]Results!AE1378</f>
        <v>-4.0541648105572374</v>
      </c>
      <c r="AC18" s="1">
        <f>[1]Results!AF1378</f>
        <v>-4.0640896241938336</v>
      </c>
      <c r="AD18" s="1">
        <f>[1]Results!AG1378</f>
        <v>-4.0788269158455792</v>
      </c>
      <c r="AE18" s="1">
        <f>[1]Results!AH1378</f>
        <v>-4.0987002751596835</v>
      </c>
      <c r="AF18" s="1">
        <f>[1]Results!AI1378</f>
        <v>-4.1238394610992319</v>
      </c>
      <c r="AG18" s="1">
        <f>[1]Results!AJ1378</f>
        <v>-4.1541645397162874</v>
      </c>
      <c r="AH18" s="1">
        <f>[1]Results!AK1378</f>
        <v>-4.1890158888346907</v>
      </c>
      <c r="AI18" s="1">
        <f>[1]Results!AL1378</f>
        <v>-4.228062193708249</v>
      </c>
      <c r="AJ18" s="1">
        <f>[1]Results!AM1378</f>
        <v>-4.2710522745947666</v>
      </c>
      <c r="AK18" s="1">
        <f>[1]Results!AN1378</f>
        <v>-4.3177209158549834</v>
      </c>
      <c r="AL18" s="1">
        <f>[1]Results!AO1378</f>
        <v>-4.3677750549190097</v>
      </c>
      <c r="AM18" s="1">
        <f>[1]Results!AP1378</f>
        <v>-4.4172869731474718</v>
      </c>
      <c r="AN18" s="1">
        <f>[1]Results!AQ1378</f>
        <v>-4.4655219515420619</v>
      </c>
      <c r="AO18" s="1">
        <f>[1]Results!AR1378</f>
        <v>-4.5130942592638164</v>
      </c>
      <c r="AP18" s="1">
        <f>[1]Results!AS1378</f>
        <v>-4.5607485243181696</v>
      </c>
      <c r="AQ18" s="1">
        <f>[1]Results!AT1378</f>
        <v>-4.6090080594559657</v>
      </c>
      <c r="AR18" s="1">
        <f>[1]Results!AU1378</f>
        <v>-4.6575593016401466</v>
      </c>
      <c r="AS18" s="1">
        <f>[1]Results!AV1378</f>
        <v>-4.7065618670624527</v>
      </c>
      <c r="AT18" s="1">
        <f>[1]Results!AW1378</f>
        <v>-4.7562930692828349</v>
      </c>
      <c r="AU18" s="1">
        <f>[1]Results!AX1378</f>
        <v>-4.8070076754580304</v>
      </c>
      <c r="AV18" s="1">
        <f>[1]Results!AY1378</f>
        <v>-4.8589074732268696</v>
      </c>
      <c r="AW18" s="1">
        <f>[1]Results!AZ1378</f>
        <v>-4.910051287899253</v>
      </c>
      <c r="AX18" s="1">
        <f>[1]Results!BA1378</f>
        <v>-4.9605745593935824</v>
      </c>
      <c r="AY18" s="1">
        <f>[1]Results!BB1378</f>
        <v>-5.0111679835244676</v>
      </c>
      <c r="AZ18" s="1">
        <f>[1]Results!BC1378</f>
        <v>-5.0624533219535639</v>
      </c>
      <c r="BA18" s="1">
        <f>[1]Results!BD1378</f>
        <v>-5.1148383596207214</v>
      </c>
      <c r="BB18" s="1">
        <f>[1]Results!BE1378</f>
        <v>4.7232767887850358E-2</v>
      </c>
      <c r="BC18" s="1">
        <f>[1]Results!BF1378</f>
        <v>5.1108035496394422E-2</v>
      </c>
      <c r="BD18" s="1">
        <f>[1]Results!BG1378</f>
        <v>5.4834125176528303E-2</v>
      </c>
      <c r="BE18" s="1">
        <f>[1]Results!BH1378</f>
        <v>5.8312033652341277E-2</v>
      </c>
      <c r="BF18" s="1">
        <f>[1]Results!BI1378</f>
        <v>6.1481245551497921E-2</v>
      </c>
    </row>
    <row r="19" spans="1:58" x14ac:dyDescent="0.35">
      <c r="A19" s="3" t="str">
        <f>[1]Results!E1379</f>
        <v>100*(CH_cveh_2/CH_cveh_0-1)</v>
      </c>
      <c r="B19" t="str">
        <f>[1]Results!C1379</f>
        <v>Consommation des ménages automobile</v>
      </c>
      <c r="C19" s="1">
        <f>[1]Results!F1379</f>
        <v>-7.9560849392756872E-3</v>
      </c>
      <c r="D19" s="1">
        <f>[1]Results!G1379</f>
        <v>-0.68261134746305796</v>
      </c>
      <c r="E19" s="1">
        <f>[1]Results!H1379</f>
        <v>-1.4017423992506384</v>
      </c>
      <c r="F19" s="1">
        <f>[1]Results!I1379</f>
        <v>-1.9500833847166277</v>
      </c>
      <c r="G19" s="1">
        <f>[1]Results!J1379</f>
        <v>-2.3167489182352563</v>
      </c>
      <c r="H19" s="1">
        <f>[1]Results!K1379</f>
        <v>-2.5403296424190258</v>
      </c>
      <c r="I19" s="1">
        <f>[1]Results!L1379</f>
        <v>-2.6662235921870225</v>
      </c>
      <c r="J19" s="1">
        <f>[1]Results!M1379</f>
        <v>-2.7280669677257174</v>
      </c>
      <c r="K19" s="1">
        <f>[1]Results!N1379</f>
        <v>-2.7511652412669618</v>
      </c>
      <c r="L19" s="1">
        <f>[1]Results!O1379</f>
        <v>-2.7532136435527765</v>
      </c>
      <c r="M19" s="1">
        <f>[1]Results!P1379</f>
        <v>-2.8008088949622256</v>
      </c>
      <c r="N19" s="1">
        <f>[1]Results!Q1379</f>
        <v>-2.8050231840572315</v>
      </c>
      <c r="O19" s="1">
        <f>[1]Results!R1379</f>
        <v>-2.7611071572650858</v>
      </c>
      <c r="P19" s="1">
        <f>[1]Results!S1379</f>
        <v>-2.681986345040055</v>
      </c>
      <c r="Q19" s="1">
        <f>[1]Results!T1379</f>
        <v>-2.5809262464110305</v>
      </c>
      <c r="R19" s="1">
        <f>[1]Results!U1379</f>
        <v>-2.4689254487817447</v>
      </c>
      <c r="S19" s="1">
        <f>[1]Results!V1379</f>
        <v>-2.3572370096069495</v>
      </c>
      <c r="T19" s="1">
        <f>[1]Results!W1379</f>
        <v>-2.2520487941879441</v>
      </c>
      <c r="U19" s="1">
        <f>[1]Results!X1379</f>
        <v>-2.1566888471080015</v>
      </c>
      <c r="V19" s="1">
        <f>[1]Results!Y1379</f>
        <v>-2.0730260413012291</v>
      </c>
      <c r="W19" s="1">
        <f>[1]Results!Z1379</f>
        <v>-2.0027229658250212</v>
      </c>
      <c r="X19" s="1">
        <f>[1]Results!AA1379</f>
        <v>-1.9436539363306249</v>
      </c>
      <c r="Y19" s="1">
        <f>[1]Results!AB1379</f>
        <v>-1.8965169659219128</v>
      </c>
      <c r="Z19" s="1">
        <f>[1]Results!AC1379</f>
        <v>-1.8608054160844878</v>
      </c>
      <c r="AA19" s="1">
        <f>[1]Results!AD1379</f>
        <v>-1.8354880187520628</v>
      </c>
      <c r="AB19" s="1">
        <f>[1]Results!AE1379</f>
        <v>-1.8214909825913339</v>
      </c>
      <c r="AC19" s="1">
        <f>[1]Results!AF1379</f>
        <v>-1.8115987055015159</v>
      </c>
      <c r="AD19" s="1">
        <f>[1]Results!AG1379</f>
        <v>-1.8064874518343155</v>
      </c>
      <c r="AE19" s="1">
        <f>[1]Results!AH1379</f>
        <v>-1.8065146766413687</v>
      </c>
      <c r="AF19" s="1">
        <f>[1]Results!AI1379</f>
        <v>-1.8113855147287472</v>
      </c>
      <c r="AG19" s="1">
        <f>[1]Results!AJ1379</f>
        <v>-1.8203759330897129</v>
      </c>
      <c r="AH19" s="1">
        <f>[1]Results!AK1379</f>
        <v>-1.8319608501437656</v>
      </c>
      <c r="AI19" s="1">
        <f>[1]Results!AL1379</f>
        <v>-1.8453779257098457</v>
      </c>
      <c r="AJ19" s="1">
        <f>[1]Results!AM1379</f>
        <v>-1.8601530705205427</v>
      </c>
      <c r="AK19" s="1">
        <f>[1]Results!AN1379</f>
        <v>-1.8757913246298386</v>
      </c>
      <c r="AL19" s="1">
        <f>[1]Results!AO1379</f>
        <v>-1.8917582512609554</v>
      </c>
      <c r="AM19" s="1">
        <f>[1]Results!AP1379</f>
        <v>-1.9022925948107505</v>
      </c>
      <c r="AN19" s="1">
        <f>[1]Results!AQ1379</f>
        <v>-1.9070225450860123</v>
      </c>
      <c r="AO19" s="1">
        <f>[1]Results!AR1379</f>
        <v>-1.9083166402923957</v>
      </c>
      <c r="AP19" s="1">
        <f>[1]Results!AS1379</f>
        <v>-1.9077702672716024</v>
      </c>
      <c r="AQ19" s="1">
        <f>[1]Results!AT1379</f>
        <v>-1.9058859852890131</v>
      </c>
      <c r="AR19" s="1">
        <f>[1]Results!AU1379</f>
        <v>-1.9016346311294341</v>
      </c>
      <c r="AS19" s="1">
        <f>[1]Results!AV1379</f>
        <v>-1.8948889851350903</v>
      </c>
      <c r="AT19" s="1">
        <f>[1]Results!AW1379</f>
        <v>-1.8858543427973995</v>
      </c>
      <c r="AU19" s="1">
        <f>[1]Results!AX1379</f>
        <v>-1.8746313025834849</v>
      </c>
      <c r="AV19" s="1">
        <f>[1]Results!AY1379</f>
        <v>-1.8611788600187085</v>
      </c>
      <c r="AW19" s="1">
        <f>[1]Results!AZ1379</f>
        <v>-1.8422347429685404</v>
      </c>
      <c r="AX19" s="1">
        <f>[1]Results!BA1379</f>
        <v>-1.8182805277365155</v>
      </c>
      <c r="AY19" s="1">
        <f>[1]Results!BB1379</f>
        <v>-1.7907375474768172</v>
      </c>
      <c r="AZ19" s="1">
        <f>[1]Results!BC1379</f>
        <v>-1.7602871969386036</v>
      </c>
      <c r="BA19" s="1">
        <f>[1]Results!BD1379</f>
        <v>-1.7268786118516566</v>
      </c>
      <c r="BB19" s="1">
        <f>[1]Results!BE1379</f>
        <v>0.26267238400008441</v>
      </c>
      <c r="BC19" s="1">
        <f>[1]Results!BF1379</f>
        <v>0.27538704170322337</v>
      </c>
      <c r="BD19" s="1">
        <f>[1]Results!BG1379</f>
        <v>0.28836276144614814</v>
      </c>
      <c r="BE19" s="1">
        <f>[1]Results!BH1379</f>
        <v>0.30153980159357552</v>
      </c>
      <c r="BF19" s="1">
        <f>[1]Results!BI1379</f>
        <v>0.31496987515489128</v>
      </c>
    </row>
    <row r="20" spans="1:58" x14ac:dyDescent="0.35">
      <c r="A20" s="3" t="str">
        <f>[1]Results!E1380</f>
        <v>100*(G_2/G_0-1)</v>
      </c>
      <c r="B20" t="str">
        <f>[1]Results!C1380</f>
        <v>Dépenses publiques</v>
      </c>
      <c r="C20" s="1">
        <f>[1]Results!F1380</f>
        <v>0</v>
      </c>
      <c r="D20" s="1">
        <f>[1]Results!G1380</f>
        <v>0</v>
      </c>
      <c r="E20" s="1">
        <f>[1]Results!H1380</f>
        <v>0</v>
      </c>
      <c r="F20" s="1">
        <f>[1]Results!I1380</f>
        <v>0</v>
      </c>
      <c r="G20" s="1">
        <f>[1]Results!J1380</f>
        <v>0</v>
      </c>
      <c r="H20" s="1">
        <f>[1]Results!K1380</f>
        <v>0</v>
      </c>
      <c r="I20" s="1">
        <f>[1]Results!L1380</f>
        <v>0</v>
      </c>
      <c r="J20" s="1">
        <f>[1]Results!M1380</f>
        <v>0</v>
      </c>
      <c r="K20" s="1">
        <f>[1]Results!N1380</f>
        <v>0</v>
      </c>
      <c r="L20" s="1">
        <f>[1]Results!O1380</f>
        <v>0</v>
      </c>
      <c r="M20" s="1">
        <f>[1]Results!P1380</f>
        <v>0</v>
      </c>
      <c r="N20" s="1">
        <f>[1]Results!Q1380</f>
        <v>0</v>
      </c>
      <c r="O20" s="1">
        <f>[1]Results!R1380</f>
        <v>0</v>
      </c>
      <c r="P20" s="1">
        <f>[1]Results!S1380</f>
        <v>0</v>
      </c>
      <c r="Q20" s="1">
        <f>[1]Results!T1380</f>
        <v>0</v>
      </c>
      <c r="R20" s="1">
        <f>[1]Results!U1380</f>
        <v>0</v>
      </c>
      <c r="S20" s="1">
        <f>[1]Results!V1380</f>
        <v>0</v>
      </c>
      <c r="T20" s="1">
        <f>[1]Results!W1380</f>
        <v>0</v>
      </c>
      <c r="U20" s="1">
        <f>[1]Results!X1380</f>
        <v>0</v>
      </c>
      <c r="V20" s="1">
        <f>[1]Results!Y1380</f>
        <v>0</v>
      </c>
      <c r="W20" s="1">
        <f>[1]Results!Z1380</f>
        <v>0</v>
      </c>
      <c r="X20" s="1">
        <f>[1]Results!AA1380</f>
        <v>0</v>
      </c>
      <c r="Y20" s="1">
        <f>[1]Results!AB1380</f>
        <v>0</v>
      </c>
      <c r="Z20" s="1">
        <f>[1]Results!AC1380</f>
        <v>0</v>
      </c>
      <c r="AA20" s="1">
        <f>[1]Results!AD1380</f>
        <v>0</v>
      </c>
      <c r="AB20" s="1">
        <f>[1]Results!AE1380</f>
        <v>0</v>
      </c>
      <c r="AC20" s="1">
        <f>[1]Results!AF1380</f>
        <v>0</v>
      </c>
      <c r="AD20" s="1">
        <f>[1]Results!AG1380</f>
        <v>0</v>
      </c>
      <c r="AE20" s="1">
        <f>[1]Results!AH1380</f>
        <v>0</v>
      </c>
      <c r="AF20" s="1">
        <f>[1]Results!AI1380</f>
        <v>0</v>
      </c>
      <c r="AG20" s="1">
        <f>[1]Results!AJ1380</f>
        <v>0</v>
      </c>
      <c r="AH20" s="1">
        <f>[1]Results!AK1380</f>
        <v>0</v>
      </c>
      <c r="AI20" s="1">
        <f>[1]Results!AL1380</f>
        <v>0</v>
      </c>
      <c r="AJ20" s="1">
        <f>[1]Results!AM1380</f>
        <v>0</v>
      </c>
      <c r="AK20" s="1">
        <f>[1]Results!AN1380</f>
        <v>0</v>
      </c>
      <c r="AL20" s="1">
        <f>[1]Results!AO1380</f>
        <v>0</v>
      </c>
      <c r="AM20" s="1">
        <f>[1]Results!AP1380</f>
        <v>0</v>
      </c>
      <c r="AN20" s="1">
        <f>[1]Results!AQ1380</f>
        <v>0</v>
      </c>
      <c r="AO20" s="1">
        <f>[1]Results!AR1380</f>
        <v>0</v>
      </c>
      <c r="AP20" s="1">
        <f>[1]Results!AS1380</f>
        <v>0</v>
      </c>
      <c r="AQ20" s="1">
        <f>[1]Results!AT1380</f>
        <v>0</v>
      </c>
      <c r="AR20" s="1">
        <f>[1]Results!AU1380</f>
        <v>0</v>
      </c>
      <c r="AS20" s="1">
        <f>[1]Results!AV1380</f>
        <v>0</v>
      </c>
      <c r="AT20" s="1">
        <f>[1]Results!AW1380</f>
        <v>0</v>
      </c>
      <c r="AU20" s="1">
        <f>[1]Results!AX1380</f>
        <v>0</v>
      </c>
      <c r="AV20" s="1">
        <f>[1]Results!AY1380</f>
        <v>0</v>
      </c>
      <c r="AW20" s="1">
        <f>[1]Results!AZ1380</f>
        <v>0</v>
      </c>
      <c r="AX20" s="1">
        <f>[1]Results!BA1380</f>
        <v>0</v>
      </c>
      <c r="AY20" s="1">
        <f>[1]Results!BB1380</f>
        <v>0</v>
      </c>
      <c r="AZ20" s="1">
        <f>[1]Results!BC1380</f>
        <v>0</v>
      </c>
      <c r="BA20" s="1">
        <f>[1]Results!BD1380</f>
        <v>0</v>
      </c>
      <c r="BB20" s="1">
        <f>[1]Results!BE1380</f>
        <v>0</v>
      </c>
      <c r="BC20" s="1">
        <f>[1]Results!BF1380</f>
        <v>0</v>
      </c>
      <c r="BD20" s="1">
        <f>[1]Results!BG1380</f>
        <v>0</v>
      </c>
      <c r="BE20" s="1">
        <f>[1]Results!BH1380</f>
        <v>0</v>
      </c>
      <c r="BF20" s="1">
        <f>[1]Results!BI1380</f>
        <v>0</v>
      </c>
    </row>
    <row r="21" spans="1:58" x14ac:dyDescent="0.35">
      <c r="A21" s="3" t="str">
        <f>[1]Results!E1381</f>
        <v>100*(I_2/I_0-1)</v>
      </c>
      <c r="B21" t="str">
        <f>[1]Results!C1381</f>
        <v>Investissement</v>
      </c>
      <c r="C21" s="1">
        <f>[1]Results!F1381</f>
        <v>-0.96357995390724538</v>
      </c>
      <c r="D21" s="1">
        <f>[1]Results!G1381</f>
        <v>-1.6253693953199977</v>
      </c>
      <c r="E21" s="1">
        <f>[1]Results!H1381</f>
        <v>-2.1165218674352504</v>
      </c>
      <c r="F21" s="1">
        <f>[1]Results!I1381</f>
        <v>-2.5216140949151145</v>
      </c>
      <c r="G21" s="1">
        <f>[1]Results!J1381</f>
        <v>-2.8824879608132181</v>
      </c>
      <c r="H21" s="1">
        <f>[1]Results!K1381</f>
        <v>-3.2202463408982585</v>
      </c>
      <c r="I21" s="1">
        <f>[1]Results!L1381</f>
        <v>-3.5470674886206033</v>
      </c>
      <c r="J21" s="1">
        <f>[1]Results!M1381</f>
        <v>-3.8677437724950248</v>
      </c>
      <c r="K21" s="1">
        <f>[1]Results!N1381</f>
        <v>-4.1844903868996308</v>
      </c>
      <c r="L21" s="1">
        <f>[1]Results!O1381</f>
        <v>-4.4983863758569553</v>
      </c>
      <c r="M21" s="1">
        <f>[1]Results!P1381</f>
        <v>-4.8752962000263249</v>
      </c>
      <c r="N21" s="1">
        <f>[1]Results!Q1381</f>
        <v>-5.18168057563887</v>
      </c>
      <c r="O21" s="1">
        <f>[1]Results!R1381</f>
        <v>-5.4488446606256176</v>
      </c>
      <c r="P21" s="1">
        <f>[1]Results!S1381</f>
        <v>-5.6940351885367058</v>
      </c>
      <c r="Q21" s="1">
        <f>[1]Results!T1381</f>
        <v>-5.9246950587140574</v>
      </c>
      <c r="R21" s="1">
        <f>[1]Results!U1381</f>
        <v>-6.1439268219539596</v>
      </c>
      <c r="S21" s="1">
        <f>[1]Results!V1381</f>
        <v>-6.3561515506416093</v>
      </c>
      <c r="T21" s="1">
        <f>[1]Results!W1381</f>
        <v>-6.561056942555421</v>
      </c>
      <c r="U21" s="1">
        <f>[1]Results!X1381</f>
        <v>-6.7585254259177603</v>
      </c>
      <c r="V21" s="1">
        <f>[1]Results!Y1381</f>
        <v>-6.9486151385575674</v>
      </c>
      <c r="W21" s="1">
        <f>[1]Results!Z1381</f>
        <v>-7.1316359754677983</v>
      </c>
      <c r="X21" s="1">
        <f>[1]Results!AA1381</f>
        <v>-7.3074149243761095</v>
      </c>
      <c r="Y21" s="1">
        <f>[1]Results!AB1381</f>
        <v>-7.4760832441576834</v>
      </c>
      <c r="Z21" s="1">
        <f>[1]Results!AC1381</f>
        <v>-7.6378037199213438</v>
      </c>
      <c r="AA21" s="1">
        <f>[1]Results!AD1381</f>
        <v>-7.7926850454158592</v>
      </c>
      <c r="AB21" s="1">
        <f>[1]Results!AE1381</f>
        <v>-7.941221505675844</v>
      </c>
      <c r="AC21" s="1">
        <f>[1]Results!AF1381</f>
        <v>-8.0815916592065111</v>
      </c>
      <c r="AD21" s="1">
        <f>[1]Results!AG1381</f>
        <v>-8.2141287811601789</v>
      </c>
      <c r="AE21" s="1">
        <f>[1]Results!AH1381</f>
        <v>-8.3391926428693086</v>
      </c>
      <c r="AF21" s="1">
        <f>[1]Results!AI1381</f>
        <v>-8.4571098601624044</v>
      </c>
      <c r="AG21" s="1">
        <f>[1]Results!AJ1381</f>
        <v>-8.5681682119749922</v>
      </c>
      <c r="AH21" s="1">
        <f>[1]Results!AK1381</f>
        <v>-8.671897003005169</v>
      </c>
      <c r="AI21" s="1">
        <f>[1]Results!AL1381</f>
        <v>-8.7687739740552217</v>
      </c>
      <c r="AJ21" s="1">
        <f>[1]Results!AM1381</f>
        <v>-8.8592079601712665</v>
      </c>
      <c r="AK21" s="1">
        <f>[1]Results!AN1381</f>
        <v>-8.9435749293507172</v>
      </c>
      <c r="AL21" s="1">
        <f>[1]Results!AO1381</f>
        <v>-9.0222416277301107</v>
      </c>
      <c r="AM21" s="1">
        <f>[1]Results!AP1381</f>
        <v>-9.0891605152171309</v>
      </c>
      <c r="AN21" s="1">
        <f>[1]Results!AQ1381</f>
        <v>-9.1467421553627517</v>
      </c>
      <c r="AO21" s="1">
        <f>[1]Results!AR1381</f>
        <v>-9.1967193304159363</v>
      </c>
      <c r="AP21" s="1">
        <f>[1]Results!AS1381</f>
        <v>-9.240406953344305</v>
      </c>
      <c r="AQ21" s="1">
        <f>[1]Results!AT1381</f>
        <v>-9.2788464169005209</v>
      </c>
      <c r="AR21" s="1">
        <f>[1]Results!AU1381</f>
        <v>-9.3118261610742774</v>
      </c>
      <c r="AS21" s="1">
        <f>[1]Results!AV1381</f>
        <v>-9.3403232702818695</v>
      </c>
      <c r="AT21" s="1">
        <f>[1]Results!AW1381</f>
        <v>-9.3651173145687707</v>
      </c>
      <c r="AU21" s="1">
        <f>[1]Results!AX1381</f>
        <v>-9.3868607665051123</v>
      </c>
      <c r="AV21" s="1">
        <f>[1]Results!AY1381</f>
        <v>-9.4061284877186786</v>
      </c>
      <c r="AW21" s="1">
        <f>[1]Results!AZ1381</f>
        <v>-9.4199508213438818</v>
      </c>
      <c r="AX21" s="1">
        <f>[1]Results!BA1381</f>
        <v>-9.4298690991985517</v>
      </c>
      <c r="AY21" s="1">
        <f>[1]Results!BB1381</f>
        <v>-9.4371123514713879</v>
      </c>
      <c r="AZ21" s="1">
        <f>[1]Results!BC1381</f>
        <v>-9.4426322907991906</v>
      </c>
      <c r="BA21" s="1">
        <f>[1]Results!BD1381</f>
        <v>-9.4471818889643835</v>
      </c>
      <c r="BB21" s="1">
        <f>[1]Results!BE1381</f>
        <v>-1.8968324761670097E-2</v>
      </c>
      <c r="BC21" s="1">
        <f>[1]Results!BF1381</f>
        <v>3.056175197979627E-3</v>
      </c>
      <c r="BD21" s="1">
        <f>[1]Results!BG1381</f>
        <v>2.6725331404020558E-2</v>
      </c>
      <c r="BE21" s="1">
        <f>[1]Results!BH1381</f>
        <v>5.1902589871888338E-2</v>
      </c>
      <c r="BF21" s="1">
        <f>[1]Results!BI1381</f>
        <v>7.8444032673608E-2</v>
      </c>
    </row>
    <row r="22" spans="1:58" x14ac:dyDescent="0.35">
      <c r="A22" s="3" t="str">
        <f>[1]Results!E1382</f>
        <v>100*((I_2-IA_spub_2)/(I_0-IA_spub_0)-1)</v>
      </c>
      <c r="B22" t="str">
        <f>[1]Results!C1382</f>
        <v>Investissement entreprises</v>
      </c>
      <c r="C22" s="1">
        <f>[1]Results!F1382</f>
        <v>-1.036541047788464</v>
      </c>
      <c r="D22" s="1">
        <f>[1]Results!G1382</f>
        <v>-1.7494072456975207</v>
      </c>
      <c r="E22" s="1">
        <f>[1]Results!H1382</f>
        <v>-2.2803726763127696</v>
      </c>
      <c r="F22" s="1">
        <f>[1]Results!I1382</f>
        <v>-2.7192869382147933</v>
      </c>
      <c r="G22" s="1">
        <f>[1]Results!J1382</f>
        <v>-3.1102335999156017</v>
      </c>
      <c r="H22" s="1">
        <f>[1]Results!K1382</f>
        <v>-3.4754661044280932</v>
      </c>
      <c r="I22" s="1">
        <f>[1]Results!L1382</f>
        <v>-3.8278995212550959</v>
      </c>
      <c r="J22" s="1">
        <f>[1]Results!M1382</f>
        <v>-4.1728374879245305</v>
      </c>
      <c r="K22" s="1">
        <f>[1]Results!N1382</f>
        <v>-4.5128167684405867</v>
      </c>
      <c r="L22" s="1">
        <f>[1]Results!O1382</f>
        <v>-4.8491361199059728</v>
      </c>
      <c r="M22" s="1">
        <f>[1]Results!P1382</f>
        <v>-5.2531327730203303</v>
      </c>
      <c r="N22" s="1">
        <f>[1]Results!Q1382</f>
        <v>-5.5805799658833148</v>
      </c>
      <c r="O22" s="1">
        <f>[1]Results!R1382</f>
        <v>-5.8653222513646019</v>
      </c>
      <c r="P22" s="1">
        <f>[1]Results!S1382</f>
        <v>-6.1259995318658778</v>
      </c>
      <c r="Q22" s="1">
        <f>[1]Results!T1382</f>
        <v>-6.3707498645392491</v>
      </c>
      <c r="R22" s="1">
        <f>[1]Results!U1382</f>
        <v>-6.6030575170254675</v>
      </c>
      <c r="S22" s="1">
        <f>[1]Results!V1382</f>
        <v>-6.8277932865618896</v>
      </c>
      <c r="T22" s="1">
        <f>[1]Results!W1382</f>
        <v>-7.0447197837047337</v>
      </c>
      <c r="U22" s="1">
        <f>[1]Results!X1382</f>
        <v>-7.2537911326137845</v>
      </c>
      <c r="V22" s="1">
        <f>[1]Results!Y1382</f>
        <v>-7.4551259496079219</v>
      </c>
      <c r="W22" s="1">
        <f>[1]Results!Z1382</f>
        <v>-7.6489528621221599</v>
      </c>
      <c r="X22" s="1">
        <f>[1]Results!AA1382</f>
        <v>-7.8354125676894366</v>
      </c>
      <c r="Y22" s="1">
        <f>[1]Results!AB1382</f>
        <v>-8.014524141995949</v>
      </c>
      <c r="Z22" s="1">
        <f>[1]Results!AC1382</f>
        <v>-8.1864197055926731</v>
      </c>
      <c r="AA22" s="1">
        <f>[1]Results!AD1382</f>
        <v>-8.351197168744239</v>
      </c>
      <c r="AB22" s="1">
        <f>[1]Results!AE1382</f>
        <v>-8.5089617200356127</v>
      </c>
      <c r="AC22" s="1">
        <f>[1]Results!AF1382</f>
        <v>-8.6584563339692</v>
      </c>
      <c r="AD22" s="1">
        <f>[1]Results!AG1382</f>
        <v>-8.7998725031885776</v>
      </c>
      <c r="AE22" s="1">
        <f>[1]Results!AH1382</f>
        <v>-8.9335041566008915</v>
      </c>
      <c r="AF22" s="1">
        <f>[1]Results!AI1382</f>
        <v>-9.0596428137766907</v>
      </c>
      <c r="AG22" s="1">
        <f>[1]Results!AJ1382</f>
        <v>-9.1785528869145807</v>
      </c>
      <c r="AH22" s="1">
        <f>[1]Results!AK1382</f>
        <v>-9.2896972436755547</v>
      </c>
      <c r="AI22" s="1">
        <f>[1]Results!AL1382</f>
        <v>-9.3935596916319355</v>
      </c>
      <c r="AJ22" s="1">
        <f>[1]Results!AM1382</f>
        <v>-9.4905516310490938</v>
      </c>
      <c r="AK22" s="1">
        <f>[1]Results!AN1382</f>
        <v>-9.5810535277017994</v>
      </c>
      <c r="AL22" s="1">
        <f>[1]Results!AO1382</f>
        <v>-9.6654406836806039</v>
      </c>
      <c r="AM22" s="1">
        <f>[1]Results!AP1382</f>
        <v>-9.7371465854388166</v>
      </c>
      <c r="AN22" s="1">
        <f>[1]Results!AQ1382</f>
        <v>-9.7988697212780131</v>
      </c>
      <c r="AO22" s="1">
        <f>[1]Results!AR1382</f>
        <v>-9.8524617011722437</v>
      </c>
      <c r="AP22" s="1">
        <f>[1]Results!AS1382</f>
        <v>-9.8993024632268103</v>
      </c>
      <c r="AQ22" s="1">
        <f>[1]Results!AT1382</f>
        <v>-9.9404854578913788</v>
      </c>
      <c r="AR22" s="1">
        <f>[1]Results!AU1382</f>
        <v>-9.9757776576762218</v>
      </c>
      <c r="AS22" s="1">
        <f>[1]Results!AV1382</f>
        <v>-10.006225025930748</v>
      </c>
      <c r="AT22" s="1">
        <f>[1]Results!AW1382</f>
        <v>-10.032662193284736</v>
      </c>
      <c r="AU22" s="1">
        <f>[1]Results!AX1382</f>
        <v>-10.055790998320902</v>
      </c>
      <c r="AV22" s="1">
        <f>[1]Results!AY1382</f>
        <v>-10.076233417630664</v>
      </c>
      <c r="AW22" s="1">
        <f>[1]Results!AZ1382</f>
        <v>-10.090839189994172</v>
      </c>
      <c r="AX22" s="1">
        <f>[1]Results!BA1382</f>
        <v>-10.10126077111082</v>
      </c>
      <c r="AY22" s="1">
        <f>[1]Results!BB1382</f>
        <v>-10.108805879581773</v>
      </c>
      <c r="AZ22" s="1">
        <f>[1]Results!BC1382</f>
        <v>-10.114490655023534</v>
      </c>
      <c r="BA22" s="1">
        <f>[1]Results!BD1382</f>
        <v>-10.119125479343506</v>
      </c>
      <c r="BB22" s="1">
        <f>[1]Results!BE1382</f>
        <v>-1.6590830803153711E-2</v>
      </c>
      <c r="BC22" s="1">
        <f>[1]Results!BF1382</f>
        <v>6.790661820388344E-3</v>
      </c>
      <c r="BD22" s="1">
        <f>[1]Results!BG1382</f>
        <v>3.1922676942941486E-2</v>
      </c>
      <c r="BE22" s="1">
        <f>[1]Results!BH1382</f>
        <v>5.8664753424508831E-2</v>
      </c>
      <c r="BF22" s="1">
        <f>[1]Results!BI1382</f>
        <v>8.686713636258947E-2</v>
      </c>
    </row>
    <row r="23" spans="1:58" x14ac:dyDescent="0.35">
      <c r="A23" s="3" t="str">
        <f>[1]Results!E1383</f>
        <v>100*(X_2/X_0-1)</v>
      </c>
      <c r="B23" t="s">
        <v>22</v>
      </c>
      <c r="C23" s="1">
        <f>[1]Results!F1383</f>
        <v>-4.8444711240031468</v>
      </c>
      <c r="D23" s="1">
        <f>[1]Results!G1383</f>
        <v>-5.1860825043559604</v>
      </c>
      <c r="E23" s="1">
        <f>[1]Results!H1383</f>
        <v>-5.494845264894666</v>
      </c>
      <c r="F23" s="1">
        <f>[1]Results!I1383</f>
        <v>-5.7827537471925039</v>
      </c>
      <c r="G23" s="1">
        <f>[1]Results!J1383</f>
        <v>-6.0595933288823183</v>
      </c>
      <c r="H23" s="1">
        <f>[1]Results!K1383</f>
        <v>-6.3324710328010454</v>
      </c>
      <c r="I23" s="1">
        <f>[1]Results!L1383</f>
        <v>-6.613855412427494</v>
      </c>
      <c r="J23" s="1">
        <f>[1]Results!M1383</f>
        <v>-6.8994779652994609</v>
      </c>
      <c r="K23" s="1">
        <f>[1]Results!N1383</f>
        <v>-7.1917244440154899</v>
      </c>
      <c r="L23" s="1">
        <f>[1]Results!O1383</f>
        <v>-7.4923892876880611</v>
      </c>
      <c r="M23" s="1">
        <f>[1]Results!P1383</f>
        <v>-8.1435150190685697</v>
      </c>
      <c r="N23" s="1">
        <f>[1]Results!Q1383</f>
        <v>-8.2448977088214299</v>
      </c>
      <c r="O23" s="1">
        <f>[1]Results!R1383</f>
        <v>-8.3605084731596779</v>
      </c>
      <c r="P23" s="1">
        <f>[1]Results!S1383</f>
        <v>-8.4931679047477999</v>
      </c>
      <c r="Q23" s="1">
        <f>[1]Results!T1383</f>
        <v>-8.643975743924436</v>
      </c>
      <c r="R23" s="1">
        <f>[1]Results!U1383</f>
        <v>-8.8128254095590997</v>
      </c>
      <c r="S23" s="1">
        <f>[1]Results!V1383</f>
        <v>-9.0144611489910265</v>
      </c>
      <c r="T23" s="1">
        <f>[1]Results!W1383</f>
        <v>-9.2321154040271978</v>
      </c>
      <c r="U23" s="1">
        <f>[1]Results!X1383</f>
        <v>-9.4642542062634014</v>
      </c>
      <c r="V23" s="1">
        <f>[1]Results!Y1383</f>
        <v>-9.7092150661861822</v>
      </c>
      <c r="W23" s="1">
        <f>[1]Results!Z1383</f>
        <v>-9.965251312138701</v>
      </c>
      <c r="X23" s="1">
        <f>[1]Results!AA1383</f>
        <v>-10.229918228439761</v>
      </c>
      <c r="Y23" s="1">
        <f>[1]Results!AB1383</f>
        <v>-10.502278002805088</v>
      </c>
      <c r="Z23" s="1">
        <f>[1]Results!AC1383</f>
        <v>-10.780735791258056</v>
      </c>
      <c r="AA23" s="1">
        <f>[1]Results!AD1383</f>
        <v>-11.063786273644682</v>
      </c>
      <c r="AB23" s="1">
        <f>[1]Results!AE1383</f>
        <v>-11.349960296615723</v>
      </c>
      <c r="AC23" s="1">
        <f>[1]Results!AF1383</f>
        <v>-11.62972802428791</v>
      </c>
      <c r="AD23" s="1">
        <f>[1]Results!AG1383</f>
        <v>-11.910208058961713</v>
      </c>
      <c r="AE23" s="1">
        <f>[1]Results!AH1383</f>
        <v>-12.190541943724931</v>
      </c>
      <c r="AF23" s="1">
        <f>[1]Results!AI1383</f>
        <v>-12.470047536820783</v>
      </c>
      <c r="AG23" s="1">
        <f>[1]Results!AJ1383</f>
        <v>-12.748186427989861</v>
      </c>
      <c r="AH23" s="1">
        <f>[1]Results!AK1383</f>
        <v>-13.020817282450425</v>
      </c>
      <c r="AI23" s="1">
        <f>[1]Results!AL1383</f>
        <v>-13.291334896905449</v>
      </c>
      <c r="AJ23" s="1">
        <f>[1]Results!AM1383</f>
        <v>-13.5595486171883</v>
      </c>
      <c r="AK23" s="1">
        <f>[1]Results!AN1383</f>
        <v>-13.825362238161675</v>
      </c>
      <c r="AL23" s="1">
        <f>[1]Results!AO1383</f>
        <v>-14.088756144497495</v>
      </c>
      <c r="AM23" s="1">
        <f>[1]Results!AP1383</f>
        <v>-14.31699263195263</v>
      </c>
      <c r="AN23" s="1">
        <f>[1]Results!AQ1383</f>
        <v>-14.542643663145183</v>
      </c>
      <c r="AO23" s="1">
        <f>[1]Results!AR1383</f>
        <v>-14.765978787484757</v>
      </c>
      <c r="AP23" s="1">
        <f>[1]Results!AS1383</f>
        <v>-14.987350657243992</v>
      </c>
      <c r="AQ23" s="1">
        <f>[1]Results!AT1383</f>
        <v>-15.207111471787449</v>
      </c>
      <c r="AR23" s="1">
        <f>[1]Results!AU1383</f>
        <v>-15.420356587386141</v>
      </c>
      <c r="AS23" s="1">
        <f>[1]Results!AV1383</f>
        <v>-15.632498721405453</v>
      </c>
      <c r="AT23" s="1">
        <f>[1]Results!AW1383</f>
        <v>-15.843756789567642</v>
      </c>
      <c r="AU23" s="1">
        <f>[1]Results!AX1383</f>
        <v>-16.054310595976329</v>
      </c>
      <c r="AV23" s="1">
        <f>[1]Results!AY1383</f>
        <v>-16.264297712312757</v>
      </c>
      <c r="AW23" s="1">
        <f>[1]Results!AZ1383</f>
        <v>-16.456385843786137</v>
      </c>
      <c r="AX23" s="1">
        <f>[1]Results!BA1383</f>
        <v>-16.647881580986656</v>
      </c>
      <c r="AY23" s="1">
        <f>[1]Results!BB1383</f>
        <v>-16.838897995089365</v>
      </c>
      <c r="AZ23" s="1">
        <f>[1]Results!BC1383</f>
        <v>-17.029553477402469</v>
      </c>
      <c r="BA23" s="1">
        <f>[1]Results!BD1383</f>
        <v>-17.219935687060982</v>
      </c>
      <c r="BB23" s="1">
        <f>[1]Results!BE1383</f>
        <v>-0.54398262451842427</v>
      </c>
      <c r="BC23" s="1">
        <f>[1]Results!BF1383</f>
        <v>-0.56541867023395254</v>
      </c>
      <c r="BD23" s="1">
        <f>[1]Results!BG1383</f>
        <v>-0.5866946144340468</v>
      </c>
      <c r="BE23" s="1">
        <f>[1]Results!BH1383</f>
        <v>-0.60781986002279575</v>
      </c>
      <c r="BF23" s="1">
        <f>[1]Results!BI1383</f>
        <v>-0.62881021150971161</v>
      </c>
    </row>
    <row r="24" spans="1:58" x14ac:dyDescent="0.35">
      <c r="A24" s="3" t="str">
        <f>[1]Results!E1384</f>
        <v>100*(M_2/M_0-1)</v>
      </c>
      <c r="B24" t="s">
        <v>23</v>
      </c>
      <c r="C24" s="1">
        <f>[1]Results!F1384</f>
        <v>-1.6155209071262888</v>
      </c>
      <c r="D24" s="1">
        <f>[1]Results!G1384</f>
        <v>-2.2455090689553869</v>
      </c>
      <c r="E24" s="1">
        <f>[1]Results!H1384</f>
        <v>-2.7319585976311123</v>
      </c>
      <c r="F24" s="1">
        <f>[1]Results!I1384</f>
        <v>-3.155588881900806</v>
      </c>
      <c r="G24" s="1">
        <f>[1]Results!J1384</f>
        <v>-3.536135945532437</v>
      </c>
      <c r="H24" s="1">
        <f>[1]Results!K1384</f>
        <v>-3.8836244096916994</v>
      </c>
      <c r="I24" s="1">
        <f>[1]Results!L1384</f>
        <v>-4.2077763035457849</v>
      </c>
      <c r="J24" s="1">
        <f>[1]Results!M1384</f>
        <v>-4.5123352251699611</v>
      </c>
      <c r="K24" s="1">
        <f>[1]Results!N1384</f>
        <v>-4.8010562804485453</v>
      </c>
      <c r="L24" s="1">
        <f>[1]Results!O1384</f>
        <v>-5.0770462880267537</v>
      </c>
      <c r="M24" s="1">
        <f>[1]Results!P1384</f>
        <v>-5.4604794837322164</v>
      </c>
      <c r="N24" s="1">
        <f>[1]Results!Q1384</f>
        <v>-5.6778784885945015</v>
      </c>
      <c r="O24" s="1">
        <f>[1]Results!R1384</f>
        <v>-5.8533847329318434</v>
      </c>
      <c r="P24" s="1">
        <f>[1]Results!S1384</f>
        <v>-6.0043318111923982</v>
      </c>
      <c r="Q24" s="1">
        <f>[1]Results!T1384</f>
        <v>-6.1367892508166761</v>
      </c>
      <c r="R24" s="1">
        <f>[1]Results!U1384</f>
        <v>-6.2544257969074479</v>
      </c>
      <c r="S24" s="1">
        <f>[1]Results!V1384</f>
        <v>-6.3652088571578558</v>
      </c>
      <c r="T24" s="1">
        <f>[1]Results!W1384</f>
        <v>-6.4683050532790221</v>
      </c>
      <c r="U24" s="1">
        <f>[1]Results!X1384</f>
        <v>-6.5653868579559678</v>
      </c>
      <c r="V24" s="1">
        <f>[1]Results!Y1384</f>
        <v>-6.6581276192289707</v>
      </c>
      <c r="W24" s="1">
        <f>[1]Results!Z1384</f>
        <v>-6.7480153054687246</v>
      </c>
      <c r="X24" s="1">
        <f>[1]Results!AA1384</f>
        <v>-6.8362288997403597</v>
      </c>
      <c r="Y24" s="1">
        <f>[1]Results!AB1384</f>
        <v>-6.9236133564369862</v>
      </c>
      <c r="Z24" s="1">
        <f>[1]Results!AC1384</f>
        <v>-7.0110094667052874</v>
      </c>
      <c r="AA24" s="1">
        <f>[1]Results!AD1384</f>
        <v>-7.099035105469687</v>
      </c>
      <c r="AB24" s="1">
        <f>[1]Results!AE1384</f>
        <v>-7.1879387772839642</v>
      </c>
      <c r="AC24" s="1">
        <f>[1]Results!AF1384</f>
        <v>-7.2763846655368276</v>
      </c>
      <c r="AD24" s="1">
        <f>[1]Results!AG1384</f>
        <v>-7.3656140303164364</v>
      </c>
      <c r="AE24" s="1">
        <f>[1]Results!AH1384</f>
        <v>-7.4560347193803223</v>
      </c>
      <c r="AF24" s="1">
        <f>[1]Results!AI1384</f>
        <v>-7.5478404947210258</v>
      </c>
      <c r="AG24" s="1">
        <f>[1]Results!AJ1384</f>
        <v>-7.6410925646116956</v>
      </c>
      <c r="AH24" s="1">
        <f>[1]Results!AK1384</f>
        <v>-7.7345690877948297</v>
      </c>
      <c r="AI24" s="1">
        <f>[1]Results!AL1384</f>
        <v>-7.829018222172146</v>
      </c>
      <c r="AJ24" s="1">
        <f>[1]Results!AM1384</f>
        <v>-7.9244929045077184</v>
      </c>
      <c r="AK24" s="1">
        <f>[1]Results!AN1384</f>
        <v>-8.0209524143236557</v>
      </c>
      <c r="AL24" s="1">
        <f>[1]Results!AO1384</f>
        <v>-8.11831488828172</v>
      </c>
      <c r="AM24" s="1">
        <f>[1]Results!AP1384</f>
        <v>-8.2057336741551019</v>
      </c>
      <c r="AN24" s="1">
        <f>[1]Results!AQ1384</f>
        <v>-8.2907272702785413</v>
      </c>
      <c r="AO24" s="1">
        <f>[1]Results!AR1384</f>
        <v>-8.3745315314580182</v>
      </c>
      <c r="AP24" s="1">
        <f>[1]Results!AS1384</f>
        <v>-8.4577019200700256</v>
      </c>
      <c r="AQ24" s="1">
        <f>[1]Results!AT1384</f>
        <v>-8.5405382696846175</v>
      </c>
      <c r="AR24" s="1">
        <f>[1]Results!AU1384</f>
        <v>-8.6215041663866501</v>
      </c>
      <c r="AS24" s="1">
        <f>[1]Results!AV1384</f>
        <v>-8.7018543560126833</v>
      </c>
      <c r="AT24" s="1">
        <f>[1]Results!AW1384</f>
        <v>-8.7818761394570011</v>
      </c>
      <c r="AU24" s="1">
        <f>[1]Results!AX1384</f>
        <v>-8.8617411083416915</v>
      </c>
      <c r="AV24" s="1">
        <f>[1]Results!AY1384</f>
        <v>-8.9415801420241419</v>
      </c>
      <c r="AW24" s="1">
        <f>[1]Results!AZ1384</f>
        <v>-9.0158143185868909</v>
      </c>
      <c r="AX24" s="1">
        <f>[1]Results!BA1384</f>
        <v>-9.0884580762773393</v>
      </c>
      <c r="AY24" s="1">
        <f>[1]Results!BB1384</f>
        <v>-9.1603597203742222</v>
      </c>
      <c r="AZ24" s="1">
        <f>[1]Results!BC1384</f>
        <v>-9.232021499621279</v>
      </c>
      <c r="BA24" s="1">
        <f>[1]Results!BD1384</f>
        <v>-9.303753964241535</v>
      </c>
      <c r="BB24" s="1">
        <f>[1]Results!BE1384</f>
        <v>0.12102451906113032</v>
      </c>
      <c r="BC24" s="1">
        <f>[1]Results!BF1384</f>
        <v>0.1305828611516846</v>
      </c>
      <c r="BD24" s="1">
        <f>[1]Results!BG1384</f>
        <v>0.14036785952271646</v>
      </c>
      <c r="BE24" s="1">
        <f>[1]Results!BH1384</f>
        <v>0.15031976500954336</v>
      </c>
      <c r="BF24" s="1">
        <f>[1]Results!BI1384</f>
        <v>0.1603921557421506</v>
      </c>
    </row>
    <row r="25" spans="1:58" x14ac:dyDescent="0.35">
      <c r="A25" s="3" t="str">
        <f>[1]Results!E1385</f>
        <v>100*((CH_2-CH_ccon_2)/(CH_0-CH_ccon_0)-1)</v>
      </c>
      <c r="B25" t="str">
        <f>[1]Results!C1385</f>
        <v>Consommation des ménages</v>
      </c>
      <c r="C25" s="1">
        <f>[1]Results!F1385</f>
        <v>-0.47647014917812092</v>
      </c>
      <c r="D25" s="1">
        <f>[1]Results!G1385</f>
        <v>-1.0422585504559656</v>
      </c>
      <c r="E25" s="1">
        <f>[1]Results!H1385</f>
        <v>-1.566429830002769</v>
      </c>
      <c r="F25" s="1">
        <f>[1]Results!I1385</f>
        <v>-2.0184925050423796</v>
      </c>
      <c r="G25" s="1">
        <f>[1]Results!J1385</f>
        <v>-2.3995142711934703</v>
      </c>
      <c r="H25" s="1">
        <f>[1]Results!K1385</f>
        <v>-2.7187776798477725</v>
      </c>
      <c r="I25" s="1">
        <f>[1]Results!L1385</f>
        <v>-2.9877618205762735</v>
      </c>
      <c r="J25" s="1">
        <f>[1]Results!M1385</f>
        <v>-3.2153724853917209</v>
      </c>
      <c r="K25" s="1">
        <f>[1]Results!N1385</f>
        <v>-3.4095217768749353</v>
      </c>
      <c r="L25" s="1">
        <f>[1]Results!O1385</f>
        <v>-3.5770908218529573</v>
      </c>
      <c r="M25" s="1">
        <f>[1]Results!P1385</f>
        <v>-3.7524692576790031</v>
      </c>
      <c r="N25" s="1">
        <f>[1]Results!Q1385</f>
        <v>-3.8991021676071491</v>
      </c>
      <c r="O25" s="1">
        <f>[1]Results!R1385</f>
        <v>-4.0085456418462506</v>
      </c>
      <c r="P25" s="1">
        <f>[1]Results!S1385</f>
        <v>-4.0827932652792276</v>
      </c>
      <c r="Q25" s="1">
        <f>[1]Results!T1385</f>
        <v>-4.1269313318351379</v>
      </c>
      <c r="R25" s="1">
        <f>[1]Results!U1385</f>
        <v>-4.1468253718222492</v>
      </c>
      <c r="S25" s="1">
        <f>[1]Results!V1385</f>
        <v>-4.1500394818750568</v>
      </c>
      <c r="T25" s="1">
        <f>[1]Results!W1385</f>
        <v>-4.1421105043156548</v>
      </c>
      <c r="U25" s="1">
        <f>[1]Results!X1385</f>
        <v>-4.1274406320002228</v>
      </c>
      <c r="V25" s="1">
        <f>[1]Results!Y1385</f>
        <v>-4.1096320991157338</v>
      </c>
      <c r="W25" s="1">
        <f>[1]Results!Z1385</f>
        <v>-4.0920649150173354</v>
      </c>
      <c r="X25" s="1">
        <f>[1]Results!AA1385</f>
        <v>-4.0759158595460088</v>
      </c>
      <c r="Y25" s="1">
        <f>[1]Results!AB1385</f>
        <v>-4.0632632869158858</v>
      </c>
      <c r="Z25" s="1">
        <f>[1]Results!AC1385</f>
        <v>-4.0554818996509585</v>
      </c>
      <c r="AA25" s="1">
        <f>[1]Results!AD1385</f>
        <v>-4.0534208351650562</v>
      </c>
      <c r="AB25" s="1">
        <f>[1]Results!AE1385</f>
        <v>-4.0587260358722066</v>
      </c>
      <c r="AC25" s="1">
        <f>[1]Results!AF1385</f>
        <v>-4.0685638179768997</v>
      </c>
      <c r="AD25" s="1">
        <f>[1]Results!AG1385</f>
        <v>-4.0832088539123905</v>
      </c>
      <c r="AE25" s="1">
        <f>[1]Results!AH1385</f>
        <v>-4.1029790773576273</v>
      </c>
      <c r="AF25" s="1">
        <f>[1]Results!AI1385</f>
        <v>-4.1279994228894274</v>
      </c>
      <c r="AG25" s="1">
        <f>[1]Results!AJ1385</f>
        <v>-4.1581872829544952</v>
      </c>
      <c r="AH25" s="1">
        <f>[1]Results!AK1385</f>
        <v>-4.1928822824806922</v>
      </c>
      <c r="AI25" s="1">
        <f>[1]Results!AL1385</f>
        <v>-4.2317540511269343</v>
      </c>
      <c r="AJ25" s="1">
        <f>[1]Results!AM1385</f>
        <v>-4.2745522955760062</v>
      </c>
      <c r="AK25" s="1">
        <f>[1]Results!AN1385</f>
        <v>-4.321012975760552</v>
      </c>
      <c r="AL25" s="1">
        <f>[1]Results!AO1385</f>
        <v>-4.3708446278014517</v>
      </c>
      <c r="AM25" s="1">
        <f>[1]Results!AP1385</f>
        <v>-4.4201225792534053</v>
      </c>
      <c r="AN25" s="1">
        <f>[1]Results!AQ1385</f>
        <v>-4.4681149633167161</v>
      </c>
      <c r="AO25" s="1">
        <f>[1]Results!AR1385</f>
        <v>-4.5154316717929799</v>
      </c>
      <c r="AP25" s="1">
        <f>[1]Results!AS1385</f>
        <v>-4.562812957482687</v>
      </c>
      <c r="AQ25" s="1">
        <f>[1]Results!AT1385</f>
        <v>-4.6107818025722391</v>
      </c>
      <c r="AR25" s="1">
        <f>[1]Results!AU1385</f>
        <v>-4.65902869989403</v>
      </c>
      <c r="AS25" s="1">
        <f>[1]Results!AV1385</f>
        <v>-4.7077199176415068</v>
      </c>
      <c r="AT25" s="1">
        <f>[1]Results!AW1385</f>
        <v>-4.7571388560124213</v>
      </c>
      <c r="AU25" s="1">
        <f>[1]Results!AX1385</f>
        <v>-4.8075456488203105</v>
      </c>
      <c r="AV25" s="1">
        <f>[1]Results!AY1385</f>
        <v>-4.8591465704232668</v>
      </c>
      <c r="AW25" s="1">
        <f>[1]Results!AZ1385</f>
        <v>-4.9100037209641512</v>
      </c>
      <c r="AX25" s="1">
        <f>[1]Results!BA1385</f>
        <v>-4.9602532088820261</v>
      </c>
      <c r="AY25" s="1">
        <f>[1]Results!BB1385</f>
        <v>-5.0105826196923164</v>
      </c>
      <c r="AZ25" s="1">
        <f>[1]Results!BC1385</f>
        <v>-5.0616154391458164</v>
      </c>
      <c r="BA25" s="1">
        <f>[1]Results!BD1385</f>
        <v>-5.1137622154314055</v>
      </c>
      <c r="BB25" s="1">
        <f>[1]Results!BE1385</f>
        <v>5.0694879674284543E-2</v>
      </c>
      <c r="BC25" s="1">
        <f>[1]Results!BF1385</f>
        <v>5.4749036903967152E-2</v>
      </c>
      <c r="BD25" s="1">
        <f>[1]Results!BG1385</f>
        <v>5.8653461274560392E-2</v>
      </c>
      <c r="BE25" s="1">
        <f>[1]Results!BH1385</f>
        <v>6.230993204430213E-2</v>
      </c>
      <c r="BF25" s="1">
        <f>[1]Results!BI1385</f>
        <v>6.5658514727173767E-2</v>
      </c>
    </row>
    <row r="26" spans="1:58" x14ac:dyDescent="0.35">
      <c r="A26" s="3" t="str">
        <f>[1]Results!E1386</f>
        <v>100*((I_2+CH_ccon_2)/(I_0+CH_ccon_0)-1)</v>
      </c>
      <c r="B26" t="str">
        <f>[1]Results!C1386</f>
        <v>Investissement</v>
      </c>
      <c r="C26" s="1">
        <f>[1]Results!F1386</f>
        <v>-0.9474875959576412</v>
      </c>
      <c r="D26" s="1">
        <f>[1]Results!G1386</f>
        <v>-1.6041560278660216</v>
      </c>
      <c r="E26" s="1">
        <f>[1]Results!H1386</f>
        <v>-2.092392340829341</v>
      </c>
      <c r="F26" s="1">
        <f>[1]Results!I1386</f>
        <v>-2.494510482626866</v>
      </c>
      <c r="G26" s="1">
        <f>[1]Results!J1386</f>
        <v>-2.8521880938589872</v>
      </c>
      <c r="H26" s="1">
        <f>[1]Results!K1386</f>
        <v>-3.1865785305671523</v>
      </c>
      <c r="I26" s="1">
        <f>[1]Results!L1386</f>
        <v>-3.5098062404083863</v>
      </c>
      <c r="J26" s="1">
        <f>[1]Results!M1386</f>
        <v>-3.8265435812349979</v>
      </c>
      <c r="K26" s="1">
        <f>[1]Results!N1386</f>
        <v>-4.1388817724588023</v>
      </c>
      <c r="L26" s="1">
        <f>[1]Results!O1386</f>
        <v>-4.4478131420531923</v>
      </c>
      <c r="M26" s="1">
        <f>[1]Results!P1386</f>
        <v>-4.8177129592883672</v>
      </c>
      <c r="N26" s="1">
        <f>[1]Results!Q1386</f>
        <v>-5.1185451769081407</v>
      </c>
      <c r="O26" s="1">
        <f>[1]Results!R1386</f>
        <v>-5.3803200009670977</v>
      </c>
      <c r="P26" s="1">
        <f>[1]Results!S1386</f>
        <v>-5.6198325643544429</v>
      </c>
      <c r="Q26" s="1">
        <f>[1]Results!T1386</f>
        <v>-5.8444467323243483</v>
      </c>
      <c r="R26" s="1">
        <f>[1]Results!U1386</f>
        <v>-6.0573088247357525</v>
      </c>
      <c r="S26" s="1">
        <f>[1]Results!V1386</f>
        <v>-6.2628755990437597</v>
      </c>
      <c r="T26" s="1">
        <f>[1]Results!W1386</f>
        <v>-6.4609889049608853</v>
      </c>
      <c r="U26" s="1">
        <f>[1]Results!X1386</f>
        <v>-6.6516534423032736</v>
      </c>
      <c r="V26" s="1">
        <f>[1]Results!Y1386</f>
        <v>-6.8350358859165183</v>
      </c>
      <c r="W26" s="1">
        <f>[1]Results!Z1386</f>
        <v>-7.0115585918349543</v>
      </c>
      <c r="X26" s="1">
        <f>[1]Results!AA1386</f>
        <v>-7.1811049084201883</v>
      </c>
      <c r="Y26" s="1">
        <f>[1]Results!AB1386</f>
        <v>-7.3438890922038258</v>
      </c>
      <c r="Z26" s="1">
        <f>[1]Results!AC1386</f>
        <v>-7.5001311140360123</v>
      </c>
      <c r="AA26" s="1">
        <f>[1]Results!AD1386</f>
        <v>-7.6499791714899734</v>
      </c>
      <c r="AB26" s="1">
        <f>[1]Results!AE1386</f>
        <v>-7.7939907306091349</v>
      </c>
      <c r="AC26" s="1">
        <f>[1]Results!AF1386</f>
        <v>-7.9303119240193398</v>
      </c>
      <c r="AD26" s="1">
        <f>[1]Results!AG1386</f>
        <v>-8.0592742644084776</v>
      </c>
      <c r="AE26" s="1">
        <f>[1]Results!AH1386</f>
        <v>-8.1812363579380936</v>
      </c>
      <c r="AF26" s="1">
        <f>[1]Results!AI1386</f>
        <v>-8.2965185527860363</v>
      </c>
      <c r="AG26" s="1">
        <f>[1]Results!AJ1386</f>
        <v>-8.405393998286236</v>
      </c>
      <c r="AH26" s="1">
        <f>[1]Results!AK1386</f>
        <v>-8.5073812111753249</v>
      </c>
      <c r="AI26" s="1">
        <f>[1]Results!AL1386</f>
        <v>-8.6029232136340497</v>
      </c>
      <c r="AJ26" s="1">
        <f>[1]Results!AM1386</f>
        <v>-8.6924005483412827</v>
      </c>
      <c r="AK26" s="1">
        <f>[1]Results!AN1386</f>
        <v>-8.7761616464807073</v>
      </c>
      <c r="AL26" s="1">
        <f>[1]Results!AO1386</f>
        <v>-8.8545446688111937</v>
      </c>
      <c r="AM26" s="1">
        <f>[1]Results!AP1386</f>
        <v>-8.9215723830356133</v>
      </c>
      <c r="AN26" s="1">
        <f>[1]Results!AQ1386</f>
        <v>-8.9795370058574626</v>
      </c>
      <c r="AO26" s="1">
        <f>[1]Results!AR1386</f>
        <v>-9.0301392626917725</v>
      </c>
      <c r="AP26" s="1">
        <f>[1]Results!AS1386</f>
        <v>-9.0746804790620921</v>
      </c>
      <c r="AQ26" s="1">
        <f>[1]Results!AT1386</f>
        <v>-9.1141820795484936</v>
      </c>
      <c r="AR26" s="1">
        <f>[1]Results!AU1386</f>
        <v>-9.1484185024757974</v>
      </c>
      <c r="AS26" s="1">
        <f>[1]Results!AV1386</f>
        <v>-9.1783238834406191</v>
      </c>
      <c r="AT26" s="1">
        <f>[1]Results!AW1386</f>
        <v>-9.2046481432370051</v>
      </c>
      <c r="AU26" s="1">
        <f>[1]Results!AX1386</f>
        <v>-9.2280201584871602</v>
      </c>
      <c r="AV26" s="1">
        <f>[1]Results!AY1386</f>
        <v>-9.2489945272237861</v>
      </c>
      <c r="AW26" s="1">
        <f>[1]Results!AZ1386</f>
        <v>-9.2646320901642589</v>
      </c>
      <c r="AX26" s="1">
        <f>[1]Results!BA1386</f>
        <v>-9.2764271688550828</v>
      </c>
      <c r="AY26" s="1">
        <f>[1]Results!BB1386</f>
        <v>-9.2856001039235974</v>
      </c>
      <c r="AZ26" s="1">
        <f>[1]Results!BC1386</f>
        <v>-9.2930909739531771</v>
      </c>
      <c r="BA26" s="1">
        <f>[1]Results!BD1386</f>
        <v>-9.2996381015451597</v>
      </c>
      <c r="BB26" s="1">
        <f>[1]Results!BE1386</f>
        <v>-2.4029598338692892E-2</v>
      </c>
      <c r="BC26" s="1">
        <f>[1]Results!BF1386</f>
        <v>-2.9464789680022641E-3</v>
      </c>
      <c r="BD26" s="1">
        <f>[1]Results!BG1386</f>
        <v>1.9727906363664616E-2</v>
      </c>
      <c r="BE26" s="1">
        <f>[1]Results!BH1386</f>
        <v>4.3856441714518191E-2</v>
      </c>
      <c r="BF26" s="1">
        <f>[1]Results!BI1386</f>
        <v>6.9296504480398369E-2</v>
      </c>
    </row>
    <row r="27" spans="1:58" x14ac:dyDescent="0.35">
      <c r="A27" s="3" t="str">
        <f>[1]Results!E1387</f>
        <v>100*((CH_ccon_2)/(CH_ccon_0)-1)</v>
      </c>
      <c r="B27" t="str">
        <f>[1]Results!C1387</f>
        <v>Investissement ménages</v>
      </c>
      <c r="C27" s="1">
        <f>[1]Results!F1387</f>
        <v>-0.52261044094290554</v>
      </c>
      <c r="D27" s="1">
        <f>[1]Results!G1387</f>
        <v>-1.0427622063214126</v>
      </c>
      <c r="E27" s="1">
        <f>[1]Results!H1387</f>
        <v>-1.452243546134091</v>
      </c>
      <c r="F27" s="1">
        <f>[1]Results!I1387</f>
        <v>-1.7739405224704741</v>
      </c>
      <c r="G27" s="1">
        <f>[1]Results!J1387</f>
        <v>-2.0452634139584314</v>
      </c>
      <c r="H27" s="1">
        <f>[1]Results!K1387</f>
        <v>-2.2886845462416039</v>
      </c>
      <c r="I27" s="1">
        <f>[1]Results!L1387</f>
        <v>-2.5147962628620624</v>
      </c>
      <c r="J27" s="1">
        <f>[1]Results!M1387</f>
        <v>-2.725030800627315</v>
      </c>
      <c r="K27" s="1">
        <f>[1]Results!N1387</f>
        <v>-2.9181310417248363</v>
      </c>
      <c r="L27" s="1">
        <f>[1]Results!O1387</f>
        <v>-3.0927378483655787</v>
      </c>
      <c r="M27" s="1">
        <f>[1]Results!P1387</f>
        <v>-3.2733816192203724</v>
      </c>
      <c r="N27" s="1">
        <f>[1]Results!Q1387</f>
        <v>-3.4237493728670354</v>
      </c>
      <c r="O27" s="1">
        <f>[1]Results!R1387</f>
        <v>-3.539106638618017</v>
      </c>
      <c r="P27" s="1">
        <f>[1]Results!S1387</f>
        <v>-3.6240150865358367</v>
      </c>
      <c r="Q27" s="1">
        <f>[1]Results!T1387</f>
        <v>-3.6836072922579288</v>
      </c>
      <c r="R27" s="1">
        <f>[1]Results!U1387</f>
        <v>-3.7221106804948056</v>
      </c>
      <c r="S27" s="1">
        <f>[1]Results!V1387</f>
        <v>-3.7448544500740644</v>
      </c>
      <c r="T27" s="1">
        <f>[1]Results!W1387</f>
        <v>-3.7557610409107878</v>
      </c>
      <c r="U27" s="1">
        <f>[1]Results!X1387</f>
        <v>-3.7580771297983873</v>
      </c>
      <c r="V27" s="1">
        <f>[1]Results!Y1387</f>
        <v>-3.7548622172652535</v>
      </c>
      <c r="W27" s="1">
        <f>[1]Results!Z1387</f>
        <v>-3.7493769545519307</v>
      </c>
      <c r="X27" s="1">
        <f>[1]Results!AA1387</f>
        <v>-3.7432565275542062</v>
      </c>
      <c r="Y27" s="1">
        <f>[1]Results!AB1387</f>
        <v>-3.739025295367282</v>
      </c>
      <c r="Z27" s="1">
        <f>[1]Results!AC1387</f>
        <v>-3.7385581238937537</v>
      </c>
      <c r="AA27" s="1">
        <f>[1]Results!AD1387</f>
        <v>-3.7431556376554376</v>
      </c>
      <c r="AB27" s="1">
        <f>[1]Results!AE1387</f>
        <v>-3.7545399625298126</v>
      </c>
      <c r="AC27" s="1">
        <f>[1]Results!AF1387</f>
        <v>-3.7705404145883414</v>
      </c>
      <c r="AD27" s="1">
        <f>[1]Results!AG1387</f>
        <v>-3.7916959485524204</v>
      </c>
      <c r="AE27" s="1">
        <f>[1]Results!AH1387</f>
        <v>-3.8186972326451851</v>
      </c>
      <c r="AF27" s="1">
        <f>[1]Results!AI1387</f>
        <v>-3.85198244597319</v>
      </c>
      <c r="AG27" s="1">
        <f>[1]Results!AJ1387</f>
        <v>-3.8916377576645789</v>
      </c>
      <c r="AH27" s="1">
        <f>[1]Results!AK1387</f>
        <v>-3.9370441484338103</v>
      </c>
      <c r="AI27" s="1">
        <f>[1]Results!AL1387</f>
        <v>-3.9878010864439428</v>
      </c>
      <c r="AJ27" s="1">
        <f>[1]Results!AM1387</f>
        <v>-4.043593209946506</v>
      </c>
      <c r="AK27" s="1">
        <f>[1]Results!AN1387</f>
        <v>-4.1040735027923709</v>
      </c>
      <c r="AL27" s="1">
        <f>[1]Results!AO1387</f>
        <v>-4.1688407781338865</v>
      </c>
      <c r="AM27" s="1">
        <f>[1]Results!AP1387</f>
        <v>-4.2337695394461416</v>
      </c>
      <c r="AN27" s="1">
        <f>[1]Results!AQ1387</f>
        <v>-4.2979371714768844</v>
      </c>
      <c r="AO27" s="1">
        <f>[1]Results!AR1387</f>
        <v>-4.3622386282937349</v>
      </c>
      <c r="AP27" s="1">
        <f>[1]Results!AS1387</f>
        <v>-4.4276970438397401</v>
      </c>
      <c r="AQ27" s="1">
        <f>[1]Results!AT1387</f>
        <v>-4.4948518574700946</v>
      </c>
      <c r="AR27" s="1">
        <f>[1]Results!AU1387</f>
        <v>-4.5631234614470717</v>
      </c>
      <c r="AS27" s="1">
        <f>[1]Results!AV1387</f>
        <v>-4.6322404530413364</v>
      </c>
      <c r="AT27" s="1">
        <f>[1]Results!AW1387</f>
        <v>-4.7020881089528954</v>
      </c>
      <c r="AU27" s="1">
        <f>[1]Results!AX1387</f>
        <v>-4.7725778163730919</v>
      </c>
      <c r="AV27" s="1">
        <f>[1]Results!AY1387</f>
        <v>-4.8436264815833407</v>
      </c>
      <c r="AW27" s="1">
        <f>[1]Results!AZ1387</f>
        <v>-4.9130872247733937</v>
      </c>
      <c r="AX27" s="1">
        <f>[1]Results!BA1387</f>
        <v>-4.9810571742712195</v>
      </c>
      <c r="AY27" s="1">
        <f>[1]Results!BB1387</f>
        <v>-5.048429467942162</v>
      </c>
      <c r="AZ27" s="1">
        <f>[1]Results!BC1387</f>
        <v>-5.1157201110579198</v>
      </c>
      <c r="BA27" s="1">
        <f>[1]Results!BD1387</f>
        <v>-5.1831658434890793</v>
      </c>
      <c r="BB27" s="1">
        <f>[1]Results!BE1387</f>
        <v>-0.17458533209651073</v>
      </c>
      <c r="BC27" s="1">
        <f>[1]Results!BF1387</f>
        <v>-0.18184727266860046</v>
      </c>
      <c r="BD27" s="1">
        <f>[1]Results!BG1387</f>
        <v>-0.18919186420462974</v>
      </c>
      <c r="BE27" s="1">
        <f>[1]Results!BH1387</f>
        <v>-0.19676894095761455</v>
      </c>
      <c r="BF27" s="1">
        <f>[1]Results!BI1387</f>
        <v>-0.20467680295104262</v>
      </c>
    </row>
    <row r="28" spans="1:58" x14ac:dyDescent="0.35">
      <c r="A28" s="3" t="str">
        <f>[1]Results!E1388</f>
        <v>100*((IA_spub_2)/(IA_spub_0)-1)</v>
      </c>
      <c r="B28" t="str">
        <f>[1]Results!C1388</f>
        <v>Investissement public</v>
      </c>
      <c r="C28" s="1">
        <f>[1]Results!F1388</f>
        <v>-0.16409546821187782</v>
      </c>
      <c r="D28" s="1">
        <f>[1]Results!G1388</f>
        <v>-0.26811081998033837</v>
      </c>
      <c r="E28" s="1">
        <f>[1]Results!H1388</f>
        <v>-0.3264662434966592</v>
      </c>
      <c r="F28" s="1">
        <f>[1]Results!I1388</f>
        <v>-0.36490791899709274</v>
      </c>
      <c r="G28" s="1">
        <f>[1]Results!J1388</f>
        <v>-0.4000527921672159</v>
      </c>
      <c r="H28" s="1">
        <f>[1]Results!K1388</f>
        <v>-0.44000653269710144</v>
      </c>
      <c r="I28" s="1">
        <f>[1]Results!L1388</f>
        <v>-0.48795268472652253</v>
      </c>
      <c r="J28" s="1">
        <f>[1]Results!M1388</f>
        <v>-0.54361320117292111</v>
      </c>
      <c r="K28" s="1">
        <f>[1]Results!N1388</f>
        <v>-0.60581612996252199</v>
      </c>
      <c r="L28" s="1">
        <f>[1]Results!O1388</f>
        <v>-0.67323540078273458</v>
      </c>
      <c r="M28" s="1">
        <f>[1]Results!P1388</f>
        <v>-0.75347764149051866</v>
      </c>
      <c r="N28" s="1">
        <f>[1]Results!Q1388</f>
        <v>-0.82637934717105788</v>
      </c>
      <c r="O28" s="1">
        <f>[1]Results!R1388</f>
        <v>-0.8968540812684167</v>
      </c>
      <c r="P28" s="1">
        <f>[1]Results!S1388</f>
        <v>-0.96745159371407485</v>
      </c>
      <c r="Q28" s="1">
        <f>[1]Results!T1388</f>
        <v>-1.0382138674854269</v>
      </c>
      <c r="R28" s="1">
        <f>[1]Results!U1388</f>
        <v>-1.1081606214225603</v>
      </c>
      <c r="S28" s="1">
        <f>[1]Results!V1388</f>
        <v>-1.1768363708139939</v>
      </c>
      <c r="T28" s="1">
        <f>[1]Results!W1388</f>
        <v>-1.2431381516514461</v>
      </c>
      <c r="U28" s="1">
        <f>[1]Results!X1388</f>
        <v>-1.3061831306134253</v>
      </c>
      <c r="V28" s="1">
        <f>[1]Results!Y1388</f>
        <v>-1.3653808352920627</v>
      </c>
      <c r="W28" s="1">
        <f>[1]Results!Z1388</f>
        <v>-1.420611566071972</v>
      </c>
      <c r="X28" s="1">
        <f>[1]Results!AA1388</f>
        <v>-1.4711544664705367</v>
      </c>
      <c r="Y28" s="1">
        <f>[1]Results!AB1388</f>
        <v>-1.5172235763817987</v>
      </c>
      <c r="Z28" s="1">
        <f>[1]Results!AC1388</f>
        <v>-1.5589687629800508</v>
      </c>
      <c r="AA28" s="1">
        <f>[1]Results!AD1388</f>
        <v>-1.5965490593023213</v>
      </c>
      <c r="AB28" s="1">
        <f>[1]Results!AE1388</f>
        <v>-1.6307785277831499</v>
      </c>
      <c r="AC28" s="1">
        <f>[1]Results!AF1388</f>
        <v>-1.6603825599790789</v>
      </c>
      <c r="AD28" s="1">
        <f>[1]Results!AG1388</f>
        <v>-1.6860074915921563</v>
      </c>
      <c r="AE28" s="1">
        <f>[1]Results!AH1388</f>
        <v>-1.7082566803299448</v>
      </c>
      <c r="AF28" s="1">
        <f>[1]Results!AI1388</f>
        <v>-1.7276744853147674</v>
      </c>
      <c r="AG28" s="1">
        <f>[1]Results!AJ1388</f>
        <v>-1.7447419251751528</v>
      </c>
      <c r="AH28" s="1">
        <f>[1]Results!AK1388</f>
        <v>-1.7597093051577639</v>
      </c>
      <c r="AI28" s="1">
        <f>[1]Results!AL1388</f>
        <v>-1.7729927524852362</v>
      </c>
      <c r="AJ28" s="1">
        <f>[1]Results!AM1388</f>
        <v>-1.7849980013763478</v>
      </c>
      <c r="AK28" s="1">
        <f>[1]Results!AN1388</f>
        <v>-1.7960906882111938</v>
      </c>
      <c r="AL28" s="1">
        <f>[1]Results!AO1388</f>
        <v>-1.8065912745044654</v>
      </c>
      <c r="AM28" s="1">
        <f>[1]Results!AP1388</f>
        <v>-1.8153532411845696</v>
      </c>
      <c r="AN28" s="1">
        <f>[1]Results!AQ1388</f>
        <v>-1.8227508085048472</v>
      </c>
      <c r="AO28" s="1">
        <f>[1]Results!AR1388</f>
        <v>-1.8295130444673235</v>
      </c>
      <c r="AP28" s="1">
        <f>[1]Results!AS1388</f>
        <v>-1.8362778995988371</v>
      </c>
      <c r="AQ28" s="1">
        <f>[1]Results!AT1388</f>
        <v>-1.8434798161548915</v>
      </c>
      <c r="AR28" s="1">
        <f>[1]Results!AU1388</f>
        <v>-1.8511074428839924</v>
      </c>
      <c r="AS28" s="1">
        <f>[1]Results!AV1388</f>
        <v>-1.8593192299254713</v>
      </c>
      <c r="AT28" s="1">
        <f>[1]Results!AW1388</f>
        <v>-1.8682322776620963</v>
      </c>
      <c r="AU28" s="1">
        <f>[1]Results!AX1388</f>
        <v>-1.8779025722368781</v>
      </c>
      <c r="AV28" s="1">
        <f>[1]Results!AY1388</f>
        <v>-1.888335598775337</v>
      </c>
      <c r="AW28" s="1">
        <f>[1]Results!AZ1388</f>
        <v>-1.8986263986733198</v>
      </c>
      <c r="AX28" s="1">
        <f>[1]Results!BA1388</f>
        <v>-1.9089312294184313</v>
      </c>
      <c r="AY28" s="1">
        <f>[1]Results!BB1388</f>
        <v>-1.9195296360205782</v>
      </c>
      <c r="AZ28" s="1">
        <f>[1]Results!BC1388</f>
        <v>-1.9306059620005867</v>
      </c>
      <c r="BA28" s="1">
        <f>[1]Results!BD1388</f>
        <v>-1.9422293711806815</v>
      </c>
      <c r="BB28" s="1">
        <f>[1]Results!BE1388</f>
        <v>-4.6237572208673861E-2</v>
      </c>
      <c r="BC28" s="1">
        <f>[1]Results!BF1388</f>
        <v>-3.9788414709518438E-2</v>
      </c>
      <c r="BD28" s="1">
        <f>[1]Results!BG1388</f>
        <v>-3.2910111721817792E-2</v>
      </c>
      <c r="BE28" s="1">
        <f>[1]Results!BH1388</f>
        <v>-2.5688620004793439E-2</v>
      </c>
      <c r="BF28" s="1">
        <f>[1]Results!BI1388</f>
        <v>-1.8194280593819556E-2</v>
      </c>
    </row>
    <row r="29" spans="1:58" x14ac:dyDescent="0.35">
      <c r="A29" s="3" t="str">
        <f>[1]Results!E1389</f>
        <v>100*(DISPINC_AT_VAL_2/DISPINC_AT_VAL_0-1)</v>
      </c>
      <c r="B29" t="str">
        <f>[1]Results!C1389</f>
        <v>Revenu disponible des ménages</v>
      </c>
      <c r="C29" s="1">
        <f>[1]Results!F1389</f>
        <v>-0.78476000156448844</v>
      </c>
      <c r="D29" s="1">
        <f>[1]Results!G1389</f>
        <v>-1.5202373610628039</v>
      </c>
      <c r="E29" s="1">
        <f>[1]Results!H1389</f>
        <v>-2.2030412633712415</v>
      </c>
      <c r="F29" s="1">
        <f>[1]Results!I1389</f>
        <v>-2.8323578112496972</v>
      </c>
      <c r="G29" s="1">
        <f>[1]Results!J1389</f>
        <v>-3.4069154215186193</v>
      </c>
      <c r="H29" s="1">
        <f>[1]Results!K1389</f>
        <v>-3.9272337778605171</v>
      </c>
      <c r="I29" s="1">
        <f>[1]Results!L1389</f>
        <v>-4.3978960516400045</v>
      </c>
      <c r="J29" s="1">
        <f>[1]Results!M1389</f>
        <v>-4.8214947191027253</v>
      </c>
      <c r="K29" s="1">
        <f>[1]Results!N1389</f>
        <v>-5.2021840282157399</v>
      </c>
      <c r="L29" s="1">
        <f>[1]Results!O1389</f>
        <v>-5.5440357584603301</v>
      </c>
      <c r="M29" s="1">
        <f>[1]Results!P1389</f>
        <v>-5.9051891689981932</v>
      </c>
      <c r="N29" s="1">
        <f>[1]Results!Q1389</f>
        <v>-6.1946551890247221</v>
      </c>
      <c r="O29" s="1">
        <f>[1]Results!R1389</f>
        <v>-6.4166870863549335</v>
      </c>
      <c r="P29" s="1">
        <f>[1]Results!S1389</f>
        <v>-6.5782647298280539</v>
      </c>
      <c r="Q29" s="1">
        <f>[1]Results!T1389</f>
        <v>-6.6868095404103656</v>
      </c>
      <c r="R29" s="1">
        <f>[1]Results!U1389</f>
        <v>-6.7499758657033171</v>
      </c>
      <c r="S29" s="1">
        <f>[1]Results!V1389</f>
        <v>-6.7771132372072547</v>
      </c>
      <c r="T29" s="1">
        <f>[1]Results!W1389</f>
        <v>-6.7749690352897574</v>
      </c>
      <c r="U29" s="1">
        <f>[1]Results!X1389</f>
        <v>-6.7498478952238479</v>
      </c>
      <c r="V29" s="1">
        <f>[1]Results!Y1389</f>
        <v>-6.7074816581644274</v>
      </c>
      <c r="W29" s="1">
        <f>[1]Results!Z1389</f>
        <v>-6.6538097035170889</v>
      </c>
      <c r="X29" s="1">
        <f>[1]Results!AA1389</f>
        <v>-6.5912381069619492</v>
      </c>
      <c r="Y29" s="1">
        <f>[1]Results!AB1389</f>
        <v>-6.5247919163731289</v>
      </c>
      <c r="Z29" s="1">
        <f>[1]Results!AC1389</f>
        <v>-6.4576858901338579</v>
      </c>
      <c r="AA29" s="1">
        <f>[1]Results!AD1389</f>
        <v>-6.3925906263788246</v>
      </c>
      <c r="AB29" s="1">
        <f>[1]Results!AE1389</f>
        <v>-6.3337948953792971</v>
      </c>
      <c r="AC29" s="1">
        <f>[1]Results!AF1389</f>
        <v>-6.2780082519024898</v>
      </c>
      <c r="AD29" s="1">
        <f>[1]Results!AG1389</f>
        <v>-6.2283869909386169</v>
      </c>
      <c r="AE29" s="1">
        <f>[1]Results!AH1389</f>
        <v>-6.1859515611123346</v>
      </c>
      <c r="AF29" s="1">
        <f>[1]Results!AI1389</f>
        <v>-6.1513111332467947</v>
      </c>
      <c r="AG29" s="1">
        <f>[1]Results!AJ1389</f>
        <v>-6.1247740189804167</v>
      </c>
      <c r="AH29" s="1">
        <f>[1]Results!AK1389</f>
        <v>-6.1060100327150586</v>
      </c>
      <c r="AI29" s="1">
        <f>[1]Results!AL1389</f>
        <v>-6.0950106348436117</v>
      </c>
      <c r="AJ29" s="1">
        <f>[1]Results!AM1389</f>
        <v>-6.0915702182528957</v>
      </c>
      <c r="AK29" s="1">
        <f>[1]Results!AN1389</f>
        <v>-6.0953361808040114</v>
      </c>
      <c r="AL29" s="1">
        <f>[1]Results!AO1389</f>
        <v>-6.1058572183347763</v>
      </c>
      <c r="AM29" s="1">
        <f>[1]Results!AP1389</f>
        <v>-6.1194797821207629</v>
      </c>
      <c r="AN29" s="1">
        <f>[1]Results!AQ1389</f>
        <v>-6.1358789930420983</v>
      </c>
      <c r="AO29" s="1">
        <f>[1]Results!AR1389</f>
        <v>-6.1549832324060088</v>
      </c>
      <c r="AP29" s="1">
        <f>[1]Results!AS1389</f>
        <v>-6.1765153430530795</v>
      </c>
      <c r="AQ29" s="1">
        <f>[1]Results!AT1389</f>
        <v>-6.2001740220588246</v>
      </c>
      <c r="AR29" s="1">
        <f>[1]Results!AU1389</f>
        <v>-6.2251767550960402</v>
      </c>
      <c r="AS29" s="1">
        <f>[1]Results!AV1389</f>
        <v>-6.2515211636379409</v>
      </c>
      <c r="AT29" s="1">
        <f>[1]Results!AW1389</f>
        <v>-6.2792148439922757</v>
      </c>
      <c r="AU29" s="1">
        <f>[1]Results!AX1389</f>
        <v>-6.3082865518718112</v>
      </c>
      <c r="AV29" s="1">
        <f>[1]Results!AY1389</f>
        <v>-6.3387981740744674</v>
      </c>
      <c r="AW29" s="1">
        <f>[1]Results!AZ1389</f>
        <v>-6.3690137575683092</v>
      </c>
      <c r="AX29" s="1">
        <f>[1]Results!BA1389</f>
        <v>-6.3995836592185888</v>
      </c>
      <c r="AY29" s="1">
        <f>[1]Results!BB1389</f>
        <v>-6.4308855333764399</v>
      </c>
      <c r="AZ29" s="1">
        <f>[1]Results!BC1389</f>
        <v>-6.463143318153131</v>
      </c>
      <c r="BA29" s="1">
        <f>[1]Results!BD1389</f>
        <v>-6.4965353273153887</v>
      </c>
      <c r="BB29" s="1">
        <f>[1]Results!BE1389</f>
        <v>0.8125431429759411</v>
      </c>
      <c r="BC29" s="1">
        <f>[1]Results!BF1389</f>
        <v>0.84413600174433334</v>
      </c>
      <c r="BD29" s="1">
        <f>[1]Results!BG1389</f>
        <v>0.87530829797670684</v>
      </c>
      <c r="BE29" s="1">
        <f>[1]Results!BH1389</f>
        <v>0.90604525289521565</v>
      </c>
      <c r="BF29" s="1">
        <f>[1]Results!BI1389</f>
        <v>0.93634214291802298</v>
      </c>
    </row>
    <row r="30" spans="1:58" x14ac:dyDescent="0.35">
      <c r="A30" s="3" t="str">
        <f>[1]Results!E1390</f>
        <v>100*(DISPINC_AT_VAL_2/DISPINC_AT_VAL_0-1)-100*(PCH_2/PCH_0-1)</v>
      </c>
      <c r="B30" t="str">
        <f>[1]Results!C1390</f>
        <v>Revenu disponible réel des ménages</v>
      </c>
      <c r="C30" s="1">
        <f>[1]Results!F1390</f>
        <v>-0.70015622675820843</v>
      </c>
      <c r="D30" s="1">
        <f>[1]Results!G1390</f>
        <v>-1.2456903309656542</v>
      </c>
      <c r="E30" s="1">
        <f>[1]Results!H1390</f>
        <v>-1.689062117941087</v>
      </c>
      <c r="F30" s="1">
        <f>[1]Results!I1390</f>
        <v>-2.0631202333672327</v>
      </c>
      <c r="G30" s="1">
        <f>[1]Results!J1390</f>
        <v>-2.3841368026242704</v>
      </c>
      <c r="H30" s="1">
        <f>[1]Results!K1390</f>
        <v>-2.6607489451691224</v>
      </c>
      <c r="I30" s="1">
        <f>[1]Results!L1390</f>
        <v>-2.9009559923477091</v>
      </c>
      <c r="J30" s="1">
        <f>[1]Results!M1390</f>
        <v>-3.1088820429281401</v>
      </c>
      <c r="K30" s="1">
        <f>[1]Results!N1390</f>
        <v>-3.2897205770814235</v>
      </c>
      <c r="L30" s="1">
        <f>[1]Results!O1390</f>
        <v>-3.448367091344839</v>
      </c>
      <c r="M30" s="1">
        <f>[1]Results!P1390</f>
        <v>-3.6296513029884352</v>
      </c>
      <c r="N30" s="1">
        <f>[1]Results!Q1390</f>
        <v>-3.7620278034374839</v>
      </c>
      <c r="O30" s="1">
        <f>[1]Results!R1390</f>
        <v>-3.8563226897822549</v>
      </c>
      <c r="P30" s="1">
        <f>[1]Results!S1390</f>
        <v>-3.9202632758612133</v>
      </c>
      <c r="Q30" s="1">
        <f>[1]Results!T1390</f>
        <v>-3.9595406994493487</v>
      </c>
      <c r="R30" s="1">
        <f>[1]Results!U1390</f>
        <v>-3.9792470340686448</v>
      </c>
      <c r="S30" s="1">
        <f>[1]Results!V1390</f>
        <v>-3.9866679917800125</v>
      </c>
      <c r="T30" s="1">
        <f>[1]Results!W1390</f>
        <v>-3.98534004390666</v>
      </c>
      <c r="U30" s="1">
        <f>[1]Results!X1390</f>
        <v>-3.9785537841348968</v>
      </c>
      <c r="V30" s="1">
        <f>[1]Results!Y1390</f>
        <v>-3.9692113845347214</v>
      </c>
      <c r="W30" s="1">
        <f>[1]Results!Z1390</f>
        <v>-3.9604027507151867</v>
      </c>
      <c r="X30" s="1">
        <f>[1]Results!AA1390</f>
        <v>-3.9521643785922485</v>
      </c>
      <c r="Y30" s="1">
        <f>[1]Results!AB1390</f>
        <v>-3.947195384645918</v>
      </c>
      <c r="Z30" s="1">
        <f>[1]Results!AC1390</f>
        <v>-3.9465299032890648</v>
      </c>
      <c r="AA30" s="1">
        <f>[1]Results!AD1390</f>
        <v>-3.9508474712994568</v>
      </c>
      <c r="AB30" s="1">
        <f>[1]Results!AE1390</f>
        <v>-3.9622516123122735</v>
      </c>
      <c r="AC30" s="1">
        <f>[1]Results!AF1390</f>
        <v>-3.9758137440598311</v>
      </c>
      <c r="AD30" s="1">
        <f>[1]Results!AG1390</f>
        <v>-3.9938816824458212</v>
      </c>
      <c r="AE30" s="1">
        <f>[1]Results!AH1390</f>
        <v>-4.0168104049459465</v>
      </c>
      <c r="AF30" s="1">
        <f>[1]Results!AI1390</f>
        <v>-4.0446448263163122</v>
      </c>
      <c r="AG30" s="1">
        <f>[1]Results!AJ1390</f>
        <v>-4.0772392444801913</v>
      </c>
      <c r="AH30" s="1">
        <f>[1]Results!AK1390</f>
        <v>-4.1137165033026992</v>
      </c>
      <c r="AI30" s="1">
        <f>[1]Results!AL1390</f>
        <v>-4.1540177342999973</v>
      </c>
      <c r="AJ30" s="1">
        <f>[1]Results!AM1390</f>
        <v>-4.197978984071705</v>
      </c>
      <c r="AK30" s="1">
        <f>[1]Results!AN1390</f>
        <v>-4.2453606784849551</v>
      </c>
      <c r="AL30" s="1">
        <f>[1]Results!AO1390</f>
        <v>-4.2958866757958463</v>
      </c>
      <c r="AM30" s="1">
        <f>[1]Results!AP1390</f>
        <v>-4.3439420409003509</v>
      </c>
      <c r="AN30" s="1">
        <f>[1]Results!AQ1390</f>
        <v>-4.3907990450889667</v>
      </c>
      <c r="AO30" s="1">
        <f>[1]Results!AR1390</f>
        <v>-4.4376901804607742</v>
      </c>
      <c r="AP30" s="1">
        <f>[1]Results!AS1390</f>
        <v>-4.4852425505474969</v>
      </c>
      <c r="AQ30" s="1">
        <f>[1]Results!AT1390</f>
        <v>-4.5337259715714016</v>
      </c>
      <c r="AR30" s="1">
        <f>[1]Results!AU1390</f>
        <v>-4.582344397687665</v>
      </c>
      <c r="AS30" s="1">
        <f>[1]Results!AV1390</f>
        <v>-4.6315264748483909</v>
      </c>
      <c r="AT30" s="1">
        <f>[1]Results!AW1390</f>
        <v>-4.681577216970223</v>
      </c>
      <c r="AU30" s="1">
        <f>[1]Results!AX1390</f>
        <v>-4.7327047944067058</v>
      </c>
      <c r="AV30" s="1">
        <f>[1]Results!AY1390</f>
        <v>-4.7850609275923999</v>
      </c>
      <c r="AW30" s="1">
        <f>[1]Results!AZ1390</f>
        <v>-4.8356600768547082</v>
      </c>
      <c r="AX30" s="1">
        <f>[1]Results!BA1390</f>
        <v>-4.885894568623284</v>
      </c>
      <c r="AY30" s="1">
        <f>[1]Results!BB1390</f>
        <v>-4.9366545582136707</v>
      </c>
      <c r="AZ30" s="1">
        <f>[1]Results!BC1390</f>
        <v>-4.9884134626950853</v>
      </c>
      <c r="BA30" s="1">
        <f>[1]Results!BD1390</f>
        <v>-5.0414002125514497</v>
      </c>
      <c r="BB30" s="1">
        <f>[1]Results!BE1390</f>
        <v>4.7498446736571331E-2</v>
      </c>
      <c r="BC30" s="1">
        <f>[1]Results!BF1390</f>
        <v>5.1407209653087094E-2</v>
      </c>
      <c r="BD30" s="1">
        <f>[1]Results!BG1390</f>
        <v>5.5114852930970848E-2</v>
      </c>
      <c r="BE30" s="1">
        <f>[1]Results!BH1390</f>
        <v>5.8544590700004839E-2</v>
      </c>
      <c r="BF30" s="1">
        <f>[1]Results!BI1390</f>
        <v>6.1660941499108723E-2</v>
      </c>
    </row>
    <row r="31" spans="1:58" x14ac:dyDescent="0.35">
      <c r="A31" s="3" t="str">
        <f>[1]Results!E1391</f>
        <v>100*(DISPINC_AT_VAL_2/DISPINC_AT_VAL_0-1)-100*((F_L_2/F_L_0)-1)</v>
      </c>
      <c r="B31" t="str">
        <f>[1]Results!C1391</f>
        <v>Revenu disponible par emploi en valeur</v>
      </c>
      <c r="C31" s="1">
        <f>[1]Results!F1391</f>
        <v>-0.12828467911576436</v>
      </c>
      <c r="D31" s="1">
        <f>[1]Results!G1391</f>
        <v>-0.27281093628623854</v>
      </c>
      <c r="E31" s="1">
        <f>[1]Results!H1391</f>
        <v>-0.47682771068855434</v>
      </c>
      <c r="F31" s="1">
        <f>[1]Results!I1391</f>
        <v>-0.73061372038817352</v>
      </c>
      <c r="G31" s="1">
        <f>[1]Results!J1391</f>
        <v>-1.0131808084447802</v>
      </c>
      <c r="H31" s="1">
        <f>[1]Results!K1391</f>
        <v>-1.3054111619745123</v>
      </c>
      <c r="I31" s="1">
        <f>[1]Results!L1391</f>
        <v>-1.5940279653614997</v>
      </c>
      <c r="J31" s="1">
        <f>[1]Results!M1391</f>
        <v>-1.8682850379676315</v>
      </c>
      <c r="K31" s="1">
        <f>[1]Results!N1391</f>
        <v>-2.1221392270821542</v>
      </c>
      <c r="L31" s="1">
        <f>[1]Results!O1391</f>
        <v>-2.3520151368016546</v>
      </c>
      <c r="M31" s="1">
        <f>[1]Results!P1391</f>
        <v>-2.5596026197900916</v>
      </c>
      <c r="N31" s="1">
        <f>[1]Results!Q1391</f>
        <v>-2.7451945127007322</v>
      </c>
      <c r="O31" s="1">
        <f>[1]Results!R1391</f>
        <v>-2.9025077401718451</v>
      </c>
      <c r="P31" s="1">
        <f>[1]Results!S1391</f>
        <v>-3.0258057269059613</v>
      </c>
      <c r="Q31" s="1">
        <f>[1]Results!T1391</f>
        <v>-3.1125129483606684</v>
      </c>
      <c r="R31" s="1">
        <f>[1]Results!U1391</f>
        <v>-3.1630487445740818</v>
      </c>
      <c r="S31" s="1">
        <f>[1]Results!V1391</f>
        <v>-3.1806595732482896</v>
      </c>
      <c r="T31" s="1">
        <f>[1]Results!W1391</f>
        <v>-3.1683714740177615</v>
      </c>
      <c r="U31" s="1">
        <f>[1]Results!X1391</f>
        <v>-3.1302077159964576</v>
      </c>
      <c r="V31" s="1">
        <f>[1]Results!Y1391</f>
        <v>-3.0705512066927736</v>
      </c>
      <c r="W31" s="1">
        <f>[1]Results!Z1391</f>
        <v>-2.9944523084135981</v>
      </c>
      <c r="X31" s="1">
        <f>[1]Results!AA1391</f>
        <v>-2.9044260983148158</v>
      </c>
      <c r="Y31" s="1">
        <f>[1]Results!AB1391</f>
        <v>-2.8055980902881523</v>
      </c>
      <c r="Z31" s="1">
        <f>[1]Results!AC1391</f>
        <v>-2.701499091149973</v>
      </c>
      <c r="AA31" s="1">
        <f>[1]Results!AD1391</f>
        <v>-2.5952874127980974</v>
      </c>
      <c r="AB31" s="1">
        <f>[1]Results!AE1391</f>
        <v>-2.4914312051206648</v>
      </c>
      <c r="AC31" s="1">
        <f>[1]Results!AF1391</f>
        <v>-2.3881222986842703</v>
      </c>
      <c r="AD31" s="1">
        <f>[1]Results!AG1391</f>
        <v>-2.2894928021182204</v>
      </c>
      <c r="AE31" s="1">
        <f>[1]Results!AH1391</f>
        <v>-2.1972423669959102</v>
      </c>
      <c r="AF31" s="1">
        <f>[1]Results!AI1391</f>
        <v>-2.1124938849138459</v>
      </c>
      <c r="AG31" s="1">
        <f>[1]Results!AJ1391</f>
        <v>-2.0359807284039961</v>
      </c>
      <c r="AH31" s="1">
        <f>[1]Results!AK1391</f>
        <v>-1.9678622267275117</v>
      </c>
      <c r="AI31" s="1">
        <f>[1]Results!AL1391</f>
        <v>-1.9085684745757776</v>
      </c>
      <c r="AJ31" s="1">
        <f>[1]Results!AM1391</f>
        <v>-1.8581817725888961</v>
      </c>
      <c r="AK31" s="1">
        <f>[1]Results!AN1391</f>
        <v>-1.8165511287604126</v>
      </c>
      <c r="AL31" s="1">
        <f>[1]Results!AO1391</f>
        <v>-1.7833669851391125</v>
      </c>
      <c r="AM31" s="1">
        <f>[1]Results!AP1391</f>
        <v>-1.7557213919329744</v>
      </c>
      <c r="AN31" s="1">
        <f>[1]Results!AQ1391</f>
        <v>-1.7344962092812883</v>
      </c>
      <c r="AO31" s="1">
        <f>[1]Results!AR1391</f>
        <v>-1.7197242438270148</v>
      </c>
      <c r="AP31" s="1">
        <f>[1]Results!AS1391</f>
        <v>-1.7107699933008647</v>
      </c>
      <c r="AQ31" s="1">
        <f>[1]Results!AT1391</f>
        <v>-1.7068106018736655</v>
      </c>
      <c r="AR31" s="1">
        <f>[1]Results!AU1391</f>
        <v>-1.7066049167437818</v>
      </c>
      <c r="AS31" s="1">
        <f>[1]Results!AV1391</f>
        <v>-1.7098861449316942</v>
      </c>
      <c r="AT31" s="1">
        <f>[1]Results!AW1391</f>
        <v>-1.716289158411322</v>
      </c>
      <c r="AU31" s="1">
        <f>[1]Results!AX1391</f>
        <v>-1.725463467099198</v>
      </c>
      <c r="AV31" s="1">
        <f>[1]Results!AY1391</f>
        <v>-1.7371220096163995</v>
      </c>
      <c r="AW31" s="1">
        <f>[1]Results!AZ1391</f>
        <v>-1.7493138600505613</v>
      </c>
      <c r="AX31" s="1">
        <f>[1]Results!BA1391</f>
        <v>-1.7631654629045483</v>
      </c>
      <c r="AY31" s="1">
        <f>[1]Results!BB1391</f>
        <v>-1.7789132641826235</v>
      </c>
      <c r="AZ31" s="1">
        <f>[1]Results!BC1391</f>
        <v>-1.7964652047582685</v>
      </c>
      <c r="BA31" s="1">
        <f>[1]Results!BD1391</f>
        <v>-1.8156644791815992</v>
      </c>
      <c r="BB31" s="1">
        <f>[1]Results!BE1391</f>
        <v>0.67226973873200091</v>
      </c>
      <c r="BC31" s="1">
        <f>[1]Results!BF1391</f>
        <v>0.69672447596293985</v>
      </c>
      <c r="BD31" s="1">
        <f>[1]Results!BG1391</f>
        <v>0.72048719210395795</v>
      </c>
      <c r="BE31" s="1">
        <f>[1]Results!BH1391</f>
        <v>0.74351876459619604</v>
      </c>
      <c r="BF31" s="1">
        <f>[1]Results!BI1391</f>
        <v>0.76583071177447337</v>
      </c>
    </row>
    <row r="32" spans="1:58" x14ac:dyDescent="0.35">
      <c r="A32" s="3" t="str">
        <f>[1]Results!E1392</f>
        <v>100*(DISPINC_AT_VAL_2/DISPINC_AT_VAL_0-1)-100*((F_L_2/F_L_0)-1)-100*(PCH_2/PCH_0-1)</v>
      </c>
      <c r="B32" t="str">
        <f>[1]Results!C1392</f>
        <v>Revenu disponible réel par emploi</v>
      </c>
      <c r="C32" s="1">
        <f>[1]Results!F1392</f>
        <v>-4.3680904309484347E-2</v>
      </c>
      <c r="D32" s="1">
        <f>[1]Results!G1392</f>
        <v>1.7360938109112212E-3</v>
      </c>
      <c r="E32" s="1">
        <f>[1]Results!H1392</f>
        <v>3.7151434741600209E-2</v>
      </c>
      <c r="F32" s="1">
        <f>[1]Results!I1392</f>
        <v>3.8623857494290981E-2</v>
      </c>
      <c r="G32" s="1">
        <f>[1]Results!J1392</f>
        <v>9.5978104495686445E-3</v>
      </c>
      <c r="H32" s="1">
        <f>[1]Results!K1392</f>
        <v>-3.8926329283117678E-2</v>
      </c>
      <c r="I32" s="1">
        <f>[1]Results!L1392</f>
        <v>-9.7087906069204255E-2</v>
      </c>
      <c r="J32" s="1">
        <f>[1]Results!M1392</f>
        <v>-0.15567236179304622</v>
      </c>
      <c r="K32" s="1">
        <f>[1]Results!N1392</f>
        <v>-0.20967577594783782</v>
      </c>
      <c r="L32" s="1">
        <f>[1]Results!O1392</f>
        <v>-0.25634646968616348</v>
      </c>
      <c r="M32" s="1">
        <f>[1]Results!P1392</f>
        <v>-0.28406475378033358</v>
      </c>
      <c r="N32" s="1">
        <f>[1]Results!Q1392</f>
        <v>-0.31256712711349399</v>
      </c>
      <c r="O32" s="1">
        <f>[1]Results!R1392</f>
        <v>-0.34214334359916654</v>
      </c>
      <c r="P32" s="1">
        <f>[1]Results!S1392</f>
        <v>-0.36780427293912066</v>
      </c>
      <c r="Q32" s="1">
        <f>[1]Results!T1392</f>
        <v>-0.38524410739965154</v>
      </c>
      <c r="R32" s="1">
        <f>[1]Results!U1392</f>
        <v>-0.39231991293940949</v>
      </c>
      <c r="S32" s="1">
        <f>[1]Results!V1392</f>
        <v>-0.39021432782104748</v>
      </c>
      <c r="T32" s="1">
        <f>[1]Results!W1392</f>
        <v>-0.37874248263466415</v>
      </c>
      <c r="U32" s="1">
        <f>[1]Results!X1392</f>
        <v>-0.35891360490750657</v>
      </c>
      <c r="V32" s="1">
        <f>[1]Results!Y1392</f>
        <v>-0.33228093306306761</v>
      </c>
      <c r="W32" s="1">
        <f>[1]Results!Z1392</f>
        <v>-0.30104535561169588</v>
      </c>
      <c r="X32" s="1">
        <f>[1]Results!AA1392</f>
        <v>-0.26535236994511502</v>
      </c>
      <c r="Y32" s="1">
        <f>[1]Results!AB1392</f>
        <v>-0.2280015585609414</v>
      </c>
      <c r="Z32" s="1">
        <f>[1]Results!AC1392</f>
        <v>-0.19034310430517998</v>
      </c>
      <c r="AA32" s="1">
        <f>[1]Results!AD1392</f>
        <v>-0.15354425771872959</v>
      </c>
      <c r="AB32" s="1">
        <f>[1]Results!AE1392</f>
        <v>-0.11988792205364129</v>
      </c>
      <c r="AC32" s="1">
        <f>[1]Results!AF1392</f>
        <v>-8.5927790841611618E-2</v>
      </c>
      <c r="AD32" s="1">
        <f>[1]Results!AG1392</f>
        <v>-5.4987493625424655E-2</v>
      </c>
      <c r="AE32" s="1">
        <f>[1]Results!AH1392</f>
        <v>-2.810121082952266E-2</v>
      </c>
      <c r="AF32" s="1">
        <f>[1]Results!AI1392</f>
        <v>-5.8275779833634189E-3</v>
      </c>
      <c r="AG32" s="1">
        <f>[1]Results!AJ1392</f>
        <v>1.1554046096229786E-2</v>
      </c>
      <c r="AH32" s="1">
        <f>[1]Results!AK1392</f>
        <v>2.4431302684847278E-2</v>
      </c>
      <c r="AI32" s="1">
        <f>[1]Results!AL1392</f>
        <v>3.242442596783679E-2</v>
      </c>
      <c r="AJ32" s="1">
        <f>[1]Results!AM1392</f>
        <v>3.5409461592295077E-2</v>
      </c>
      <c r="AK32" s="1">
        <f>[1]Results!AN1392</f>
        <v>3.3424373558644138E-2</v>
      </c>
      <c r="AL32" s="1">
        <f>[1]Results!AO1392</f>
        <v>2.6603557399817568E-2</v>
      </c>
      <c r="AM32" s="1">
        <f>[1]Results!AP1392</f>
        <v>1.9816349287437696E-2</v>
      </c>
      <c r="AN32" s="1">
        <f>[1]Results!AQ1392</f>
        <v>1.0583738671843701E-2</v>
      </c>
      <c r="AO32" s="1">
        <f>[1]Results!AR1392</f>
        <v>-2.4311918817803146E-3</v>
      </c>
      <c r="AP32" s="1">
        <f>[1]Results!AS1392</f>
        <v>-1.9497200795282055E-2</v>
      </c>
      <c r="AQ32" s="1">
        <f>[1]Results!AT1392</f>
        <v>-4.0362551386242007E-2</v>
      </c>
      <c r="AR32" s="1">
        <f>[1]Results!AU1392</f>
        <v>-6.3772559335407042E-2</v>
      </c>
      <c r="AS32" s="1">
        <f>[1]Results!AV1392</f>
        <v>-8.9891456142144222E-2</v>
      </c>
      <c r="AT32" s="1">
        <f>[1]Results!AW1392</f>
        <v>-0.11865153138926932</v>
      </c>
      <c r="AU32" s="1">
        <f>[1]Results!AX1392</f>
        <v>-0.14988170963409253</v>
      </c>
      <c r="AV32" s="1">
        <f>[1]Results!AY1392</f>
        <v>-0.18338476313433194</v>
      </c>
      <c r="AW32" s="1">
        <f>[1]Results!AZ1392</f>
        <v>-0.21596017933696077</v>
      </c>
      <c r="AX32" s="1">
        <f>[1]Results!BA1392</f>
        <v>-0.24947637230924347</v>
      </c>
      <c r="AY32" s="1">
        <f>[1]Results!BB1392</f>
        <v>-0.28468228901985437</v>
      </c>
      <c r="AZ32" s="1">
        <f>[1]Results!BC1392</f>
        <v>-0.32173534930022285</v>
      </c>
      <c r="BA32" s="1">
        <f>[1]Results!BD1392</f>
        <v>-0.36052936441766015</v>
      </c>
      <c r="BB32" s="1">
        <f>[1]Results!BE1392</f>
        <v>-9.277495750736886E-2</v>
      </c>
      <c r="BC32" s="1">
        <f>[1]Results!BF1392</f>
        <v>-9.6004316128306399E-2</v>
      </c>
      <c r="BD32" s="1">
        <f>[1]Results!BG1392</f>
        <v>-9.970625294177804E-2</v>
      </c>
      <c r="BE32" s="1">
        <f>[1]Results!BH1392</f>
        <v>-0.10398189759901477</v>
      </c>
      <c r="BF32" s="1">
        <f>[1]Results!BI1392</f>
        <v>-0.10885048964444088</v>
      </c>
    </row>
    <row r="33" spans="1:58" x14ac:dyDescent="0.35">
      <c r="A33" s="3" t="str">
        <f>[1]Results!E1393</f>
        <v>100*(MPS_n_2-MPS_n_0)</v>
      </c>
      <c r="B33" t="str">
        <f>[1]Results!C1393</f>
        <v>Taux d'épargne</v>
      </c>
      <c r="C33" s="1">
        <f>[1]Results!F1393</f>
        <v>0</v>
      </c>
      <c r="D33" s="1">
        <f>[1]Results!G1393</f>
        <v>0</v>
      </c>
      <c r="E33" s="1">
        <f>[1]Results!H1393</f>
        <v>0</v>
      </c>
      <c r="F33" s="1">
        <f>[1]Results!I1393</f>
        <v>0</v>
      </c>
      <c r="G33" s="1">
        <f>[1]Results!J1393</f>
        <v>0</v>
      </c>
      <c r="H33" s="1">
        <f>[1]Results!K1393</f>
        <v>0</v>
      </c>
      <c r="I33" s="1">
        <f>[1]Results!L1393</f>
        <v>0</v>
      </c>
      <c r="J33" s="1">
        <f>[1]Results!M1393</f>
        <v>0</v>
      </c>
      <c r="K33" s="1">
        <f>[1]Results!N1393</f>
        <v>0</v>
      </c>
      <c r="L33" s="1">
        <f>[1]Results!O1393</f>
        <v>0</v>
      </c>
      <c r="M33" s="1">
        <f>[1]Results!P1393</f>
        <v>0</v>
      </c>
      <c r="N33" s="1">
        <f>[1]Results!Q1393</f>
        <v>0</v>
      </c>
      <c r="O33" s="1">
        <f>[1]Results!R1393</f>
        <v>0</v>
      </c>
      <c r="P33" s="1">
        <f>[1]Results!S1393</f>
        <v>0</v>
      </c>
      <c r="Q33" s="1">
        <f>[1]Results!T1393</f>
        <v>0</v>
      </c>
      <c r="R33" s="1">
        <f>[1]Results!U1393</f>
        <v>0</v>
      </c>
      <c r="S33" s="1">
        <f>[1]Results!V1393</f>
        <v>0</v>
      </c>
      <c r="T33" s="1">
        <f>[1]Results!W1393</f>
        <v>0</v>
      </c>
      <c r="U33" s="1">
        <f>[1]Results!X1393</f>
        <v>0</v>
      </c>
      <c r="V33" s="1">
        <f>[1]Results!Y1393</f>
        <v>0</v>
      </c>
      <c r="W33" s="1">
        <f>[1]Results!Z1393</f>
        <v>0</v>
      </c>
      <c r="X33" s="1">
        <f>[1]Results!AA1393</f>
        <v>0</v>
      </c>
      <c r="Y33" s="1">
        <f>[1]Results!AB1393</f>
        <v>0</v>
      </c>
      <c r="Z33" s="1">
        <f>[1]Results!AC1393</f>
        <v>0</v>
      </c>
      <c r="AA33" s="1">
        <f>[1]Results!AD1393</f>
        <v>0</v>
      </c>
      <c r="AB33" s="1">
        <f>[1]Results!AE1393</f>
        <v>0</v>
      </c>
      <c r="AC33" s="1">
        <f>[1]Results!AF1393</f>
        <v>0</v>
      </c>
      <c r="AD33" s="1">
        <f>[1]Results!AG1393</f>
        <v>0</v>
      </c>
      <c r="AE33" s="1">
        <f>[1]Results!AH1393</f>
        <v>0</v>
      </c>
      <c r="AF33" s="1">
        <f>[1]Results!AI1393</f>
        <v>0</v>
      </c>
      <c r="AG33" s="1">
        <f>[1]Results!AJ1393</f>
        <v>0</v>
      </c>
      <c r="AH33" s="1">
        <f>[1]Results!AK1393</f>
        <v>0</v>
      </c>
      <c r="AI33" s="1">
        <f>[1]Results!AL1393</f>
        <v>0</v>
      </c>
      <c r="AJ33" s="1">
        <f>[1]Results!AM1393</f>
        <v>0</v>
      </c>
      <c r="AK33" s="1">
        <f>[1]Results!AN1393</f>
        <v>0</v>
      </c>
      <c r="AL33" s="1">
        <f>[1]Results!AO1393</f>
        <v>0</v>
      </c>
      <c r="AM33" s="1">
        <f>[1]Results!AP1393</f>
        <v>0</v>
      </c>
      <c r="AN33" s="1">
        <f>[1]Results!AQ1393</f>
        <v>0</v>
      </c>
      <c r="AO33" s="1">
        <f>[1]Results!AR1393</f>
        <v>0</v>
      </c>
      <c r="AP33" s="1">
        <f>[1]Results!AS1393</f>
        <v>0</v>
      </c>
      <c r="AQ33" s="1">
        <f>[1]Results!AT1393</f>
        <v>0</v>
      </c>
      <c r="AR33" s="1">
        <f>[1]Results!AU1393</f>
        <v>0</v>
      </c>
      <c r="AS33" s="1">
        <f>[1]Results!AV1393</f>
        <v>0</v>
      </c>
      <c r="AT33" s="1">
        <f>[1]Results!AW1393</f>
        <v>0</v>
      </c>
      <c r="AU33" s="1">
        <f>[1]Results!AX1393</f>
        <v>0</v>
      </c>
      <c r="AV33" s="1">
        <f>[1]Results!AY1393</f>
        <v>0</v>
      </c>
      <c r="AW33" s="1">
        <f>[1]Results!AZ1393</f>
        <v>0</v>
      </c>
      <c r="AX33" s="1">
        <f>[1]Results!BA1393</f>
        <v>0</v>
      </c>
      <c r="AY33" s="1">
        <f>[1]Results!BB1393</f>
        <v>0</v>
      </c>
      <c r="AZ33" s="1">
        <f>[1]Results!BC1393</f>
        <v>0</v>
      </c>
      <c r="BA33" s="1">
        <f>[1]Results!BD1393</f>
        <v>0</v>
      </c>
      <c r="BB33" s="1">
        <f>[1]Results!BE1393</f>
        <v>0</v>
      </c>
      <c r="BC33" s="1">
        <f>[1]Results!BF1393</f>
        <v>0</v>
      </c>
      <c r="BD33" s="1">
        <f>[1]Results!BG1393</f>
        <v>0</v>
      </c>
      <c r="BE33" s="1">
        <f>[1]Results!BH1393</f>
        <v>0</v>
      </c>
      <c r="BF33" s="1">
        <f>[1]Results!BI1393</f>
        <v>0</v>
      </c>
    </row>
    <row r="34" spans="1:58" x14ac:dyDescent="0.35">
      <c r="A34" s="3" t="str">
        <f>[1]Results!E1394</f>
        <v>100*(PCH_2/PCH_0-1)</v>
      </c>
      <c r="B34" t="str">
        <f>[1]Results!C1394</f>
        <v>Prix à la consommation des ménages</v>
      </c>
      <c r="C34" s="1">
        <f>[1]Results!F1394</f>
        <v>-0.70015622675820843</v>
      </c>
      <c r="D34" s="1">
        <f>[1]Results!G1394</f>
        <v>-1.2456903309656542</v>
      </c>
      <c r="E34" s="1">
        <f>[1]Results!H1394</f>
        <v>-1.689062117941087</v>
      </c>
      <c r="F34" s="1">
        <f>[1]Results!I1394</f>
        <v>-2.0631202333672327</v>
      </c>
      <c r="G34" s="1">
        <f>[1]Results!J1394</f>
        <v>-2.3841368026242704</v>
      </c>
      <c r="H34" s="1">
        <f>[1]Results!K1394</f>
        <v>-2.6607489451691224</v>
      </c>
      <c r="I34" s="1">
        <f>[1]Results!L1394</f>
        <v>-2.9009559923477091</v>
      </c>
      <c r="J34" s="1">
        <f>[1]Results!M1394</f>
        <v>-3.1088820429281401</v>
      </c>
      <c r="K34" s="1">
        <f>[1]Results!N1394</f>
        <v>-3.2897205770814235</v>
      </c>
      <c r="L34" s="1">
        <f>[1]Results!O1394</f>
        <v>-3.448367091344839</v>
      </c>
      <c r="M34" s="1">
        <f>[1]Results!P1394</f>
        <v>-3.6296513029884352</v>
      </c>
      <c r="N34" s="1">
        <f>[1]Results!Q1394</f>
        <v>-3.7620278034374839</v>
      </c>
      <c r="O34" s="1">
        <f>[1]Results!R1394</f>
        <v>-3.8563226897822549</v>
      </c>
      <c r="P34" s="1">
        <f>[1]Results!S1394</f>
        <v>-3.9202632758612133</v>
      </c>
      <c r="Q34" s="1">
        <f>[1]Results!T1394</f>
        <v>-3.9595406994493487</v>
      </c>
      <c r="R34" s="1">
        <f>[1]Results!U1394</f>
        <v>-3.9792470340686448</v>
      </c>
      <c r="S34" s="1">
        <f>[1]Results!V1394</f>
        <v>-3.9866679917800125</v>
      </c>
      <c r="T34" s="1">
        <f>[1]Results!W1394</f>
        <v>-3.98534004390666</v>
      </c>
      <c r="U34" s="1">
        <f>[1]Results!X1394</f>
        <v>-3.9785537841348968</v>
      </c>
      <c r="V34" s="1">
        <f>[1]Results!Y1394</f>
        <v>-3.9692113845347214</v>
      </c>
      <c r="W34" s="1">
        <f>[1]Results!Z1394</f>
        <v>-3.9604027507151867</v>
      </c>
      <c r="X34" s="1">
        <f>[1]Results!AA1394</f>
        <v>-3.9521643785922485</v>
      </c>
      <c r="Y34" s="1">
        <f>[1]Results!AB1394</f>
        <v>-3.947195384645918</v>
      </c>
      <c r="Z34" s="1">
        <f>[1]Results!AC1394</f>
        <v>-3.9465299032890648</v>
      </c>
      <c r="AA34" s="1">
        <f>[1]Results!AD1394</f>
        <v>-3.9508474712994568</v>
      </c>
      <c r="AB34" s="1">
        <f>[1]Results!AE1394</f>
        <v>-3.9622516123122735</v>
      </c>
      <c r="AC34" s="1">
        <f>[1]Results!AF1394</f>
        <v>-3.9758137440598311</v>
      </c>
      <c r="AD34" s="1">
        <f>[1]Results!AG1394</f>
        <v>-3.9938816824458212</v>
      </c>
      <c r="AE34" s="1">
        <f>[1]Results!AH1394</f>
        <v>-4.0168104049459465</v>
      </c>
      <c r="AF34" s="1">
        <f>[1]Results!AI1394</f>
        <v>-4.0446448263163122</v>
      </c>
      <c r="AG34" s="1">
        <f>[1]Results!AJ1394</f>
        <v>-4.0772392444801913</v>
      </c>
      <c r="AH34" s="1">
        <f>[1]Results!AK1394</f>
        <v>-4.1137165033026992</v>
      </c>
      <c r="AI34" s="1">
        <f>[1]Results!AL1394</f>
        <v>-4.1540177342999973</v>
      </c>
      <c r="AJ34" s="1">
        <f>[1]Results!AM1394</f>
        <v>-4.197978984071705</v>
      </c>
      <c r="AK34" s="1">
        <f>[1]Results!AN1394</f>
        <v>-4.2453606784849551</v>
      </c>
      <c r="AL34" s="1">
        <f>[1]Results!AO1394</f>
        <v>-4.2958866757958463</v>
      </c>
      <c r="AM34" s="1">
        <f>[1]Results!AP1394</f>
        <v>-4.3439420409003509</v>
      </c>
      <c r="AN34" s="1">
        <f>[1]Results!AQ1394</f>
        <v>-4.3907990450889667</v>
      </c>
      <c r="AO34" s="1">
        <f>[1]Results!AR1394</f>
        <v>-4.4376901804607742</v>
      </c>
      <c r="AP34" s="1">
        <f>[1]Results!AS1394</f>
        <v>-4.4852425505474969</v>
      </c>
      <c r="AQ34" s="1">
        <f>[1]Results!AT1394</f>
        <v>-4.5337259715714016</v>
      </c>
      <c r="AR34" s="1">
        <f>[1]Results!AU1394</f>
        <v>-4.582344397687665</v>
      </c>
      <c r="AS34" s="1">
        <f>[1]Results!AV1394</f>
        <v>-4.6315264748483909</v>
      </c>
      <c r="AT34" s="1">
        <f>[1]Results!AW1394</f>
        <v>-4.681577216970223</v>
      </c>
      <c r="AU34" s="1">
        <f>[1]Results!AX1394</f>
        <v>-4.7327047944067058</v>
      </c>
      <c r="AV34" s="1">
        <f>[1]Results!AY1394</f>
        <v>-4.7850609275923999</v>
      </c>
      <c r="AW34" s="1">
        <f>[1]Results!AZ1394</f>
        <v>-4.8356600768547082</v>
      </c>
      <c r="AX34" s="1">
        <f>[1]Results!BA1394</f>
        <v>-4.885894568623284</v>
      </c>
      <c r="AY34" s="1">
        <f>[1]Results!BB1394</f>
        <v>-4.9366545582136707</v>
      </c>
      <c r="AZ34" s="1">
        <f>[1]Results!BC1394</f>
        <v>-4.9884134626950853</v>
      </c>
      <c r="BA34" s="1">
        <f>[1]Results!BD1394</f>
        <v>-5.0414002125514497</v>
      </c>
      <c r="BB34" s="1">
        <f>[1]Results!BE1394</f>
        <v>4.7498446736571331E-2</v>
      </c>
      <c r="BC34" s="1">
        <f>[1]Results!BF1394</f>
        <v>5.1407209653087094E-2</v>
      </c>
      <c r="BD34" s="1">
        <f>[1]Results!BG1394</f>
        <v>5.5114852930970848E-2</v>
      </c>
      <c r="BE34" s="1">
        <f>[1]Results!BH1394</f>
        <v>5.8544590700004839E-2</v>
      </c>
      <c r="BF34" s="1">
        <f>[1]Results!BI1394</f>
        <v>6.1660941499108723E-2</v>
      </c>
    </row>
    <row r="35" spans="1:58" x14ac:dyDescent="0.35">
      <c r="A35" s="3" t="str">
        <f>[1]Results!E1395</f>
        <v>100*(PY_2/PY_0-1)</v>
      </c>
      <c r="B35" t="str">
        <f>[1]Results!C1395</f>
        <v>Prix à la production marchande</v>
      </c>
      <c r="C35" s="1">
        <f>[1]Results!F1395</f>
        <v>-0.1328750344048113</v>
      </c>
      <c r="D35" s="1">
        <f>[1]Results!G1395</f>
        <v>-0.38320927925398207</v>
      </c>
      <c r="E35" s="1">
        <f>[1]Results!H1395</f>
        <v>-0.68614311160321018</v>
      </c>
      <c r="F35" s="1">
        <f>[1]Results!I1395</f>
        <v>-1.002893527274884</v>
      </c>
      <c r="G35" s="1">
        <f>[1]Results!J1395</f>
        <v>-1.313542249326427</v>
      </c>
      <c r="H35" s="1">
        <f>[1]Results!K1395</f>
        <v>-1.6093222509161675</v>
      </c>
      <c r="I35" s="1">
        <f>[1]Results!L1395</f>
        <v>-1.8870542905959908</v>
      </c>
      <c r="J35" s="1">
        <f>[1]Results!M1395</f>
        <v>-2.1455762112948196</v>
      </c>
      <c r="K35" s="1">
        <f>[1]Results!N1395</f>
        <v>-2.3841686869873202</v>
      </c>
      <c r="L35" s="1">
        <f>[1]Results!O1395</f>
        <v>-2.6022249957678545</v>
      </c>
      <c r="M35" s="1">
        <f>[1]Results!P1395</f>
        <v>-2.8168024443581241</v>
      </c>
      <c r="N35" s="1">
        <f>[1]Results!Q1395</f>
        <v>-3.0033640108317994</v>
      </c>
      <c r="O35" s="1">
        <f>[1]Results!R1395</f>
        <v>-3.1542492014626444</v>
      </c>
      <c r="P35" s="1">
        <f>[1]Results!S1395</f>
        <v>-3.2687634643634111</v>
      </c>
      <c r="Q35" s="1">
        <f>[1]Results!T1395</f>
        <v>-3.349292695094308</v>
      </c>
      <c r="R35" s="1">
        <f>[1]Results!U1395</f>
        <v>-3.399188563541089</v>
      </c>
      <c r="S35" s="1">
        <f>[1]Results!V1395</f>
        <v>-3.4212522577342419</v>
      </c>
      <c r="T35" s="1">
        <f>[1]Results!W1395</f>
        <v>-3.4193672578197387</v>
      </c>
      <c r="U35" s="1">
        <f>[1]Results!X1395</f>
        <v>-3.3971299845438563</v>
      </c>
      <c r="V35" s="1">
        <f>[1]Results!Y1395</f>
        <v>-3.3578735774085877</v>
      </c>
      <c r="W35" s="1">
        <f>[1]Results!Z1395</f>
        <v>-3.3049063180036309</v>
      </c>
      <c r="X35" s="1">
        <f>[1]Results!AA1395</f>
        <v>-3.2410295107317078</v>
      </c>
      <c r="Y35" s="1">
        <f>[1]Results!AB1395</f>
        <v>-3.1689046916877128</v>
      </c>
      <c r="Z35" s="1">
        <f>[1]Results!AC1395</f>
        <v>-3.0910521155389836</v>
      </c>
      <c r="AA35" s="1">
        <f>[1]Results!AD1395</f>
        <v>-3.0097732899262875</v>
      </c>
      <c r="AB35" s="1">
        <f>[1]Results!AE1395</f>
        <v>-2.9275297425196523</v>
      </c>
      <c r="AC35" s="1">
        <f>[1]Results!AF1395</f>
        <v>-2.8463080758262649</v>
      </c>
      <c r="AD35" s="1">
        <f>[1]Results!AG1395</f>
        <v>-2.7669635346541321</v>
      </c>
      <c r="AE35" s="1">
        <f>[1]Results!AH1395</f>
        <v>-2.6902449688968044</v>
      </c>
      <c r="AF35" s="1">
        <f>[1]Results!AI1395</f>
        <v>-2.6167996143782846</v>
      </c>
      <c r="AG35" s="1">
        <f>[1]Results!AJ1395</f>
        <v>-2.5471566276924595</v>
      </c>
      <c r="AH35" s="1">
        <f>[1]Results!AK1395</f>
        <v>-2.48194331188345</v>
      </c>
      <c r="AI35" s="1">
        <f>[1]Results!AL1395</f>
        <v>-2.4212233252263404</v>
      </c>
      <c r="AJ35" s="1">
        <f>[1]Results!AM1395</f>
        <v>-2.3649540097989363</v>
      </c>
      <c r="AK35" s="1">
        <f>[1]Results!AN1395</f>
        <v>-2.3130132355777877</v>
      </c>
      <c r="AL35" s="1">
        <f>[1]Results!AO1395</f>
        <v>-2.265209519904654</v>
      </c>
      <c r="AM35" s="1">
        <f>[1]Results!AP1395</f>
        <v>-2.2237197677563492</v>
      </c>
      <c r="AN35" s="1">
        <f>[1]Results!AQ1395</f>
        <v>-2.1866806814988204</v>
      </c>
      <c r="AO35" s="1">
        <f>[1]Results!AR1395</f>
        <v>-2.1525551140221144</v>
      </c>
      <c r="AP35" s="1">
        <f>[1]Results!AS1395</f>
        <v>-2.1203146908054138</v>
      </c>
      <c r="AQ35" s="1">
        <f>[1]Results!AT1395</f>
        <v>-2.0893541772908919</v>
      </c>
      <c r="AR35" s="1">
        <f>[1]Results!AU1395</f>
        <v>-2.059751139287036</v>
      </c>
      <c r="AS35" s="1">
        <f>[1]Results!AV1395</f>
        <v>-2.0310654347596935</v>
      </c>
      <c r="AT35" s="1">
        <f>[1]Results!AW1395</f>
        <v>-2.0030038847986931</v>
      </c>
      <c r="AU35" s="1">
        <f>[1]Results!AX1395</f>
        <v>-1.9754033458967646</v>
      </c>
      <c r="AV35" s="1">
        <f>[1]Results!AY1395</f>
        <v>-1.9481972635158384</v>
      </c>
      <c r="AW35" s="1">
        <f>[1]Results!AZ1395</f>
        <v>-1.9228417183527857</v>
      </c>
      <c r="AX35" s="1">
        <f>[1]Results!BA1395</f>
        <v>-1.8984487345466095</v>
      </c>
      <c r="AY35" s="1">
        <f>[1]Results!BB1395</f>
        <v>-1.8744059403636104</v>
      </c>
      <c r="AZ35" s="1">
        <f>[1]Results!BC1395</f>
        <v>-1.8504321318667971</v>
      </c>
      <c r="BA35" s="1">
        <f>[1]Results!BD1395</f>
        <v>-1.8264960194048885</v>
      </c>
      <c r="BB35" s="1">
        <f>[1]Results!BE1395</f>
        <v>0.92349145427912394</v>
      </c>
      <c r="BC35" s="1">
        <f>[1]Results!BF1395</f>
        <v>0.95712879840108567</v>
      </c>
      <c r="BD35" s="1">
        <f>[1]Results!BG1395</f>
        <v>0.99049300470144264</v>
      </c>
      <c r="BE35" s="1">
        <f>[1]Results!BH1395</f>
        <v>1.0236628073144516</v>
      </c>
      <c r="BF35" s="1">
        <f>[1]Results!BI1395</f>
        <v>1.0566729836185118</v>
      </c>
    </row>
    <row r="36" spans="1:58" x14ac:dyDescent="0.35">
      <c r="A36" s="3" t="str">
        <f>[1]Results!E1396</f>
        <v>100*(PX_2/PX_0-1)</v>
      </c>
      <c r="B36" t="str">
        <f>[1]Results!C1396</f>
        <v>Prix des exportations</v>
      </c>
      <c r="C36" s="1">
        <f>[1]Results!F1396</f>
        <v>-0.1890766332683147</v>
      </c>
      <c r="D36" s="1">
        <f>[1]Results!G1396</f>
        <v>-0.44183865086671048</v>
      </c>
      <c r="E36" s="1">
        <f>[1]Results!H1396</f>
        <v>-0.70683850833191952</v>
      </c>
      <c r="F36" s="1">
        <f>[1]Results!I1396</f>
        <v>-0.96464932250777125</v>
      </c>
      <c r="G36" s="1">
        <f>[1]Results!J1396</f>
        <v>-1.2084714095754068</v>
      </c>
      <c r="H36" s="1">
        <f>[1]Results!K1396</f>
        <v>-1.4367662801533898</v>
      </c>
      <c r="I36" s="1">
        <f>[1]Results!L1396</f>
        <v>-1.6498745788633862</v>
      </c>
      <c r="J36" s="1">
        <f>[1]Results!M1396</f>
        <v>-1.8480190623304193</v>
      </c>
      <c r="K36" s="1">
        <f>[1]Results!N1396</f>
        <v>-2.0308973172479816</v>
      </c>
      <c r="L36" s="1">
        <f>[1]Results!O1396</f>
        <v>-2.1979232329400245</v>
      </c>
      <c r="M36" s="1">
        <f>[1]Results!P1396</f>
        <v>-2.3683931431568883</v>
      </c>
      <c r="N36" s="1">
        <f>[1]Results!Q1396</f>
        <v>-2.5108691812769757</v>
      </c>
      <c r="O36" s="1">
        <f>[1]Results!R1396</f>
        <v>-2.6199352395721687</v>
      </c>
      <c r="P36" s="1">
        <f>[1]Results!S1396</f>
        <v>-2.6975122104096916</v>
      </c>
      <c r="Q36" s="1">
        <f>[1]Results!T1396</f>
        <v>-2.7474205430253695</v>
      </c>
      <c r="R36" s="1">
        <f>[1]Results!U1396</f>
        <v>-2.7734621951781224</v>
      </c>
      <c r="S36" s="1">
        <f>[1]Results!V1396</f>
        <v>-2.7785994579965445</v>
      </c>
      <c r="T36" s="1">
        <f>[1]Results!W1396</f>
        <v>-2.7659623122053389</v>
      </c>
      <c r="U36" s="1">
        <f>[1]Results!X1396</f>
        <v>-2.7383138192513257</v>
      </c>
      <c r="V36" s="1">
        <f>[1]Results!Y1396</f>
        <v>-2.6981905434791731</v>
      </c>
      <c r="W36" s="1">
        <f>[1]Results!Z1396</f>
        <v>-2.6481271838440956</v>
      </c>
      <c r="X36" s="1">
        <f>[1]Results!AA1396</f>
        <v>-2.590299150360087</v>
      </c>
      <c r="Y36" s="1">
        <f>[1]Results!AB1396</f>
        <v>-2.5267451271850372</v>
      </c>
      <c r="Z36" s="1">
        <f>[1]Results!AC1396</f>
        <v>-2.4593973171981864</v>
      </c>
      <c r="AA36" s="1">
        <f>[1]Results!AD1396</f>
        <v>-2.3900269740150137</v>
      </c>
      <c r="AB36" s="1">
        <f>[1]Results!AE1396</f>
        <v>-2.3205526196091397</v>
      </c>
      <c r="AC36" s="1">
        <f>[1]Results!AF1396</f>
        <v>-2.252461132335426</v>
      </c>
      <c r="AD36" s="1">
        <f>[1]Results!AG1396</f>
        <v>-2.1864378937225704</v>
      </c>
      <c r="AE36" s="1">
        <f>[1]Results!AH1396</f>
        <v>-2.1230061525579269</v>
      </c>
      <c r="AF36" s="1">
        <f>[1]Results!AI1396</f>
        <v>-2.062589738191356</v>
      </c>
      <c r="AG36" s="1">
        <f>[1]Results!AJ1396</f>
        <v>-2.0055216595705638</v>
      </c>
      <c r="AH36" s="1">
        <f>[1]Results!AK1396</f>
        <v>-1.9521741456397623</v>
      </c>
      <c r="AI36" s="1">
        <f>[1]Results!AL1396</f>
        <v>-1.9025670413505114</v>
      </c>
      <c r="AJ36" s="1">
        <f>[1]Results!AM1396</f>
        <v>-1.8566310948192055</v>
      </c>
      <c r="AK36" s="1">
        <f>[1]Results!AN1396</f>
        <v>-1.8142288681002983</v>
      </c>
      <c r="AL36" s="1">
        <f>[1]Results!AO1396</f>
        <v>-1.7751687334295441</v>
      </c>
      <c r="AM36" s="1">
        <f>[1]Results!AP1396</f>
        <v>-1.7407102755193526</v>
      </c>
      <c r="AN36" s="1">
        <f>[1]Results!AQ1396</f>
        <v>-1.7096605903588746</v>
      </c>
      <c r="AO36" s="1">
        <f>[1]Results!AR1396</f>
        <v>-1.6809478100325403</v>
      </c>
      <c r="AP36" s="1">
        <f>[1]Results!AS1396</f>
        <v>-1.6537774975891595</v>
      </c>
      <c r="AQ36" s="1">
        <f>[1]Results!AT1396</f>
        <v>-1.6276401652975281</v>
      </c>
      <c r="AR36" s="1">
        <f>[1]Results!AU1396</f>
        <v>-1.6024919987737696</v>
      </c>
      <c r="AS36" s="1">
        <f>[1]Results!AV1396</f>
        <v>-1.5780064264130922</v>
      </c>
      <c r="AT36" s="1">
        <f>[1]Results!AW1396</f>
        <v>-1.5539606128099126</v>
      </c>
      <c r="AU36" s="1">
        <f>[1]Results!AX1396</f>
        <v>-1.5302243150313144</v>
      </c>
      <c r="AV36" s="1">
        <f>[1]Results!AY1396</f>
        <v>-1.5067411357491678</v>
      </c>
      <c r="AW36" s="1">
        <f>[1]Results!AZ1396</f>
        <v>-1.4844306812712538</v>
      </c>
      <c r="AX36" s="1">
        <f>[1]Results!BA1396</f>
        <v>-1.4627555156511596</v>
      </c>
      <c r="AY36" s="1">
        <f>[1]Results!BB1396</f>
        <v>-1.4413150160027977</v>
      </c>
      <c r="AZ36" s="1">
        <f>[1]Results!BC1396</f>
        <v>-1.4199083459456974</v>
      </c>
      <c r="BA36" s="1">
        <f>[1]Results!BD1396</f>
        <v>-1.3985084712312967</v>
      </c>
      <c r="BB36" s="1">
        <f>[1]Results!BE1396</f>
        <v>0.76004335846093785</v>
      </c>
      <c r="BC36" s="1">
        <f>[1]Results!BF1396</f>
        <v>0.7871795426503958</v>
      </c>
      <c r="BD36" s="1">
        <f>[1]Results!BG1396</f>
        <v>0.81408310092607739</v>
      </c>
      <c r="BE36" s="1">
        <f>[1]Results!BH1396</f>
        <v>0.8408317434181356</v>
      </c>
      <c r="BF36" s="1">
        <f>[1]Results!BI1396</f>
        <v>0.86746467176475051</v>
      </c>
    </row>
    <row r="37" spans="1:58" x14ac:dyDescent="0.35">
      <c r="A37" s="3" t="str">
        <f>[1]Results!E1397</f>
        <v>100*(PM_2/PM_0-1)</v>
      </c>
      <c r="B37" t="str">
        <f>[1]Results!C1397</f>
        <v>Prix des importations</v>
      </c>
      <c r="C37" s="1">
        <f>[1]Results!F1397</f>
        <v>0</v>
      </c>
      <c r="D37" s="1">
        <f>[1]Results!G1397</f>
        <v>0</v>
      </c>
      <c r="E37" s="1">
        <f>[1]Results!H1397</f>
        <v>0</v>
      </c>
      <c r="F37" s="1">
        <f>[1]Results!I1397</f>
        <v>0</v>
      </c>
      <c r="G37" s="1">
        <f>[1]Results!J1397</f>
        <v>0</v>
      </c>
      <c r="H37" s="1">
        <f>[1]Results!K1397</f>
        <v>0</v>
      </c>
      <c r="I37" s="1">
        <f>[1]Results!L1397</f>
        <v>0</v>
      </c>
      <c r="J37" s="1">
        <f>[1]Results!M1397</f>
        <v>0</v>
      </c>
      <c r="K37" s="1">
        <f>[1]Results!N1397</f>
        <v>0</v>
      </c>
      <c r="L37" s="1">
        <f>[1]Results!O1397</f>
        <v>0</v>
      </c>
      <c r="M37" s="1">
        <f>[1]Results!P1397</f>
        <v>0</v>
      </c>
      <c r="N37" s="1">
        <f>[1]Results!Q1397</f>
        <v>0</v>
      </c>
      <c r="O37" s="1">
        <f>[1]Results!R1397</f>
        <v>0</v>
      </c>
      <c r="P37" s="1">
        <f>[1]Results!S1397</f>
        <v>0</v>
      </c>
      <c r="Q37" s="1">
        <f>[1]Results!T1397</f>
        <v>0</v>
      </c>
      <c r="R37" s="1">
        <f>[1]Results!U1397</f>
        <v>0</v>
      </c>
      <c r="S37" s="1">
        <f>[1]Results!V1397</f>
        <v>0</v>
      </c>
      <c r="T37" s="1">
        <f>[1]Results!W1397</f>
        <v>0</v>
      </c>
      <c r="U37" s="1">
        <f>[1]Results!X1397</f>
        <v>0</v>
      </c>
      <c r="V37" s="1">
        <f>[1]Results!Y1397</f>
        <v>0</v>
      </c>
      <c r="W37" s="1">
        <f>[1]Results!Z1397</f>
        <v>0</v>
      </c>
      <c r="X37" s="1">
        <f>[1]Results!AA1397</f>
        <v>0</v>
      </c>
      <c r="Y37" s="1">
        <f>[1]Results!AB1397</f>
        <v>0</v>
      </c>
      <c r="Z37" s="1">
        <f>[1]Results!AC1397</f>
        <v>0</v>
      </c>
      <c r="AA37" s="1">
        <f>[1]Results!AD1397</f>
        <v>0</v>
      </c>
      <c r="AB37" s="1">
        <f>[1]Results!AE1397</f>
        <v>0</v>
      </c>
      <c r="AC37" s="1">
        <f>[1]Results!AF1397</f>
        <v>0</v>
      </c>
      <c r="AD37" s="1">
        <f>[1]Results!AG1397</f>
        <v>0</v>
      </c>
      <c r="AE37" s="1">
        <f>[1]Results!AH1397</f>
        <v>0</v>
      </c>
      <c r="AF37" s="1">
        <f>[1]Results!AI1397</f>
        <v>0</v>
      </c>
      <c r="AG37" s="1">
        <f>[1]Results!AJ1397</f>
        <v>0</v>
      </c>
      <c r="AH37" s="1">
        <f>[1]Results!AK1397</f>
        <v>0</v>
      </c>
      <c r="AI37" s="1">
        <f>[1]Results!AL1397</f>
        <v>0</v>
      </c>
      <c r="AJ37" s="1">
        <f>[1]Results!AM1397</f>
        <v>0</v>
      </c>
      <c r="AK37" s="1">
        <f>[1]Results!AN1397</f>
        <v>0</v>
      </c>
      <c r="AL37" s="1">
        <f>[1]Results!AO1397</f>
        <v>0</v>
      </c>
      <c r="AM37" s="1">
        <f>[1]Results!AP1397</f>
        <v>0</v>
      </c>
      <c r="AN37" s="1">
        <f>[1]Results!AQ1397</f>
        <v>0</v>
      </c>
      <c r="AO37" s="1">
        <f>[1]Results!AR1397</f>
        <v>0</v>
      </c>
      <c r="AP37" s="1">
        <f>[1]Results!AS1397</f>
        <v>0</v>
      </c>
      <c r="AQ37" s="1">
        <f>[1]Results!AT1397</f>
        <v>0</v>
      </c>
      <c r="AR37" s="1">
        <f>[1]Results!AU1397</f>
        <v>0</v>
      </c>
      <c r="AS37" s="1">
        <f>[1]Results!AV1397</f>
        <v>0</v>
      </c>
      <c r="AT37" s="1">
        <f>[1]Results!AW1397</f>
        <v>0</v>
      </c>
      <c r="AU37" s="1">
        <f>[1]Results!AX1397</f>
        <v>0</v>
      </c>
      <c r="AV37" s="1">
        <f>[1]Results!AY1397</f>
        <v>0</v>
      </c>
      <c r="AW37" s="1">
        <f>[1]Results!AZ1397</f>
        <v>0</v>
      </c>
      <c r="AX37" s="1">
        <f>[1]Results!BA1397</f>
        <v>0</v>
      </c>
      <c r="AY37" s="1">
        <f>[1]Results!BB1397</f>
        <v>0</v>
      </c>
      <c r="AZ37" s="1">
        <f>[1]Results!BC1397</f>
        <v>0</v>
      </c>
      <c r="BA37" s="1">
        <f>[1]Results!BD1397</f>
        <v>0</v>
      </c>
      <c r="BB37" s="1">
        <f>[1]Results!BE1397</f>
        <v>0</v>
      </c>
      <c r="BC37" s="1">
        <f>[1]Results!BF1397</f>
        <v>0</v>
      </c>
      <c r="BD37" s="1">
        <f>[1]Results!BG1397</f>
        <v>0</v>
      </c>
      <c r="BE37" s="1">
        <f>[1]Results!BH1397</f>
        <v>0</v>
      </c>
      <c r="BF37" s="1">
        <f>[1]Results!BI1397</f>
        <v>0</v>
      </c>
    </row>
    <row r="38" spans="1:58" x14ac:dyDescent="0.35">
      <c r="A38" s="3" t="str">
        <f>[1]Results!E1398</f>
        <v>100*(W_2/W_0-1)</v>
      </c>
      <c r="B38" t="str">
        <f>[1]Results!C1398</f>
        <v>Salaire net nominal (hors cotisations employeurs et employés, unitaire)</v>
      </c>
      <c r="C38" s="1">
        <f>[1]Results!F1398</f>
        <v>-0.1882926492270065</v>
      </c>
      <c r="D38" s="1">
        <f>[1]Results!G1398</f>
        <v>-0.43080567665593206</v>
      </c>
      <c r="E38" s="1">
        <f>[1]Results!H1398</f>
        <v>-0.72517020783350317</v>
      </c>
      <c r="F38" s="1">
        <f>[1]Results!I1398</f>
        <v>-1.0615774418075152</v>
      </c>
      <c r="G38" s="1">
        <f>[1]Results!J1398</f>
        <v>-1.4241868234395771</v>
      </c>
      <c r="H38" s="1">
        <f>[1]Results!K1398</f>
        <v>-1.7967494356209368</v>
      </c>
      <c r="I38" s="1">
        <f>[1]Results!L1398</f>
        <v>-2.1666067268884759</v>
      </c>
      <c r="J38" s="1">
        <f>[1]Results!M1398</f>
        <v>-2.5244038705275362</v>
      </c>
      <c r="K38" s="1">
        <f>[1]Results!N1398</f>
        <v>-2.8644052571261569</v>
      </c>
      <c r="L38" s="1">
        <f>[1]Results!O1398</f>
        <v>-3.1834940225241914</v>
      </c>
      <c r="M38" s="1">
        <f>[1]Results!P1398</f>
        <v>-3.490013747878562</v>
      </c>
      <c r="N38" s="1">
        <f>[1]Results!Q1398</f>
        <v>-3.7742535892167473</v>
      </c>
      <c r="O38" s="1">
        <f>[1]Results!R1398</f>
        <v>-4.0304913926523023</v>
      </c>
      <c r="P38" s="1">
        <f>[1]Results!S1398</f>
        <v>-4.2542798198886178</v>
      </c>
      <c r="Q38" s="1">
        <f>[1]Results!T1398</f>
        <v>-4.4433026110495932</v>
      </c>
      <c r="R38" s="1">
        <f>[1]Results!U1398</f>
        <v>-4.5974203196120778</v>
      </c>
      <c r="S38" s="1">
        <f>[1]Results!V1398</f>
        <v>-4.7193049779624126</v>
      </c>
      <c r="T38" s="1">
        <f>[1]Results!W1398</f>
        <v>-4.8112933462507002</v>
      </c>
      <c r="U38" s="1">
        <f>[1]Results!X1398</f>
        <v>-4.8765380685746651</v>
      </c>
      <c r="V38" s="1">
        <f>[1]Results!Y1398</f>
        <v>-4.9186239572583945</v>
      </c>
      <c r="W38" s="1">
        <f>[1]Results!Z1398</f>
        <v>-4.9415404326746293</v>
      </c>
      <c r="X38" s="1">
        <f>[1]Results!AA1398</f>
        <v>-4.9483952171329832</v>
      </c>
      <c r="Y38" s="1">
        <f>[1]Results!AB1398</f>
        <v>-4.9427869980545829</v>
      </c>
      <c r="Z38" s="1">
        <f>[1]Results!AC1398</f>
        <v>-4.9279722325367032</v>
      </c>
      <c r="AA38" s="1">
        <f>[1]Results!AD1398</f>
        <v>-4.9068830239636814</v>
      </c>
      <c r="AB38" s="1">
        <f>[1]Results!AE1398</f>
        <v>-4.8829068417508337</v>
      </c>
      <c r="AC38" s="1">
        <f>[1]Results!AF1398</f>
        <v>-4.8566728378272472</v>
      </c>
      <c r="AD38" s="1">
        <f>[1]Results!AG1398</f>
        <v>-4.8304925490012636</v>
      </c>
      <c r="AE38" s="1">
        <f>[1]Results!AH1398</f>
        <v>-4.8061555372747256</v>
      </c>
      <c r="AF38" s="1">
        <f>[1]Results!AI1398</f>
        <v>-4.7849992044175726</v>
      </c>
      <c r="AG38" s="1">
        <f>[1]Results!AJ1398</f>
        <v>-4.7680029165583893</v>
      </c>
      <c r="AH38" s="1">
        <f>[1]Results!AK1398</f>
        <v>-4.7555348345220345</v>
      </c>
      <c r="AI38" s="1">
        <f>[1]Results!AL1398</f>
        <v>-4.7481934452684111</v>
      </c>
      <c r="AJ38" s="1">
        <f>[1]Results!AM1398</f>
        <v>-4.7463153464252006</v>
      </c>
      <c r="AK38" s="1">
        <f>[1]Results!AN1398</f>
        <v>-4.7500152551641079</v>
      </c>
      <c r="AL38" s="1">
        <f>[1]Results!AO1398</f>
        <v>-4.7592353314838682</v>
      </c>
      <c r="AM38" s="1">
        <f>[1]Results!AP1398</f>
        <v>-4.7708934594575698</v>
      </c>
      <c r="AN38" s="1">
        <f>[1]Results!AQ1398</f>
        <v>-4.7858833302276915</v>
      </c>
      <c r="AO38" s="1">
        <f>[1]Results!AR1398</f>
        <v>-4.8044984854646255</v>
      </c>
      <c r="AP38" s="1">
        <f>[1]Results!AS1398</f>
        <v>-4.8265234009840174</v>
      </c>
      <c r="AQ38" s="1">
        <f>[1]Results!AT1398</f>
        <v>-4.8514830836001943</v>
      </c>
      <c r="AR38" s="1">
        <f>[1]Results!AU1398</f>
        <v>-4.8783274801666998</v>
      </c>
      <c r="AS38" s="1">
        <f>[1]Results!AV1398</f>
        <v>-4.9068002495753387</v>
      </c>
      <c r="AT38" s="1">
        <f>[1]Results!AW1398</f>
        <v>-4.9366318053104541</v>
      </c>
      <c r="AU38" s="1">
        <f>[1]Results!AX1398</f>
        <v>-4.9675656135153234</v>
      </c>
      <c r="AV38" s="1">
        <f>[1]Results!AY1398</f>
        <v>-4.9993907658976156</v>
      </c>
      <c r="AW38" s="1">
        <f>[1]Results!AZ1398</f>
        <v>-5.0301373870841655</v>
      </c>
      <c r="AX38" s="1">
        <f>[1]Results!BA1398</f>
        <v>-5.0605543236648121</v>
      </c>
      <c r="AY38" s="1">
        <f>[1]Results!BB1398</f>
        <v>-5.0910578313271504</v>
      </c>
      <c r="AZ38" s="1">
        <f>[1]Results!BC1398</f>
        <v>-5.1218075401221697</v>
      </c>
      <c r="BA38" s="1">
        <f>[1]Results!BD1398</f>
        <v>-5.1528419959554483</v>
      </c>
      <c r="BB38" s="1">
        <f>[1]Results!BE1398</f>
        <v>0.52299662863573015</v>
      </c>
      <c r="BC38" s="1">
        <f>[1]Results!BF1398</f>
        <v>0.54651107442689195</v>
      </c>
      <c r="BD38" s="1">
        <f>[1]Results!BG1398</f>
        <v>0.5699060909814424</v>
      </c>
      <c r="BE38" s="1">
        <f>[1]Results!BH1398</f>
        <v>0.5931206808498013</v>
      </c>
      <c r="BF38" s="1">
        <f>[1]Results!BI1398</f>
        <v>0.61613815686294426</v>
      </c>
    </row>
    <row r="39" spans="1:58" x14ac:dyDescent="0.35">
      <c r="A39" s="3" t="str">
        <f>[1]Results!E1399</f>
        <v>100*((W_2/PCH_2)/(W_0/PCH_0)-1)</v>
      </c>
      <c r="B39" t="str">
        <f>[1]Results!C1399</f>
        <v>Salaire net réel (hors cotisations employeurs et employés, unitaire)</v>
      </c>
      <c r="C39" s="1">
        <f>[1]Results!F1399</f>
        <v>-0.10377667340379926</v>
      </c>
      <c r="D39" s="1">
        <f>[1]Results!G1399</f>
        <v>-0.15668883109103415</v>
      </c>
      <c r="E39" s="1">
        <f>[1]Results!H1399</f>
        <v>-0.21228214837547554</v>
      </c>
      <c r="F39" s="1">
        <f>[1]Results!I1399</f>
        <v>-0.29460608463477422</v>
      </c>
      <c r="G39" s="1">
        <f>[1]Results!J1399</f>
        <v>-0.40555614609510959</v>
      </c>
      <c r="H39" s="1">
        <f>[1]Results!K1399</f>
        <v>-0.53706646829193572</v>
      </c>
      <c r="I39" s="1">
        <f>[1]Results!L1399</f>
        <v>-0.67984351755090433</v>
      </c>
      <c r="J39" s="1">
        <f>[1]Results!M1399</f>
        <v>-0.82593628384722839</v>
      </c>
      <c r="K39" s="1">
        <f>[1]Results!N1399</f>
        <v>-0.97050230792328218</v>
      </c>
      <c r="L39" s="1">
        <f>[1]Results!O1399</f>
        <v>-1.111110551084793</v>
      </c>
      <c r="M39" s="1">
        <f>[1]Results!P1399</f>
        <v>-1.2427552481216297</v>
      </c>
      <c r="N39" s="1">
        <f>[1]Results!Q1399</f>
        <v>-1.3750766959069627</v>
      </c>
      <c r="O39" s="1">
        <f>[1]Results!R1399</f>
        <v>-1.5087566645496708</v>
      </c>
      <c r="P39" s="1">
        <f>[1]Results!S1399</f>
        <v>-1.6398660288106548</v>
      </c>
      <c r="Q39" s="1">
        <f>[1]Results!T1399</f>
        <v>-1.7641467959636947</v>
      </c>
      <c r="R39" s="1">
        <f>[1]Results!U1399</f>
        <v>-1.8787464577557644</v>
      </c>
      <c r="S39" s="1">
        <f>[1]Results!V1399</f>
        <v>-1.9842285435881291</v>
      </c>
      <c r="T39" s="1">
        <f>[1]Results!W1399</f>
        <v>-2.0796797027843872</v>
      </c>
      <c r="U39" s="1">
        <f>[1]Results!X1399</f>
        <v>-2.1652493862163169</v>
      </c>
      <c r="V39" s="1">
        <f>[1]Results!Y1399</f>
        <v>-2.2417385437856652</v>
      </c>
      <c r="W39" s="1">
        <f>[1]Results!Z1399</f>
        <v>-2.3103609010154957</v>
      </c>
      <c r="X39" s="1">
        <f>[1]Results!AA1399</f>
        <v>-2.3719181577221526</v>
      </c>
      <c r="Y39" s="1">
        <f>[1]Results!AB1399</f>
        <v>-2.4277685441189578</v>
      </c>
      <c r="Z39" s="1">
        <f>[1]Results!AC1399</f>
        <v>-2.4790695490919612</v>
      </c>
      <c r="AA39" s="1">
        <f>[1]Results!AD1399</f>
        <v>-2.5268387818807914</v>
      </c>
      <c r="AB39" s="1">
        <f>[1]Results!AE1399</f>
        <v>-2.5723683884149806</v>
      </c>
      <c r="AC39" s="1">
        <f>[1]Results!AF1399</f>
        <v>-2.6146731926231959</v>
      </c>
      <c r="AD39" s="1">
        <f>[1]Results!AG1399</f>
        <v>-2.6553205184507434</v>
      </c>
      <c r="AE39" s="1">
        <f>[1]Results!AH1399</f>
        <v>-2.6954832169241993</v>
      </c>
      <c r="AF39" s="1">
        <f>[1]Results!AI1399</f>
        <v>-2.7359706697542951</v>
      </c>
      <c r="AG39" s="1">
        <f>[1]Results!AJ1399</f>
        <v>-2.7773350428652144</v>
      </c>
      <c r="AH39" s="1">
        <f>[1]Results!AK1399</f>
        <v>-2.8194122734000793</v>
      </c>
      <c r="AI39" s="1">
        <f>[1]Results!AL1399</f>
        <v>-2.8627666420052433</v>
      </c>
      <c r="AJ39" s="1">
        <f>[1]Results!AM1399</f>
        <v>-2.9077856871241758</v>
      </c>
      <c r="AK39" s="1">
        <f>[1]Results!AN1399</f>
        <v>-2.9547009974649208</v>
      </c>
      <c r="AL39" s="1">
        <f>[1]Results!AO1399</f>
        <v>-3.0036295999102958</v>
      </c>
      <c r="AM39" s="1">
        <f>[1]Results!AP1399</f>
        <v>-3.0495007550620845</v>
      </c>
      <c r="AN39" s="1">
        <f>[1]Results!AQ1399</f>
        <v>-3.0948102961803947</v>
      </c>
      <c r="AO39" s="1">
        <f>[1]Results!AR1399</f>
        <v>-3.1411481524934559</v>
      </c>
      <c r="AP39" s="1">
        <f>[1]Results!AS1399</f>
        <v>-3.1891884856377506</v>
      </c>
      <c r="AQ39" s="1">
        <f>[1]Results!AT1399</f>
        <v>-3.2390114767216649</v>
      </c>
      <c r="AR39" s="1">
        <f>[1]Results!AU1399</f>
        <v>-3.2895366960091876</v>
      </c>
      <c r="AS39" s="1">
        <f>[1]Results!AV1399</f>
        <v>-3.3409284238077319</v>
      </c>
      <c r="AT39" s="1">
        <f>[1]Results!AW1399</f>
        <v>-3.3932053029707809</v>
      </c>
      <c r="AU39" s="1">
        <f>[1]Results!AX1399</f>
        <v>-3.4462828601046658</v>
      </c>
      <c r="AV39" s="1">
        <f>[1]Results!AY1399</f>
        <v>-3.5000348647490132</v>
      </c>
      <c r="AW39" s="1">
        <f>[1]Results!AZ1399</f>
        <v>-3.5512367254105004</v>
      </c>
      <c r="AX39" s="1">
        <f>[1]Results!BA1399</f>
        <v>-3.6013789127832929</v>
      </c>
      <c r="AY39" s="1">
        <f>[1]Results!BB1399</f>
        <v>-3.6513870119195602</v>
      </c>
      <c r="AZ39" s="1">
        <f>[1]Results!BC1399</f>
        <v>-3.7016672771499781</v>
      </c>
      <c r="BA39" s="1">
        <f>[1]Results!BD1399</f>
        <v>-3.7523080329937009</v>
      </c>
      <c r="BB39" s="1">
        <f>[1]Results!BE1399</f>
        <v>-0.24021035105309396</v>
      </c>
      <c r="BC39" s="1">
        <f>[1]Results!BF1399</f>
        <v>-0.24428123002031565</v>
      </c>
      <c r="BD39" s="1">
        <f>[1]Results!BG1399</f>
        <v>-0.24825121388079019</v>
      </c>
      <c r="BE39" s="1">
        <f>[1]Results!BH1399</f>
        <v>-0.25224222680291231</v>
      </c>
      <c r="BF39" s="1">
        <f>[1]Results!BI1399</f>
        <v>-0.25630122591391302</v>
      </c>
    </row>
    <row r="40" spans="1:58" x14ac:dyDescent="0.35">
      <c r="A40" s="3" t="str">
        <f>[1]Results!E1400</f>
        <v>100*(C_L_2/C_L_0-1)</v>
      </c>
      <c r="B40" t="str">
        <f>[1]Results!C1400</f>
        <v>Coût du travail nominal (yc. Cotisations employeurs et employés, unitaire)</v>
      </c>
      <c r="C40" s="1">
        <f>[1]Results!F1400</f>
        <v>-0.18829263948321184</v>
      </c>
      <c r="D40" s="1">
        <f>[1]Results!G1400</f>
        <v>-0.43080569740383545</v>
      </c>
      <c r="E40" s="1">
        <f>[1]Results!H1400</f>
        <v>-0.72517021279321359</v>
      </c>
      <c r="F40" s="1">
        <f>[1]Results!I1400</f>
        <v>-1.0615774475234874</v>
      </c>
      <c r="G40" s="1">
        <f>[1]Results!J1400</f>
        <v>-1.4241868442718464</v>
      </c>
      <c r="H40" s="1">
        <f>[1]Results!K1400</f>
        <v>-1.7967494390158878</v>
      </c>
      <c r="I40" s="1">
        <f>[1]Results!L1400</f>
        <v>-2.1666067101028252</v>
      </c>
      <c r="J40" s="1">
        <f>[1]Results!M1400</f>
        <v>-2.5244038717943562</v>
      </c>
      <c r="K40" s="1">
        <f>[1]Results!N1400</f>
        <v>-2.864405269583481</v>
      </c>
      <c r="L40" s="1">
        <f>[1]Results!O1400</f>
        <v>-3.1834940237134957</v>
      </c>
      <c r="M40" s="1">
        <f>[1]Results!P1400</f>
        <v>-3.4900137462845704</v>
      </c>
      <c r="N40" s="1">
        <f>[1]Results!Q1400</f>
        <v>-3.7742535785051934</v>
      </c>
      <c r="O40" s="1">
        <f>[1]Results!R1400</f>
        <v>-4.0304913944032688</v>
      </c>
      <c r="P40" s="1">
        <f>[1]Results!S1400</f>
        <v>-4.2542798032132012</v>
      </c>
      <c r="Q40" s="1">
        <f>[1]Results!T1400</f>
        <v>-4.4433026015945902</v>
      </c>
      <c r="R40" s="1">
        <f>[1]Results!U1400</f>
        <v>-4.5974203267143299</v>
      </c>
      <c r="S40" s="1">
        <f>[1]Results!V1400</f>
        <v>-4.7193049903656137</v>
      </c>
      <c r="T40" s="1">
        <f>[1]Results!W1400</f>
        <v>-4.8112933374206186</v>
      </c>
      <c r="U40" s="1">
        <f>[1]Results!X1400</f>
        <v>-4.8765380680585118</v>
      </c>
      <c r="V40" s="1">
        <f>[1]Results!Y1400</f>
        <v>-4.9186239610079401</v>
      </c>
      <c r="W40" s="1">
        <f>[1]Results!Z1400</f>
        <v>-4.9415404262831419</v>
      </c>
      <c r="X40" s="1">
        <f>[1]Results!AA1400</f>
        <v>-4.9483952597579766</v>
      </c>
      <c r="Y40" s="1">
        <f>[1]Results!AB1400</f>
        <v>-4.9427870751412417</v>
      </c>
      <c r="Z40" s="1">
        <f>[1]Results!AC1400</f>
        <v>-4.9279722118349749</v>
      </c>
      <c r="AA40" s="1">
        <f>[1]Results!AD1400</f>
        <v>-4.9068829629844934</v>
      </c>
      <c r="AB40" s="1">
        <f>[1]Results!AE1400</f>
        <v>-4.8829068485536364</v>
      </c>
      <c r="AC40" s="1">
        <f>[1]Results!AF1400</f>
        <v>-4.8566728804227637</v>
      </c>
      <c r="AD40" s="1">
        <f>[1]Results!AG1400</f>
        <v>-4.8304925128336951</v>
      </c>
      <c r="AE40" s="1">
        <f>[1]Results!AH1400</f>
        <v>-4.8061555670598111</v>
      </c>
      <c r="AF40" s="1">
        <f>[1]Results!AI1400</f>
        <v>-4.7849992690188419</v>
      </c>
      <c r="AG40" s="1">
        <f>[1]Results!AJ1400</f>
        <v>-4.7680028811777682</v>
      </c>
      <c r="AH40" s="1">
        <f>[1]Results!AK1400</f>
        <v>-4.7555348848870356</v>
      </c>
      <c r="AI40" s="1">
        <f>[1]Results!AL1400</f>
        <v>-4.748193431588577</v>
      </c>
      <c r="AJ40" s="1">
        <f>[1]Results!AM1400</f>
        <v>-4.7463154227504578</v>
      </c>
      <c r="AK40" s="1">
        <f>[1]Results!AN1400</f>
        <v>-4.7500152225303127</v>
      </c>
      <c r="AL40" s="1">
        <f>[1]Results!AO1400</f>
        <v>-4.7592353604831272</v>
      </c>
      <c r="AM40" s="1">
        <f>[1]Results!AP1400</f>
        <v>-4.7708934545720556</v>
      </c>
      <c r="AN40" s="1">
        <f>[1]Results!AQ1400</f>
        <v>-4.7858833148794027</v>
      </c>
      <c r="AO40" s="1">
        <f>[1]Results!AR1400</f>
        <v>-4.8044984385210654</v>
      </c>
      <c r="AP40" s="1">
        <f>[1]Results!AS1400</f>
        <v>-4.8265233721026419</v>
      </c>
      <c r="AQ40" s="1">
        <f>[1]Results!AT1400</f>
        <v>-4.8514831443877249</v>
      </c>
      <c r="AR40" s="1">
        <f>[1]Results!AU1400</f>
        <v>-4.87832746350505</v>
      </c>
      <c r="AS40" s="1">
        <f>[1]Results!AV1400</f>
        <v>-4.9068003143152623</v>
      </c>
      <c r="AT40" s="1">
        <f>[1]Results!AW1400</f>
        <v>-4.9366317676593834</v>
      </c>
      <c r="AU40" s="1">
        <f>[1]Results!AX1400</f>
        <v>-4.9675656653947904</v>
      </c>
      <c r="AV40" s="1">
        <f>[1]Results!AY1400</f>
        <v>-4.9993907826626831</v>
      </c>
      <c r="AW40" s="1">
        <f>[1]Results!AZ1400</f>
        <v>-5.0301373584933469</v>
      </c>
      <c r="AX40" s="1">
        <f>[1]Results!BA1400</f>
        <v>-5.0605543264177992</v>
      </c>
      <c r="AY40" s="1">
        <f>[1]Results!BB1400</f>
        <v>-5.0910578518993947</v>
      </c>
      <c r="AZ40" s="1">
        <f>[1]Results!BC1400</f>
        <v>-5.121807590422045</v>
      </c>
      <c r="BA40" s="1">
        <f>[1]Results!BD1400</f>
        <v>-5.1528420059497311</v>
      </c>
      <c r="BB40" s="1">
        <f>[1]Results!BE1400</f>
        <v>0.52299658260768211</v>
      </c>
      <c r="BC40" s="1">
        <f>[1]Results!BF1400</f>
        <v>0.54651106337506583</v>
      </c>
      <c r="BD40" s="1">
        <f>[1]Results!BG1400</f>
        <v>0.5699060494213759</v>
      </c>
      <c r="BE40" s="1">
        <f>[1]Results!BH1400</f>
        <v>0.59312071470607464</v>
      </c>
      <c r="BF40" s="1">
        <f>[1]Results!BI1400</f>
        <v>0.61613814107257525</v>
      </c>
    </row>
    <row r="41" spans="1:58" x14ac:dyDescent="0.35">
      <c r="A41" s="3" t="str">
        <f>[1]Results!E1401</f>
        <v>100*((C_L_2/PVA_2)/(C_L_0/PVA_0)-1)</v>
      </c>
      <c r="B41" t="str">
        <f>[1]Results!C1401</f>
        <v>Coût réel du travail (yc. Cotisations employeurs et employés, unitaire)</v>
      </c>
      <c r="C41" s="1">
        <f>[1]Results!F1401</f>
        <v>-2.4597903204814919E-2</v>
      </c>
      <c r="D41" s="1">
        <f>[1]Results!G1401</f>
        <v>3.5888953011076197E-2</v>
      </c>
      <c r="E41" s="1">
        <f>[1]Results!H1401</f>
        <v>0.10783732733898876</v>
      </c>
      <c r="F41" s="1">
        <f>[1]Results!I1401</f>
        <v>0.1539486551043856</v>
      </c>
      <c r="G41" s="1">
        <f>[1]Results!J1401</f>
        <v>0.16531491677094223</v>
      </c>
      <c r="H41" s="1">
        <f>[1]Results!K1401</f>
        <v>0.14727831244192302</v>
      </c>
      <c r="I41" s="1">
        <f>[1]Results!L1401</f>
        <v>0.10881757619318755</v>
      </c>
      <c r="J41" s="1">
        <f>[1]Results!M1401</f>
        <v>5.8123236590179594E-2</v>
      </c>
      <c r="K41" s="1">
        <f>[1]Results!N1401</f>
        <v>4.551102062322343E-4</v>
      </c>
      <c r="L41" s="1">
        <f>[1]Results!O1401</f>
        <v>-6.1467669993620078E-2</v>
      </c>
      <c r="M41" s="1">
        <f>[1]Results!P1401</f>
        <v>-0.11535860138918164</v>
      </c>
      <c r="N41" s="1">
        <f>[1]Results!Q1401</f>
        <v>-0.18047352495839108</v>
      </c>
      <c r="O41" s="1">
        <f>[1]Results!R1401</f>
        <v>-0.2603504500751197</v>
      </c>
      <c r="P41" s="1">
        <f>[1]Results!S1401</f>
        <v>-0.35138665918945655</v>
      </c>
      <c r="Q41" s="1">
        <f>[1]Results!T1401</f>
        <v>-0.44815533539178665</v>
      </c>
      <c r="R41" s="1">
        <f>[1]Results!U1401</f>
        <v>-0.5462178070276047</v>
      </c>
      <c r="S41" s="1">
        <f>[1]Results!V1401</f>
        <v>-0.64462738743168435</v>
      </c>
      <c r="T41" s="1">
        <f>[1]Results!W1401</f>
        <v>-0.74096588165689647</v>
      </c>
      <c r="U41" s="1">
        <f>[1]Results!X1401</f>
        <v>-0.83403070175441796</v>
      </c>
      <c r="V41" s="1">
        <f>[1]Results!Y1401</f>
        <v>-0.92343323421082424</v>
      </c>
      <c r="W41" s="1">
        <f>[1]Results!Z1401</f>
        <v>-1.0091982534267463</v>
      </c>
      <c r="X41" s="1">
        <f>[1]Results!AA1401</f>
        <v>-1.0913659489937833</v>
      </c>
      <c r="Y41" s="1">
        <f>[1]Results!AB1401</f>
        <v>-1.1702878184309817</v>
      </c>
      <c r="Z41" s="1">
        <f>[1]Results!AC1401</f>
        <v>-1.2463401507949667</v>
      </c>
      <c r="AA41" s="1">
        <f>[1]Results!AD1401</f>
        <v>-1.319810384353326</v>
      </c>
      <c r="AB41" s="1">
        <f>[1]Results!AE1401</f>
        <v>-1.3911067256213716</v>
      </c>
      <c r="AC41" s="1">
        <f>[1]Results!AF1401</f>
        <v>-1.4590011473189279</v>
      </c>
      <c r="AD41" s="1">
        <f>[1]Results!AG1401</f>
        <v>-1.5246104099995494</v>
      </c>
      <c r="AE41" s="1">
        <f>[1]Results!AH1401</f>
        <v>-1.588922784910396</v>
      </c>
      <c r="AF41" s="1">
        <f>[1]Results!AI1401</f>
        <v>-1.6525487972156361</v>
      </c>
      <c r="AG41" s="1">
        <f>[1]Results!AJ1401</f>
        <v>-1.7158668057237536</v>
      </c>
      <c r="AH41" s="1">
        <f>[1]Results!AK1401</f>
        <v>-1.7785369969454123</v>
      </c>
      <c r="AI41" s="1">
        <f>[1]Results!AL1401</f>
        <v>-1.8410899982712281</v>
      </c>
      <c r="AJ41" s="1">
        <f>[1]Results!AM1401</f>
        <v>-1.9039209913602084</v>
      </c>
      <c r="AK41" s="1">
        <f>[1]Results!AN1401</f>
        <v>-1.9672920173302466</v>
      </c>
      <c r="AL41" s="1">
        <f>[1]Results!AO1401</f>
        <v>-2.0313700240278121</v>
      </c>
      <c r="AM41" s="1">
        <f>[1]Results!AP1401</f>
        <v>-2.0906346804549725</v>
      </c>
      <c r="AN41" s="1">
        <f>[1]Results!AQ1401</f>
        <v>-2.1481568094222525</v>
      </c>
      <c r="AO41" s="1">
        <f>[1]Results!AR1401</f>
        <v>-2.2060030307652689</v>
      </c>
      <c r="AP41" s="1">
        <f>[1]Results!AS1401</f>
        <v>-2.2651315139087358</v>
      </c>
      <c r="AQ41" s="1">
        <f>[1]Results!AT1401</f>
        <v>-2.3257363232128014</v>
      </c>
      <c r="AR41" s="1">
        <f>[1]Results!AU1401</f>
        <v>-2.3866588010116208</v>
      </c>
      <c r="AS41" s="1">
        <f>[1]Results!AV1401</f>
        <v>-2.4481114486358813</v>
      </c>
      <c r="AT41" s="1">
        <f>[1]Results!AW1401</f>
        <v>-2.510137669557333</v>
      </c>
      <c r="AU41" s="1">
        <f>[1]Results!AX1401</f>
        <v>-2.5726489626182625</v>
      </c>
      <c r="AV41" s="1">
        <f>[1]Results!AY1401</f>
        <v>-2.6354948212115814</v>
      </c>
      <c r="AW41" s="1">
        <f>[1]Results!AZ1401</f>
        <v>-2.6950809166867429</v>
      </c>
      <c r="AX41" s="1">
        <f>[1]Results!BA1401</f>
        <v>-2.7531417357262056</v>
      </c>
      <c r="AY41" s="1">
        <f>[1]Results!BB1401</f>
        <v>-2.8107978893516794</v>
      </c>
      <c r="AZ41" s="1">
        <f>[1]Results!BC1401</f>
        <v>-2.8685286185431091</v>
      </c>
      <c r="BA41" s="1">
        <f>[1]Results!BD1401</f>
        <v>-2.9264009569033855</v>
      </c>
      <c r="BB41" s="1">
        <f>[1]Results!BE1401</f>
        <v>-0.55346485136600343</v>
      </c>
      <c r="BC41" s="1">
        <f>[1]Results!BF1401</f>
        <v>-0.56941968367145712</v>
      </c>
      <c r="BD41" s="1">
        <f>[1]Results!BG1401</f>
        <v>-0.58518679972733301</v>
      </c>
      <c r="BE41" s="1">
        <f>[1]Results!BH1401</f>
        <v>-0.60091463051668015</v>
      </c>
      <c r="BF41" s="1">
        <f>[1]Results!BI1401</f>
        <v>-0.61665616465492734</v>
      </c>
    </row>
    <row r="42" spans="1:58" x14ac:dyDescent="0.35">
      <c r="A42" s="3" t="str">
        <f>[1]Results!E1402</f>
        <v>((F_L_2/F_L_0)-1)*100</v>
      </c>
      <c r="B42" t="str">
        <f>[1]Results!C1402</f>
        <v>Emploi en %</v>
      </c>
      <c r="C42" s="1">
        <f>[1]Results!F1402</f>
        <v>-0.65647532244872409</v>
      </c>
      <c r="D42" s="1">
        <f>[1]Results!G1402</f>
        <v>-1.2474264247765654</v>
      </c>
      <c r="E42" s="1">
        <f>[1]Results!H1402</f>
        <v>-1.7262135526826872</v>
      </c>
      <c r="F42" s="1">
        <f>[1]Results!I1402</f>
        <v>-2.1017440908615237</v>
      </c>
      <c r="G42" s="1">
        <f>[1]Results!J1402</f>
        <v>-2.3937346130738391</v>
      </c>
      <c r="H42" s="1">
        <f>[1]Results!K1402</f>
        <v>-2.6218226158860047</v>
      </c>
      <c r="I42" s="1">
        <f>[1]Results!L1402</f>
        <v>-2.8038680862785048</v>
      </c>
      <c r="J42" s="1">
        <f>[1]Results!M1402</f>
        <v>-2.9532096811350939</v>
      </c>
      <c r="K42" s="1">
        <f>[1]Results!N1402</f>
        <v>-3.0800448011335857</v>
      </c>
      <c r="L42" s="1">
        <f>[1]Results!O1402</f>
        <v>-3.1920206216586755</v>
      </c>
      <c r="M42" s="1">
        <f>[1]Results!P1402</f>
        <v>-3.3455865492081016</v>
      </c>
      <c r="N42" s="1">
        <f>[1]Results!Q1402</f>
        <v>-3.4494606763239899</v>
      </c>
      <c r="O42" s="1">
        <f>[1]Results!R1402</f>
        <v>-3.5141793461830884</v>
      </c>
      <c r="P42" s="1">
        <f>[1]Results!S1402</f>
        <v>-3.5524590029220926</v>
      </c>
      <c r="Q42" s="1">
        <f>[1]Results!T1402</f>
        <v>-3.5742965920496972</v>
      </c>
      <c r="R42" s="1">
        <f>[1]Results!U1402</f>
        <v>-3.5869271211292353</v>
      </c>
      <c r="S42" s="1">
        <f>[1]Results!V1402</f>
        <v>-3.596453663958965</v>
      </c>
      <c r="T42" s="1">
        <f>[1]Results!W1402</f>
        <v>-3.6065975612719958</v>
      </c>
      <c r="U42" s="1">
        <f>[1]Results!X1402</f>
        <v>-3.6196401792273902</v>
      </c>
      <c r="V42" s="1">
        <f>[1]Results!Y1402</f>
        <v>-3.6369304514716538</v>
      </c>
      <c r="W42" s="1">
        <f>[1]Results!Z1402</f>
        <v>-3.6593573951034908</v>
      </c>
      <c r="X42" s="1">
        <f>[1]Results!AA1402</f>
        <v>-3.6868120086471334</v>
      </c>
      <c r="Y42" s="1">
        <f>[1]Results!AB1402</f>
        <v>-3.7191938260849766</v>
      </c>
      <c r="Z42" s="1">
        <f>[1]Results!AC1402</f>
        <v>-3.7561867989838849</v>
      </c>
      <c r="AA42" s="1">
        <f>[1]Results!AD1402</f>
        <v>-3.7973032135807272</v>
      </c>
      <c r="AB42" s="1">
        <f>[1]Results!AE1402</f>
        <v>-3.8423636902586322</v>
      </c>
      <c r="AC42" s="1">
        <f>[1]Results!AF1402</f>
        <v>-3.8898859532182195</v>
      </c>
      <c r="AD42" s="1">
        <f>[1]Results!AG1402</f>
        <v>-3.9388941888203965</v>
      </c>
      <c r="AE42" s="1">
        <f>[1]Results!AH1402</f>
        <v>-3.9887091941164243</v>
      </c>
      <c r="AF42" s="1">
        <f>[1]Results!AI1402</f>
        <v>-4.0388172483329488</v>
      </c>
      <c r="AG42" s="1">
        <f>[1]Results!AJ1402</f>
        <v>-4.0887932905764206</v>
      </c>
      <c r="AH42" s="1">
        <f>[1]Results!AK1402</f>
        <v>-4.1381478059875469</v>
      </c>
      <c r="AI42" s="1">
        <f>[1]Results!AL1402</f>
        <v>-4.1864421602678341</v>
      </c>
      <c r="AJ42" s="1">
        <f>[1]Results!AM1402</f>
        <v>-4.2333884456639996</v>
      </c>
      <c r="AK42" s="1">
        <f>[1]Results!AN1402</f>
        <v>-4.2787850520435988</v>
      </c>
      <c r="AL42" s="1">
        <f>[1]Results!AO1402</f>
        <v>-4.3224902331956638</v>
      </c>
      <c r="AM42" s="1">
        <f>[1]Results!AP1402</f>
        <v>-4.3637583901877885</v>
      </c>
      <c r="AN42" s="1">
        <f>[1]Results!AQ1402</f>
        <v>-4.4013827837608099</v>
      </c>
      <c r="AO42" s="1">
        <f>[1]Results!AR1402</f>
        <v>-4.4352589885789939</v>
      </c>
      <c r="AP42" s="1">
        <f>[1]Results!AS1402</f>
        <v>-4.4657453497522148</v>
      </c>
      <c r="AQ42" s="1">
        <f>[1]Results!AT1402</f>
        <v>-4.4933634201851591</v>
      </c>
      <c r="AR42" s="1">
        <f>[1]Results!AU1402</f>
        <v>-4.5185718383522584</v>
      </c>
      <c r="AS42" s="1">
        <f>[1]Results!AV1402</f>
        <v>-4.5416350187062466</v>
      </c>
      <c r="AT42" s="1">
        <f>[1]Results!AW1402</f>
        <v>-4.5629256855809537</v>
      </c>
      <c r="AU42" s="1">
        <f>[1]Results!AX1402</f>
        <v>-4.5828230847726132</v>
      </c>
      <c r="AV42" s="1">
        <f>[1]Results!AY1402</f>
        <v>-4.6016761644580679</v>
      </c>
      <c r="AW42" s="1">
        <f>[1]Results!AZ1402</f>
        <v>-4.6196998975177479</v>
      </c>
      <c r="AX42" s="1">
        <f>[1]Results!BA1402</f>
        <v>-4.6364181963140405</v>
      </c>
      <c r="AY42" s="1">
        <f>[1]Results!BB1402</f>
        <v>-4.6519722691938163</v>
      </c>
      <c r="AZ42" s="1">
        <f>[1]Results!BC1402</f>
        <v>-4.6666781133948625</v>
      </c>
      <c r="BA42" s="1">
        <f>[1]Results!BD1402</f>
        <v>-4.6808708481337895</v>
      </c>
      <c r="BB42" s="1">
        <f>[1]Results!BE1402</f>
        <v>0.14027340424394019</v>
      </c>
      <c r="BC42" s="1">
        <f>[1]Results!BF1402</f>
        <v>0.14741152578139349</v>
      </c>
      <c r="BD42" s="1">
        <f>[1]Results!BG1402</f>
        <v>0.15482110587274889</v>
      </c>
      <c r="BE42" s="1">
        <f>[1]Results!BH1402</f>
        <v>0.16252648829901961</v>
      </c>
      <c r="BF42" s="1">
        <f>[1]Results!BI1402</f>
        <v>0.17051143114354961</v>
      </c>
    </row>
    <row r="43" spans="1:58" x14ac:dyDescent="0.35">
      <c r="A43" s="3" t="str">
        <f>[1]Results!E1403</f>
        <v>F_L_2-F_L_0</v>
      </c>
      <c r="B43" t="str">
        <f>[1]Results!C1403</f>
        <v>Emploi en millier</v>
      </c>
      <c r="C43" s="1">
        <f>[1]Results!F1403</f>
        <v>-179.68942000000243</v>
      </c>
      <c r="D43" s="1">
        <f>[1]Results!G1403</f>
        <v>-341.81471999999849</v>
      </c>
      <c r="E43" s="1">
        <f>[1]Results!H1403</f>
        <v>-473.66505999999936</v>
      </c>
      <c r="F43" s="1">
        <f>[1]Results!I1403</f>
        <v>-577.87051000000065</v>
      </c>
      <c r="G43" s="1">
        <f>[1]Results!J1403</f>
        <v>-659.95847999999751</v>
      </c>
      <c r="H43" s="1">
        <f>[1]Results!K1403</f>
        <v>-725.32477999999901</v>
      </c>
      <c r="I43" s="1">
        <f>[1]Results!L1403</f>
        <v>-778.50314000000071</v>
      </c>
      <c r="J43" s="1">
        <f>[1]Results!M1403</f>
        <v>-823.06374999999753</v>
      </c>
      <c r="K43" s="1">
        <f>[1]Results!N1403</f>
        <v>-861.74723000000085</v>
      </c>
      <c r="L43" s="1">
        <f>[1]Results!O1403</f>
        <v>-896.61260000000038</v>
      </c>
      <c r="M43" s="1">
        <f>[1]Results!P1403</f>
        <v>-944.10800000000017</v>
      </c>
      <c r="N43" s="1">
        <f>[1]Results!Q1403</f>
        <v>-977.83471999999892</v>
      </c>
      <c r="O43" s="1">
        <f>[1]Results!R1403</f>
        <v>-1000.551370000001</v>
      </c>
      <c r="P43" s="1">
        <f>[1]Results!S1403</f>
        <v>-1015.7387899999994</v>
      </c>
      <c r="Q43" s="1">
        <f>[1]Results!T1403</f>
        <v>-1026.175470000002</v>
      </c>
      <c r="R43" s="1">
        <f>[1]Results!U1403</f>
        <v>-1033.8988900000004</v>
      </c>
      <c r="S43" s="1">
        <f>[1]Results!V1403</f>
        <v>-1040.6565300000002</v>
      </c>
      <c r="T43" s="1">
        <f>[1]Results!W1403</f>
        <v>-1047.5333800000008</v>
      </c>
      <c r="U43" s="1">
        <f>[1]Results!X1403</f>
        <v>-1055.2112300000008</v>
      </c>
      <c r="V43" s="1">
        <f>[1]Results!Y1403</f>
        <v>-1064.1080399999992</v>
      </c>
      <c r="W43" s="1">
        <f>[1]Results!Z1403</f>
        <v>-1074.0780500000001</v>
      </c>
      <c r="X43" s="1">
        <f>[1]Results!AA1403</f>
        <v>-1085.6213299999981</v>
      </c>
      <c r="Y43" s="1">
        <f>[1]Results!AB1403</f>
        <v>-1098.7478699999992</v>
      </c>
      <c r="Z43" s="1">
        <f>[1]Results!AC1403</f>
        <v>-1113.377120000001</v>
      </c>
      <c r="AA43" s="1">
        <f>[1]Results!AD1403</f>
        <v>-1129.3708899999983</v>
      </c>
      <c r="AB43" s="1">
        <f>[1]Results!AE1403</f>
        <v>-1145.4405000000006</v>
      </c>
      <c r="AC43" s="1">
        <f>[1]Results!AF1403</f>
        <v>-1161.991280000002</v>
      </c>
      <c r="AD43" s="1">
        <f>[1]Results!AG1403</f>
        <v>-1178.8626799999984</v>
      </c>
      <c r="AE43" s="1">
        <f>[1]Results!AH1403</f>
        <v>-1195.9332899999972</v>
      </c>
      <c r="AF43" s="1">
        <f>[1]Results!AI1403</f>
        <v>-1213.1076900000007</v>
      </c>
      <c r="AG43" s="1">
        <f>[1]Results!AJ1403</f>
        <v>-1230.2998899999984</v>
      </c>
      <c r="AH43" s="1">
        <f>[1]Results!AK1403</f>
        <v>-1247.3898000000008</v>
      </c>
      <c r="AI43" s="1">
        <f>[1]Results!AL1403</f>
        <v>-1264.2599499999997</v>
      </c>
      <c r="AJ43" s="1">
        <f>[1]Results!AM1403</f>
        <v>-1280.8281400000014</v>
      </c>
      <c r="AK43" s="1">
        <f>[1]Results!AN1403</f>
        <v>-1297.0307399999983</v>
      </c>
      <c r="AL43" s="1">
        <f>[1]Results!AO1403</f>
        <v>-1312.8171900000016</v>
      </c>
      <c r="AM43" s="1">
        <f>[1]Results!AP1403</f>
        <v>-1327.6502099999998</v>
      </c>
      <c r="AN43" s="1">
        <f>[1]Results!AQ1403</f>
        <v>-1341.1956399999981</v>
      </c>
      <c r="AO43" s="1">
        <f>[1]Results!AR1403</f>
        <v>-1353.4662399999979</v>
      </c>
      <c r="AP43" s="1">
        <f>[1]Results!AS1403</f>
        <v>-1364.6117199999971</v>
      </c>
      <c r="AQ43" s="1">
        <f>[1]Results!AT1403</f>
        <v>-1374.82474</v>
      </c>
      <c r="AR43" s="1">
        <f>[1]Results!AU1403</f>
        <v>-1384.2715800000005</v>
      </c>
      <c r="AS43" s="1">
        <f>[1]Results!AV1403</f>
        <v>-1393.0521599999993</v>
      </c>
      <c r="AT43" s="1">
        <f>[1]Results!AW1403</f>
        <v>-1401.2933899999989</v>
      </c>
      <c r="AU43" s="1">
        <f>[1]Results!AX1403</f>
        <v>-1409.119160000002</v>
      </c>
      <c r="AV43" s="1">
        <f>[1]Results!AY1403</f>
        <v>-1416.6402600000001</v>
      </c>
      <c r="AW43" s="1">
        <f>[1]Results!AZ1403</f>
        <v>-1423.9493399999992</v>
      </c>
      <c r="AX43" s="1">
        <f>[1]Results!BA1403</f>
        <v>-1430.8943899999977</v>
      </c>
      <c r="AY43" s="1">
        <f>[1]Results!BB1403</f>
        <v>-1437.5114500000018</v>
      </c>
      <c r="AZ43" s="1">
        <f>[1]Results!BC1403</f>
        <v>-1443.8901699999988</v>
      </c>
      <c r="BA43" s="1">
        <f>[1]Results!BD1403</f>
        <v>-1450.1270600000025</v>
      </c>
      <c r="BB43" s="1">
        <f>[1]Results!BE1403</f>
        <v>43.635760000001028</v>
      </c>
      <c r="BC43" s="1">
        <f>[1]Results!BF1403</f>
        <v>45.909630000001926</v>
      </c>
      <c r="BD43" s="1">
        <f>[1]Results!BG1403</f>
        <v>48.272320000000036</v>
      </c>
      <c r="BE43" s="1">
        <f>[1]Results!BH1403</f>
        <v>50.7316000000028</v>
      </c>
      <c r="BF43" s="1">
        <f>[1]Results!BI1403</f>
        <v>53.282609999998385</v>
      </c>
    </row>
    <row r="44" spans="1:58" x14ac:dyDescent="0.35">
      <c r="A44" s="3" t="str">
        <f>[1]Results!E1404</f>
        <v>100*(UnR_2-UnR_0)</v>
      </c>
      <c r="B44" t="str">
        <f>[1]Results!C1404</f>
        <v>Taux de chômage (en point)</v>
      </c>
      <c r="C44" s="1">
        <f>[1]Results!F1404</f>
        <v>0.47961236000000074</v>
      </c>
      <c r="D44" s="1">
        <f>[1]Results!G1404</f>
        <v>0.87518728999999851</v>
      </c>
      <c r="E44" s="1">
        <f>[1]Results!H1404</f>
        <v>1.1762830499999988</v>
      </c>
      <c r="F44" s="1">
        <f>[1]Results!I1404</f>
        <v>1.4032449899999992</v>
      </c>
      <c r="G44" s="1">
        <f>[1]Results!J1404</f>
        <v>1.5757424599999985</v>
      </c>
      <c r="H44" s="1">
        <f>[1]Results!K1404</f>
        <v>1.7092604299999981</v>
      </c>
      <c r="I44" s="1">
        <f>[1]Results!L1404</f>
        <v>1.8169853499999999</v>
      </c>
      <c r="J44" s="1">
        <f>[1]Results!M1404</f>
        <v>1.9060755900000004</v>
      </c>
      <c r="K44" s="1">
        <f>[1]Results!N1404</f>
        <v>1.9827916599999995</v>
      </c>
      <c r="L44" s="1">
        <f>[1]Results!O1404</f>
        <v>2.0516474400000013</v>
      </c>
      <c r="M44" s="1">
        <f>[1]Results!P1404</f>
        <v>2.1516408000000014</v>
      </c>
      <c r="N44" s="1">
        <f>[1]Results!Q1404</f>
        <v>2.216451929999999</v>
      </c>
      <c r="O44" s="1">
        <f>[1]Results!R1404</f>
        <v>2.2541983699999992</v>
      </c>
      <c r="P44" s="1">
        <f>[1]Results!S1404</f>
        <v>2.2752153999999996</v>
      </c>
      <c r="Q44" s="1">
        <f>[1]Results!T1404</f>
        <v>2.2866104200000015</v>
      </c>
      <c r="R44" s="1">
        <f>[1]Results!U1404</f>
        <v>2.2930805800000007</v>
      </c>
      <c r="S44" s="1">
        <f>[1]Results!V1404</f>
        <v>2.2984778400000017</v>
      </c>
      <c r="T44" s="1">
        <f>[1]Results!W1404</f>
        <v>2.3049558400000003</v>
      </c>
      <c r="U44" s="1">
        <f>[1]Results!X1404</f>
        <v>2.3137575900000011</v>
      </c>
      <c r="V44" s="1">
        <f>[1]Results!Y1404</f>
        <v>2.3255789299999998</v>
      </c>
      <c r="W44" s="1">
        <f>[1]Results!Z1404</f>
        <v>2.341960970000001</v>
      </c>
      <c r="X44" s="1">
        <f>[1]Results!AA1404</f>
        <v>2.3598338499999985</v>
      </c>
      <c r="Y44" s="1">
        <f>[1]Results!AB1404</f>
        <v>2.3811750800000002</v>
      </c>
      <c r="Z44" s="1">
        <f>[1]Results!AC1404</f>
        <v>2.4056209800000006</v>
      </c>
      <c r="AA44" s="1">
        <f>[1]Results!AD1404</f>
        <v>2.4327657800000013</v>
      </c>
      <c r="AB44" s="1">
        <f>[1]Results!AE1404</f>
        <v>2.4655250399999993</v>
      </c>
      <c r="AC44" s="1">
        <f>[1]Results!AF1404</f>
        <v>2.4961425100000016</v>
      </c>
      <c r="AD44" s="1">
        <f>[1]Results!AG1404</f>
        <v>2.527484869999999</v>
      </c>
      <c r="AE44" s="1">
        <f>[1]Results!AH1404</f>
        <v>2.5591718999999986</v>
      </c>
      <c r="AF44" s="1">
        <f>[1]Results!AI1404</f>
        <v>2.5909377199999999</v>
      </c>
      <c r="AG44" s="1">
        <f>[1]Results!AJ1404</f>
        <v>2.6225620799999989</v>
      </c>
      <c r="AH44" s="1">
        <f>[1]Results!AK1404</f>
        <v>2.6537551299999991</v>
      </c>
      <c r="AI44" s="1">
        <f>[1]Results!AL1404</f>
        <v>2.6842516700000014</v>
      </c>
      <c r="AJ44" s="1">
        <f>[1]Results!AM1404</f>
        <v>2.7138843399999999</v>
      </c>
      <c r="AK44" s="1">
        <f>[1]Results!AN1404</f>
        <v>2.7425326599999993</v>
      </c>
      <c r="AL44" s="1">
        <f>[1]Results!AO1404</f>
        <v>2.7701070200000011</v>
      </c>
      <c r="AM44" s="1">
        <f>[1]Results!AP1404</f>
        <v>2.796784999999999</v>
      </c>
      <c r="AN44" s="1">
        <f>[1]Results!AQ1404</f>
        <v>2.820514199999999</v>
      </c>
      <c r="AO44" s="1">
        <f>[1]Results!AR1404</f>
        <v>2.8414846800000007</v>
      </c>
      <c r="AP44" s="1">
        <f>[1]Results!AS1404</f>
        <v>2.8601075400000009</v>
      </c>
      <c r="AQ44" s="1">
        <f>[1]Results!AT1404</f>
        <v>2.8768310800000001</v>
      </c>
      <c r="AR44" s="1">
        <f>[1]Results!AU1404</f>
        <v>2.892007319999998</v>
      </c>
      <c r="AS44" s="1">
        <f>[1]Results!AV1404</f>
        <v>2.9058220500000012</v>
      </c>
      <c r="AT44" s="1">
        <f>[1]Results!AW1404</f>
        <v>2.9185376799999996</v>
      </c>
      <c r="AU44" s="1">
        <f>[1]Results!AX1404</f>
        <v>2.9304108100000006</v>
      </c>
      <c r="AV44" s="1">
        <f>[1]Results!AY1404</f>
        <v>2.9416687999999995</v>
      </c>
      <c r="AW44" s="1">
        <f>[1]Results!AZ1404</f>
        <v>2.9523772499999987</v>
      </c>
      <c r="AX44" s="1">
        <f>[1]Results!BA1404</f>
        <v>2.9622589400000008</v>
      </c>
      <c r="AY44" s="1">
        <f>[1]Results!BB1404</f>
        <v>2.9714143199999987</v>
      </c>
      <c r="AZ44" s="1">
        <f>[1]Results!BC1404</f>
        <v>2.9800620500000012</v>
      </c>
      <c r="BA44" s="1">
        <f>[1]Results!BD1404</f>
        <v>2.9884222000000014</v>
      </c>
      <c r="BB44" s="1">
        <f>[1]Results!BE1404</f>
        <v>-8.9909590000000761E-2</v>
      </c>
      <c r="BC44" s="1">
        <f>[1]Results!BF1404</f>
        <v>-9.4422660000001435E-2</v>
      </c>
      <c r="BD44" s="1">
        <f>[1]Results!BG1404</f>
        <v>-9.911473000000226E-2</v>
      </c>
      <c r="BE44" s="1">
        <f>[1]Results!BH1404</f>
        <v>-0.10399653000000009</v>
      </c>
      <c r="BF44" s="1">
        <f>[1]Results!BI1404</f>
        <v>-0.10905186999999872</v>
      </c>
    </row>
    <row r="45" spans="1:58" x14ac:dyDescent="0.35">
      <c r="A45" s="3" t="str">
        <f>[1]Results!E1405</f>
        <v>100*(Bal_Trade_VAL_2/(GDP_2*PGDP_2)-Bal_Trade_VAL_0/(GDP_0*PGDP_0))</v>
      </c>
      <c r="B45" t="str">
        <f>[1]Results!C1405</f>
        <v>Balance commerciale</v>
      </c>
      <c r="C45" s="1">
        <f>[1]Results!F1405</f>
        <v>-0.99582083212433248</v>
      </c>
      <c r="D45" s="1">
        <f>[1]Results!G1405</f>
        <v>-0.99189624678783261</v>
      </c>
      <c r="E45" s="1">
        <f>[1]Results!H1405</f>
        <v>-1.0259070119999067</v>
      </c>
      <c r="F45" s="1">
        <f>[1]Results!I1405</f>
        <v>-1.0698094776548173</v>
      </c>
      <c r="G45" s="1">
        <f>[1]Results!J1405</f>
        <v>-1.1182459850634947</v>
      </c>
      <c r="H45" s="1">
        <f>[1]Results!K1405</f>
        <v>-1.1697704626715562</v>
      </c>
      <c r="I45" s="1">
        <f>[1]Results!L1405</f>
        <v>-1.2251329922565664</v>
      </c>
      <c r="J45" s="1">
        <f>[1]Results!M1405</f>
        <v>-1.2824378902362241</v>
      </c>
      <c r="K45" s="1">
        <f>[1]Results!N1405</f>
        <v>-1.341254376415596</v>
      </c>
      <c r="L45" s="1">
        <f>[1]Results!O1405</f>
        <v>-1.4010759677731923</v>
      </c>
      <c r="M45" s="1">
        <f>[1]Results!P1405</f>
        <v>-1.5368658798950849</v>
      </c>
      <c r="N45" s="1">
        <f>[1]Results!Q1405</f>
        <v>-1.5443362592699361</v>
      </c>
      <c r="O45" s="1">
        <f>[1]Results!R1405</f>
        <v>-1.5584732643674954</v>
      </c>
      <c r="P45" s="1">
        <f>[1]Results!S1405</f>
        <v>-1.5752610885438216</v>
      </c>
      <c r="Q45" s="1">
        <f>[1]Results!T1405</f>
        <v>-1.5943990651538693</v>
      </c>
      <c r="R45" s="1">
        <f>[1]Results!U1405</f>
        <v>-1.6159868934163422</v>
      </c>
      <c r="S45" s="1">
        <f>[1]Results!V1405</f>
        <v>-1.643134079485949</v>
      </c>
      <c r="T45" s="1">
        <f>[1]Results!W1405</f>
        <v>-1.6719765328624971</v>
      </c>
      <c r="U45" s="1">
        <f>[1]Results!X1405</f>
        <v>-1.7024763281099069</v>
      </c>
      <c r="V45" s="1">
        <f>[1]Results!Y1405</f>
        <v>-1.7344705382172081</v>
      </c>
      <c r="W45" s="1">
        <f>[1]Results!Z1405</f>
        <v>-1.7675055511115529</v>
      </c>
      <c r="X45" s="1">
        <f>[1]Results!AA1405</f>
        <v>-1.802068881981941</v>
      </c>
      <c r="Y45" s="1">
        <f>[1]Results!AB1405</f>
        <v>-1.8377423350402489</v>
      </c>
      <c r="Z45" s="1">
        <f>[1]Results!AC1405</f>
        <v>-1.8743831802554713</v>
      </c>
      <c r="AA45" s="1">
        <f>[1]Results!AD1405</f>
        <v>-1.9119089691466558</v>
      </c>
      <c r="AB45" s="1">
        <f>[1]Results!AE1405</f>
        <v>-1.9492724231677183</v>
      </c>
      <c r="AC45" s="1">
        <f>[1]Results!AF1405</f>
        <v>-1.9869762269519462</v>
      </c>
      <c r="AD45" s="1">
        <f>[1]Results!AG1405</f>
        <v>-2.0260010286991066</v>
      </c>
      <c r="AE45" s="1">
        <f>[1]Results!AH1405</f>
        <v>-2.0660566521070893</v>
      </c>
      <c r="AF45" s="1">
        <f>[1]Results!AI1405</f>
        <v>-2.1069596825031982</v>
      </c>
      <c r="AG45" s="1">
        <f>[1]Results!AJ1405</f>
        <v>-2.1485853584428902</v>
      </c>
      <c r="AH45" s="1">
        <f>[1]Results!AK1405</f>
        <v>-2.1900935502573313</v>
      </c>
      <c r="AI45" s="1">
        <f>[1]Results!AL1405</f>
        <v>-2.2322738723418065</v>
      </c>
      <c r="AJ45" s="1">
        <f>[1]Results!AM1405</f>
        <v>-2.2749932370726098</v>
      </c>
      <c r="AK45" s="1">
        <f>[1]Results!AN1405</f>
        <v>-2.3181607200806567</v>
      </c>
      <c r="AL45" s="1">
        <f>[1]Results!AO1405</f>
        <v>-2.3617082093555477</v>
      </c>
      <c r="AM45" s="1">
        <f>[1]Results!AP1405</f>
        <v>-2.3986731062937254</v>
      </c>
      <c r="AN45" s="1">
        <f>[1]Results!AQ1405</f>
        <v>-2.4371531184955697</v>
      </c>
      <c r="AO45" s="1">
        <f>[1]Results!AR1405</f>
        <v>-2.4764720378423291</v>
      </c>
      <c r="AP45" s="1">
        <f>[1]Results!AS1405</f>
        <v>-2.5162819531458891</v>
      </c>
      <c r="AQ45" s="1">
        <f>[1]Results!AT1405</f>
        <v>-2.5564030689873745</v>
      </c>
      <c r="AR45" s="1">
        <f>[1]Results!AU1405</f>
        <v>-2.5956960913812575</v>
      </c>
      <c r="AS45" s="1">
        <f>[1]Results!AV1405</f>
        <v>-2.6353458048070215</v>
      </c>
      <c r="AT45" s="1">
        <f>[1]Results!AW1405</f>
        <v>-2.6752291695154291</v>
      </c>
      <c r="AU45" s="1">
        <f>[1]Results!AX1405</f>
        <v>-2.715281740705739</v>
      </c>
      <c r="AV45" s="1">
        <f>[1]Results!AY1405</f>
        <v>-2.7554654918046944</v>
      </c>
      <c r="AW45" s="1">
        <f>[1]Results!AZ1405</f>
        <v>-2.7922309067425344</v>
      </c>
      <c r="AX45" s="1">
        <f>[1]Results!BA1405</f>
        <v>-2.8296215014524133</v>
      </c>
      <c r="AY45" s="1">
        <f>[1]Results!BB1405</f>
        <v>-2.867269024453091</v>
      </c>
      <c r="AZ45" s="1">
        <f>[1]Results!BC1405</f>
        <v>-2.9049861580115826</v>
      </c>
      <c r="BA45" s="1">
        <f>[1]Results!BD1405</f>
        <v>-2.9426912372913661</v>
      </c>
      <c r="BB45" s="1">
        <f>[1]Results!BE1405</f>
        <v>2.5088340241877227E-2</v>
      </c>
      <c r="BC45" s="1">
        <f>[1]Results!BF1405</f>
        <v>2.3677838209086803E-2</v>
      </c>
      <c r="BD45" s="1">
        <f>[1]Results!BG1405</f>
        <v>2.2157323216682578E-2</v>
      </c>
      <c r="BE45" s="1">
        <f>[1]Results!BH1405</f>
        <v>2.0562063689133103E-2</v>
      </c>
      <c r="BF45" s="1">
        <f>[1]Results!BI1405</f>
        <v>1.8911098973554932E-2</v>
      </c>
    </row>
    <row r="46" spans="1:58" x14ac:dyDescent="0.35">
      <c r="A46" s="3" t="str">
        <f>[1]Results!E1406</f>
        <v>100*(ENER_BILL_2/(GDP_2*PGDP_2)-ENER_BILL_0/(GDP_0*PGDP_0))</v>
      </c>
      <c r="B46" t="str">
        <f>[1]Results!C1406</f>
        <v>Facture énergétique</v>
      </c>
      <c r="C46" s="1">
        <f>[1]Results!F1406</f>
        <v>3.3100144476335726E-2</v>
      </c>
      <c r="D46" s="1">
        <f>[1]Results!G1406</f>
        <v>3.6480611711544632E-2</v>
      </c>
      <c r="E46" s="1">
        <f>[1]Results!H1406</f>
        <v>4.3776364223556755E-2</v>
      </c>
      <c r="F46" s="1">
        <f>[1]Results!I1406</f>
        <v>5.1295079419653479E-2</v>
      </c>
      <c r="G46" s="1">
        <f>[1]Results!J1406</f>
        <v>5.8592472494959844E-2</v>
      </c>
      <c r="H46" s="1">
        <f>[1]Results!K1406</f>
        <v>6.54660698830134E-2</v>
      </c>
      <c r="I46" s="1">
        <f>[1]Results!L1406</f>
        <v>7.1942139401155208E-2</v>
      </c>
      <c r="J46" s="1">
        <f>[1]Results!M1406</f>
        <v>7.7972392493982565E-2</v>
      </c>
      <c r="K46" s="1">
        <f>[1]Results!N1406</f>
        <v>8.357036701105558E-2</v>
      </c>
      <c r="L46" s="1">
        <f>[1]Results!O1406</f>
        <v>8.8682659190854163E-2</v>
      </c>
      <c r="M46" s="1">
        <f>[1]Results!P1406</f>
        <v>9.5494159523805577E-2</v>
      </c>
      <c r="N46" s="1">
        <f>[1]Results!Q1406</f>
        <v>9.8044895005819199E-2</v>
      </c>
      <c r="O46" s="1">
        <f>[1]Results!R1406</f>
        <v>0.1005305188817798</v>
      </c>
      <c r="P46" s="1">
        <f>[1]Results!S1406</f>
        <v>0.10246887866065102</v>
      </c>
      <c r="Q46" s="1">
        <f>[1]Results!T1406</f>
        <v>0.10386086891777183</v>
      </c>
      <c r="R46" s="1">
        <f>[1]Results!U1406</f>
        <v>0.10478007171261985</v>
      </c>
      <c r="S46" s="1">
        <f>[1]Results!V1406</f>
        <v>0.10539472628587031</v>
      </c>
      <c r="T46" s="1">
        <f>[1]Results!W1406</f>
        <v>0.10564661572133749</v>
      </c>
      <c r="U46" s="1">
        <f>[1]Results!X1406</f>
        <v>0.10561201771527012</v>
      </c>
      <c r="V46" s="1">
        <f>[1]Results!Y1406</f>
        <v>0.10534628553144093</v>
      </c>
      <c r="W46" s="1">
        <f>[1]Results!Z1406</f>
        <v>0.10491809075492425</v>
      </c>
      <c r="X46" s="1">
        <f>[1]Results!AA1406</f>
        <v>0.10433449407672504</v>
      </c>
      <c r="Y46" s="1">
        <f>[1]Results!AB1406</f>
        <v>0.10365604993893968</v>
      </c>
      <c r="Z46" s="1">
        <f>[1]Results!AC1406</f>
        <v>0.10292014276078784</v>
      </c>
      <c r="AA46" s="1">
        <f>[1]Results!AD1406</f>
        <v>0.10216243443421177</v>
      </c>
      <c r="AB46" s="1">
        <f>[1]Results!AE1406</f>
        <v>0.10145599185909689</v>
      </c>
      <c r="AC46" s="1">
        <f>[1]Results!AF1406</f>
        <v>0.10073851982648849</v>
      </c>
      <c r="AD46" s="1">
        <f>[1]Results!AG1406</f>
        <v>0.10010120513209812</v>
      </c>
      <c r="AE46" s="1">
        <f>[1]Results!AH1406</f>
        <v>9.9548595603308337E-2</v>
      </c>
      <c r="AF46" s="1">
        <f>[1]Results!AI1406</f>
        <v>9.9091091129514808E-2</v>
      </c>
      <c r="AG46" s="1">
        <f>[1]Results!AJ1406</f>
        <v>9.8737809268969676E-2</v>
      </c>
      <c r="AH46" s="1">
        <f>[1]Results!AK1406</f>
        <v>9.8472663884797446E-2</v>
      </c>
      <c r="AI46" s="1">
        <f>[1]Results!AL1406</f>
        <v>9.8326699778263082E-2</v>
      </c>
      <c r="AJ46" s="1">
        <f>[1]Results!AM1406</f>
        <v>9.829432661170398E-2</v>
      </c>
      <c r="AK46" s="1">
        <f>[1]Results!AN1406</f>
        <v>9.8371371106253935E-2</v>
      </c>
      <c r="AL46" s="1">
        <f>[1]Results!AO1406</f>
        <v>9.8554177771189785E-2</v>
      </c>
      <c r="AM46" s="1">
        <f>[1]Results!AP1406</f>
        <v>9.8648687034184723E-2</v>
      </c>
      <c r="AN46" s="1">
        <f>[1]Results!AQ1406</f>
        <v>9.8896540258520099E-2</v>
      </c>
      <c r="AO46" s="1">
        <f>[1]Results!AR1406</f>
        <v>9.9241617807924176E-2</v>
      </c>
      <c r="AP46" s="1">
        <f>[1]Results!AS1406</f>
        <v>9.9662993119384313E-2</v>
      </c>
      <c r="AQ46" s="1">
        <f>[1]Results!AT1406</f>
        <v>0.10015094387350165</v>
      </c>
      <c r="AR46" s="1">
        <f>[1]Results!AU1406</f>
        <v>0.100669199827607</v>
      </c>
      <c r="AS46" s="1">
        <f>[1]Results!AV1406</f>
        <v>0.10125298264274299</v>
      </c>
      <c r="AT46" s="1">
        <f>[1]Results!AW1406</f>
        <v>0.10189148319491564</v>
      </c>
      <c r="AU46" s="1">
        <f>[1]Results!AX1406</f>
        <v>0.10258040263514487</v>
      </c>
      <c r="AV46" s="1">
        <f>[1]Results!AY1406</f>
        <v>0.10331938587981732</v>
      </c>
      <c r="AW46" s="1">
        <f>[1]Results!AZ1406</f>
        <v>0.10401337189069534</v>
      </c>
      <c r="AX46" s="1">
        <f>[1]Results!BA1406</f>
        <v>0.10480534034572245</v>
      </c>
      <c r="AY46" s="1">
        <f>[1]Results!BB1406</f>
        <v>0.10568603405895094</v>
      </c>
      <c r="AZ46" s="1">
        <f>[1]Results!BC1406</f>
        <v>0.10661895205784799</v>
      </c>
      <c r="BA46" s="1">
        <f>[1]Results!BD1406</f>
        <v>0.10757962906588099</v>
      </c>
      <c r="BB46" s="1">
        <f>[1]Results!BE1406</f>
        <v>-1.4290277810535823E-2</v>
      </c>
      <c r="BC46" s="1">
        <f>[1]Results!BF1406</f>
        <v>-1.4575120011606733E-2</v>
      </c>
      <c r="BD46" s="1">
        <f>[1]Results!BG1406</f>
        <v>-1.4850600843896618E-2</v>
      </c>
      <c r="BE46" s="1">
        <f>[1]Results!BH1406</f>
        <v>-1.5118730917251105E-2</v>
      </c>
      <c r="BF46" s="1">
        <f>[1]Results!BI1406</f>
        <v>-1.5380040732979224E-2</v>
      </c>
    </row>
    <row r="47" spans="1:58" x14ac:dyDescent="0.35">
      <c r="A47" s="3" t="str">
        <f>[1]Results!E1407</f>
        <v>100*((-Bal_G_prim_VAL_2)/(GDP_2*PGDP_2)-(-Bal_G_prim_VAL_0)/(GDP_0*PGDP_0))</v>
      </c>
      <c r="B47" t="str">
        <f>[1]Results!C1407</f>
        <v>Solde public primaire</v>
      </c>
      <c r="C47" s="1">
        <f>[1]Results!F1407</f>
        <v>0.52531502611689496</v>
      </c>
      <c r="D47" s="1">
        <f>[1]Results!G1407</f>
        <v>0.90910351933478406</v>
      </c>
      <c r="E47" s="1">
        <f>[1]Results!H1407</f>
        <v>1.2218461935432114</v>
      </c>
      <c r="F47" s="1">
        <f>[1]Results!I1407</f>
        <v>1.4770450344478347</v>
      </c>
      <c r="G47" s="1">
        <f>[1]Results!J1407</f>
        <v>1.6855274222999177</v>
      </c>
      <c r="H47" s="1">
        <f>[1]Results!K1407</f>
        <v>1.8563194004569592</v>
      </c>
      <c r="I47" s="1">
        <f>[1]Results!L1407</f>
        <v>1.997715999239515</v>
      </c>
      <c r="J47" s="1">
        <f>[1]Results!M1407</f>
        <v>2.1165420441046328</v>
      </c>
      <c r="K47" s="1">
        <f>[1]Results!N1407</f>
        <v>2.2180525792946653</v>
      </c>
      <c r="L47" s="1">
        <f>[1]Results!O1407</f>
        <v>2.3065480968216843</v>
      </c>
      <c r="M47" s="1">
        <f>[1]Results!P1407</f>
        <v>2.4258031682379606</v>
      </c>
      <c r="N47" s="1">
        <f>[1]Results!Q1407</f>
        <v>2.4963235168063114</v>
      </c>
      <c r="O47" s="1">
        <f>[1]Results!R1407</f>
        <v>2.5395850644026878</v>
      </c>
      <c r="P47" s="1">
        <f>[1]Results!S1407</f>
        <v>2.5627298295415666</v>
      </c>
      <c r="Q47" s="1">
        <f>[1]Results!T1407</f>
        <v>2.5712858429613412</v>
      </c>
      <c r="R47" s="1">
        <f>[1]Results!U1407</f>
        <v>2.5697215087873411</v>
      </c>
      <c r="S47" s="1">
        <f>[1]Results!V1407</f>
        <v>2.5633687086277201</v>
      </c>
      <c r="T47" s="1">
        <f>[1]Results!W1407</f>
        <v>2.5545682564668124</v>
      </c>
      <c r="U47" s="1">
        <f>[1]Results!X1407</f>
        <v>2.5453815809993294</v>
      </c>
      <c r="V47" s="1">
        <f>[1]Results!Y1407</f>
        <v>2.5374024968359836</v>
      </c>
      <c r="W47" s="1">
        <f>[1]Results!Z1407</f>
        <v>2.5312586096063634</v>
      </c>
      <c r="X47" s="1">
        <f>[1]Results!AA1407</f>
        <v>2.5293889044498865</v>
      </c>
      <c r="Y47" s="1">
        <f>[1]Results!AB1407</f>
        <v>2.531044601655851</v>
      </c>
      <c r="Z47" s="1">
        <f>[1]Results!AC1407</f>
        <v>2.5365176179729638</v>
      </c>
      <c r="AA47" s="1">
        <f>[1]Results!AD1407</f>
        <v>2.5459065014755695</v>
      </c>
      <c r="AB47" s="1">
        <f>[1]Results!AE1407</f>
        <v>2.5574592888925314</v>
      </c>
      <c r="AC47" s="1">
        <f>[1]Results!AF1407</f>
        <v>2.5744413260305969</v>
      </c>
      <c r="AD47" s="1">
        <f>[1]Results!AG1407</f>
        <v>2.5947243944895129</v>
      </c>
      <c r="AE47" s="1">
        <f>[1]Results!AH1407</f>
        <v>2.6180347956336485</v>
      </c>
      <c r="AF47" s="1">
        <f>[1]Results!AI1407</f>
        <v>2.6440511937217996</v>
      </c>
      <c r="AG47" s="1">
        <f>[1]Results!AJ1407</f>
        <v>2.6724358976472264</v>
      </c>
      <c r="AH47" s="1">
        <f>[1]Results!AK1407</f>
        <v>2.7024728273272491</v>
      </c>
      <c r="AI47" s="1">
        <f>[1]Results!AL1407</f>
        <v>2.7340088618255769</v>
      </c>
      <c r="AJ47" s="1">
        <f>[1]Results!AM1407</f>
        <v>2.7668448563129546</v>
      </c>
      <c r="AK47" s="1">
        <f>[1]Results!AN1407</f>
        <v>2.8007903431440129</v>
      </c>
      <c r="AL47" s="1">
        <f>[1]Results!AO1407</f>
        <v>2.8356686795422172</v>
      </c>
      <c r="AM47" s="1">
        <f>[1]Results!AP1407</f>
        <v>2.8674167521321925</v>
      </c>
      <c r="AN47" s="1">
        <f>[1]Results!AQ1407</f>
        <v>2.8980779072784886</v>
      </c>
      <c r="AO47" s="1">
        <f>[1]Results!AR1407</f>
        <v>2.9280989097722361</v>
      </c>
      <c r="AP47" s="1">
        <f>[1]Results!AS1407</f>
        <v>2.9577682277256669</v>
      </c>
      <c r="AQ47" s="1">
        <f>[1]Results!AT1407</f>
        <v>2.9872694473024848</v>
      </c>
      <c r="AR47" s="1">
        <f>[1]Results!AU1407</f>
        <v>3.0161890707049608</v>
      </c>
      <c r="AS47" s="1">
        <f>[1]Results!AV1407</f>
        <v>3.0448618514147161</v>
      </c>
      <c r="AT47" s="1">
        <f>[1]Results!AW1407</f>
        <v>3.0735094952051165</v>
      </c>
      <c r="AU47" s="1">
        <f>[1]Results!AX1407</f>
        <v>3.1023212430694209</v>
      </c>
      <c r="AV47" s="1">
        <f>[1]Results!AY1407</f>
        <v>3.1314589691589632</v>
      </c>
      <c r="AW47" s="1">
        <f>[1]Results!AZ1407</f>
        <v>3.1592630699380981</v>
      </c>
      <c r="AX47" s="1">
        <f>[1]Results!BA1407</f>
        <v>3.1865195982034202</v>
      </c>
      <c r="AY47" s="1">
        <f>[1]Results!BB1407</f>
        <v>3.213696020836017</v>
      </c>
      <c r="AZ47" s="1">
        <f>[1]Results!BC1407</f>
        <v>3.2411276622301881</v>
      </c>
      <c r="BA47" s="1">
        <f>[1]Results!BD1407</f>
        <v>3.2690371922030232</v>
      </c>
      <c r="BB47" s="1">
        <f>[1]Results!BE1407</f>
        <v>-3.3322679994021893E-2</v>
      </c>
      <c r="BC47" s="1">
        <f>[1]Results!BF1407</f>
        <v>-3.5692533237813295E-2</v>
      </c>
      <c r="BD47" s="1">
        <f>[1]Results!BG1407</f>
        <v>-3.8023948859414007E-2</v>
      </c>
      <c r="BE47" s="1">
        <f>[1]Results!BH1407</f>
        <v>-4.0292657603382964E-2</v>
      </c>
      <c r="BF47" s="1">
        <f>[1]Results!BI1407</f>
        <v>-4.248222650924012E-2</v>
      </c>
    </row>
    <row r="48" spans="1:58" x14ac:dyDescent="0.35">
      <c r="A48" s="3" t="str">
        <f>[1]Results!E1408</f>
        <v>100*((-Bal_G_tot_VAL_2)/(GDP_2*PGDP_2)-(-Bal_G_tot_VAL_0)/(GDP_0*PGDP_0))</v>
      </c>
      <c r="B48" t="str">
        <f>[1]Results!C1408</f>
        <v xml:space="preserve">Solde public </v>
      </c>
      <c r="C48" s="1">
        <f>[1]Results!F1408</f>
        <v>0.55681493693726791</v>
      </c>
      <c r="D48" s="1">
        <f>[1]Results!G1408</f>
        <v>0.92313083510481386</v>
      </c>
      <c r="E48" s="1">
        <f>[1]Results!H1408</f>
        <v>1.192341634766247</v>
      </c>
      <c r="F48" s="1">
        <f>[1]Results!I1408</f>
        <v>1.4167189048262239</v>
      </c>
      <c r="G48" s="1">
        <f>[1]Results!J1408</f>
        <v>1.6182137366792582</v>
      </c>
      <c r="H48" s="1">
        <f>[1]Results!K1408</f>
        <v>1.8046942438445783</v>
      </c>
      <c r="I48" s="1">
        <f>[1]Results!L1408</f>
        <v>1.9794701580923997</v>
      </c>
      <c r="J48" s="1">
        <f>[1]Results!M1408</f>
        <v>2.144195435754507</v>
      </c>
      <c r="K48" s="1">
        <f>[1]Results!N1408</f>
        <v>2.3002274945975643</v>
      </c>
      <c r="L48" s="1">
        <f>[1]Results!O1408</f>
        <v>2.4494029678785543</v>
      </c>
      <c r="M48" s="1">
        <f>[1]Results!P1408</f>
        <v>2.636328307227374</v>
      </c>
      <c r="N48" s="1">
        <f>[1]Results!Q1408</f>
        <v>2.7678138549530158</v>
      </c>
      <c r="O48" s="1">
        <f>[1]Results!R1408</f>
        <v>2.8809878581109669</v>
      </c>
      <c r="P48" s="1">
        <f>[1]Results!S1408</f>
        <v>2.9822714789797091</v>
      </c>
      <c r="Q48" s="1">
        <f>[1]Results!T1408</f>
        <v>3.073366668820972</v>
      </c>
      <c r="R48" s="1">
        <f>[1]Results!U1408</f>
        <v>3.1551535742895696</v>
      </c>
      <c r="S48" s="1">
        <f>[1]Results!V1408</f>
        <v>3.2305744651264803</v>
      </c>
      <c r="T48" s="1">
        <f>[1]Results!W1408</f>
        <v>3.3008408698855964</v>
      </c>
      <c r="U48" s="1">
        <f>[1]Results!X1408</f>
        <v>3.3667027919121337</v>
      </c>
      <c r="V48" s="1">
        <f>[1]Results!Y1408</f>
        <v>3.4291774433010183</v>
      </c>
      <c r="W48" s="1">
        <f>[1]Results!Z1408</f>
        <v>3.4894468783420889</v>
      </c>
      <c r="X48" s="1">
        <f>[1]Results!AA1408</f>
        <v>3.5480837505765432</v>
      </c>
      <c r="Y48" s="1">
        <f>[1]Results!AB1408</f>
        <v>3.605698157765326</v>
      </c>
      <c r="Z48" s="1">
        <f>[1]Results!AC1408</f>
        <v>3.6630337729151683</v>
      </c>
      <c r="AA48" s="1">
        <f>[1]Results!AD1408</f>
        <v>3.7205237735904255</v>
      </c>
      <c r="AB48" s="1">
        <f>[1]Results!AE1408</f>
        <v>3.7792056877095388</v>
      </c>
      <c r="AC48" s="1">
        <f>[1]Results!AF1408</f>
        <v>3.8374564501479345</v>
      </c>
      <c r="AD48" s="1">
        <f>[1]Results!AG1408</f>
        <v>3.8953615342488144</v>
      </c>
      <c r="AE48" s="1">
        <f>[1]Results!AH1408</f>
        <v>3.9539228255573642</v>
      </c>
      <c r="AF48" s="1">
        <f>[1]Results!AI1408</f>
        <v>4.0136006676071654</v>
      </c>
      <c r="AG48" s="1">
        <f>[1]Results!AJ1408</f>
        <v>4.0745841831469338</v>
      </c>
      <c r="AH48" s="1">
        <f>[1]Results!AK1408</f>
        <v>4.1365569365810062</v>
      </c>
      <c r="AI48" s="1">
        <f>[1]Results!AL1408</f>
        <v>4.1996190498847117</v>
      </c>
      <c r="AJ48" s="1">
        <f>[1]Results!AM1408</f>
        <v>4.2641073645395196</v>
      </c>
      <c r="AK48" s="1">
        <f>[1]Results!AN1408</f>
        <v>4.3302305256067983</v>
      </c>
      <c r="AL48" s="1">
        <f>[1]Results!AO1408</f>
        <v>4.3981049771930669</v>
      </c>
      <c r="AM48" s="1">
        <f>[1]Results!AP1408</f>
        <v>4.4643023030862468</v>
      </c>
      <c r="AN48" s="1">
        <f>[1]Results!AQ1408</f>
        <v>4.5284946827785246</v>
      </c>
      <c r="AO48" s="1">
        <f>[1]Results!AR1408</f>
        <v>4.5928068285296124</v>
      </c>
      <c r="AP48" s="1">
        <f>[1]Results!AS1408</f>
        <v>4.6583196476039515</v>
      </c>
      <c r="AQ48" s="1">
        <f>[1]Results!AT1408</f>
        <v>4.72539858909649</v>
      </c>
      <c r="AR48" s="1">
        <f>[1]Results!AU1408</f>
        <v>4.7934707652993316</v>
      </c>
      <c r="AS48" s="1">
        <f>[1]Results!AV1408</f>
        <v>4.8624048500394466</v>
      </c>
      <c r="AT48" s="1">
        <f>[1]Results!AW1408</f>
        <v>4.9325162858644447</v>
      </c>
      <c r="AU48" s="1">
        <f>[1]Results!AX1408</f>
        <v>5.0039600286961976</v>
      </c>
      <c r="AV48" s="1">
        <f>[1]Results!AY1408</f>
        <v>5.0768036811556918</v>
      </c>
      <c r="AW48" s="1">
        <f>[1]Results!AZ1408</f>
        <v>5.1490756568278675</v>
      </c>
      <c r="AX48" s="1">
        <f>[1]Results!BA1408</f>
        <v>5.2205984785442139</v>
      </c>
      <c r="AY48" s="1">
        <f>[1]Results!BB1408</f>
        <v>5.2928012999168415</v>
      </c>
      <c r="AZ48" s="1">
        <f>[1]Results!BC1408</f>
        <v>5.3663239627505552</v>
      </c>
      <c r="BA48" s="1">
        <f>[1]Results!BD1408</f>
        <v>5.4413237738212983</v>
      </c>
      <c r="BB48" s="1">
        <f>[1]Results!BE1408</f>
        <v>-2.889316514713032E-2</v>
      </c>
      <c r="BC48" s="1">
        <f>[1]Results!BF1408</f>
        <v>-3.2486357194434073E-2</v>
      </c>
      <c r="BD48" s="1">
        <f>[1]Results!BG1408</f>
        <v>-3.6087102957965168E-2</v>
      </c>
      <c r="BE48" s="1">
        <f>[1]Results!BH1408</f>
        <v>-3.964266266881554E-2</v>
      </c>
      <c r="BF48" s="1">
        <f>[1]Results!BI1408</f>
        <v>-4.3128238461639587E-2</v>
      </c>
    </row>
    <row r="49" spans="1:58" x14ac:dyDescent="0.35">
      <c r="A49" s="3" t="str">
        <f>[1]Results!E1409</f>
        <v>(DEBT_G_VAL_2/(PGDP_2*GDP_2)-DEBT_G_VAL_0/(PGDP_0*GDP_0))*100</v>
      </c>
      <c r="B49" t="str">
        <f>[1]Results!C1409</f>
        <v>Dette publique</v>
      </c>
      <c r="C49" s="1">
        <f>[1]Results!F1409</f>
        <v>2.0048902619318465</v>
      </c>
      <c r="D49" s="1">
        <f>[1]Results!G1409</f>
        <v>3.5028670122158267</v>
      </c>
      <c r="E49" s="1">
        <f>[1]Results!H1409</f>
        <v>5.2674944733611229</v>
      </c>
      <c r="F49" s="1">
        <f>[1]Results!I1409</f>
        <v>7.1813462206543726</v>
      </c>
      <c r="G49" s="1">
        <f>[1]Results!J1409</f>
        <v>9.1951087083900429</v>
      </c>
      <c r="H49" s="1">
        <f>[1]Results!K1409</f>
        <v>11.283413404310572</v>
      </c>
      <c r="I49" s="1">
        <f>[1]Results!L1409</f>
        <v>13.44141266033766</v>
      </c>
      <c r="J49" s="1">
        <f>[1]Results!M1409</f>
        <v>15.651709936423675</v>
      </c>
      <c r="K49" s="1">
        <f>[1]Results!N1409</f>
        <v>17.904737840971173</v>
      </c>
      <c r="L49" s="1">
        <f>[1]Results!O1409</f>
        <v>20.192982341895338</v>
      </c>
      <c r="M49" s="1">
        <f>[1]Results!P1409</f>
        <v>22.663019654114226</v>
      </c>
      <c r="N49" s="1">
        <f>[1]Results!Q1409</f>
        <v>24.990199872189734</v>
      </c>
      <c r="O49" s="1">
        <f>[1]Results!R1409</f>
        <v>27.285080321249001</v>
      </c>
      <c r="P49" s="1">
        <f>[1]Results!S1409</f>
        <v>29.535196751260393</v>
      </c>
      <c r="Q49" s="1">
        <f>[1]Results!T1409</f>
        <v>31.738059263505779</v>
      </c>
      <c r="R49" s="1">
        <f>[1]Results!U1409</f>
        <v>33.894033400719906</v>
      </c>
      <c r="S49" s="1">
        <f>[1]Results!V1409</f>
        <v>36.011611192498059</v>
      </c>
      <c r="T49" s="1">
        <f>[1]Results!W1409</f>
        <v>38.09112816710789</v>
      </c>
      <c r="U49" s="1">
        <f>[1]Results!X1409</f>
        <v>40.137358317812279</v>
      </c>
      <c r="V49" s="1">
        <f>[1]Results!Y1409</f>
        <v>42.155118617696438</v>
      </c>
      <c r="W49" s="1">
        <f>[1]Results!Z1409</f>
        <v>44.180167182587503</v>
      </c>
      <c r="X49" s="1">
        <f>[1]Results!AA1409</f>
        <v>46.165539625862962</v>
      </c>
      <c r="Y49" s="1">
        <f>[1]Results!AB1409</f>
        <v>48.135562620692099</v>
      </c>
      <c r="Z49" s="1">
        <f>[1]Results!AC1409</f>
        <v>50.094790891014625</v>
      </c>
      <c r="AA49" s="1">
        <f>[1]Results!AD1409</f>
        <v>52.047632332636717</v>
      </c>
      <c r="AB49" s="1">
        <f>[1]Results!AE1409</f>
        <v>54.099534931957692</v>
      </c>
      <c r="AC49" s="1">
        <f>[1]Results!AF1409</f>
        <v>56.128975382844416</v>
      </c>
      <c r="AD49" s="1">
        <f>[1]Results!AG1409</f>
        <v>58.171478925690735</v>
      </c>
      <c r="AE49" s="1">
        <f>[1]Results!AH1409</f>
        <v>60.226399881956297</v>
      </c>
      <c r="AF49" s="1">
        <f>[1]Results!AI1409</f>
        <v>62.293728561714545</v>
      </c>
      <c r="AG49" s="1">
        <f>[1]Results!AJ1409</f>
        <v>64.373509011171933</v>
      </c>
      <c r="AH49" s="1">
        <f>[1]Results!AK1409</f>
        <v>66.464065767510277</v>
      </c>
      <c r="AI49" s="1">
        <f>[1]Results!AL1409</f>
        <v>68.565955969476192</v>
      </c>
      <c r="AJ49" s="1">
        <f>[1]Results!AM1409</f>
        <v>70.678874302967515</v>
      </c>
      <c r="AK49" s="1">
        <f>[1]Results!AN1409</f>
        <v>72.80278475914595</v>
      </c>
      <c r="AL49" s="1">
        <f>[1]Results!AO1409</f>
        <v>74.937795740371442</v>
      </c>
      <c r="AM49" s="1">
        <f>[1]Results!AP1409</f>
        <v>77.099598405988161</v>
      </c>
      <c r="AN49" s="1">
        <f>[1]Results!AQ1409</f>
        <v>79.274003655286677</v>
      </c>
      <c r="AO49" s="1">
        <f>[1]Results!AR1409</f>
        <v>81.457166857840534</v>
      </c>
      <c r="AP49" s="1">
        <f>[1]Results!AS1409</f>
        <v>83.647368865759304</v>
      </c>
      <c r="AQ49" s="1">
        <f>[1]Results!AT1409</f>
        <v>85.843916262657942</v>
      </c>
      <c r="AR49" s="1">
        <f>[1]Results!AU1409</f>
        <v>88.044107068483484</v>
      </c>
      <c r="AS49" s="1">
        <f>[1]Results!AV1409</f>
        <v>90.248769023197951</v>
      </c>
      <c r="AT49" s="1">
        <f>[1]Results!AW1409</f>
        <v>92.457540052680059</v>
      </c>
      <c r="AU49" s="1">
        <f>[1]Results!AX1409</f>
        <v>94.670586951997251</v>
      </c>
      <c r="AV49" s="1">
        <f>[1]Results!AY1409</f>
        <v>96.88840077724663</v>
      </c>
      <c r="AW49" s="1">
        <f>[1]Results!AZ1409</f>
        <v>99.100166677912711</v>
      </c>
      <c r="AX49" s="1">
        <f>[1]Results!BA1409</f>
        <v>101.31203879324704</v>
      </c>
      <c r="AY49" s="1">
        <f>[1]Results!BB1409</f>
        <v>103.5237299104102</v>
      </c>
      <c r="AZ49" s="1">
        <f>[1]Results!BC1409</f>
        <v>105.73634741326241</v>
      </c>
      <c r="BA49" s="1">
        <f>[1]Results!BD1409</f>
        <v>107.95149377425824</v>
      </c>
      <c r="BB49" s="1">
        <f>[1]Results!BE1409</f>
        <v>-0.31622750646672637</v>
      </c>
      <c r="BC49" s="1">
        <f>[1]Results!BF1409</f>
        <v>-0.35047498363949825</v>
      </c>
      <c r="BD49" s="1">
        <f>[1]Results!BG1409</f>
        <v>-0.38649508567719648</v>
      </c>
      <c r="BE49" s="1">
        <f>[1]Results!BH1409</f>
        <v>-0.42419383410826628</v>
      </c>
      <c r="BF49" s="1">
        <f>[1]Results!BI1409</f>
        <v>-0.46344306992865403</v>
      </c>
    </row>
    <row r="50" spans="1:58" x14ac:dyDescent="0.35">
      <c r="A50" s="3" t="str">
        <f>[1]Results!E1410</f>
        <v>GDP_2</v>
      </c>
      <c r="B50" t="str">
        <f>[1]Results!C1410</f>
        <v>PIB</v>
      </c>
      <c r="C50" s="1">
        <f>[1]Results!F1410</f>
        <v>2170247.8289999999</v>
      </c>
      <c r="D50" s="1">
        <f>[1]Results!G1410</f>
        <v>2189509.7370000002</v>
      </c>
      <c r="E50" s="1">
        <f>[1]Results!H1410</f>
        <v>2212041.5070000002</v>
      </c>
      <c r="F50" s="1">
        <f>[1]Results!I1410</f>
        <v>2237289.6609999998</v>
      </c>
      <c r="G50" s="1">
        <f>[1]Results!J1410</f>
        <v>2264983.304</v>
      </c>
      <c r="H50" s="1">
        <f>[1]Results!K1410</f>
        <v>2294778.1630000002</v>
      </c>
      <c r="I50" s="1">
        <f>[1]Results!L1410</f>
        <v>2324780.7030000002</v>
      </c>
      <c r="J50" s="1">
        <f>[1]Results!M1410</f>
        <v>2355885.7429999998</v>
      </c>
      <c r="K50" s="1">
        <f>[1]Results!N1410</f>
        <v>2387959.452</v>
      </c>
      <c r="L50" s="1">
        <f>[1]Results!O1410</f>
        <v>2420887.0449999999</v>
      </c>
      <c r="M50" s="1">
        <f>[1]Results!P1410</f>
        <v>2454822.108</v>
      </c>
      <c r="N50" s="1">
        <f>[1]Results!Q1410</f>
        <v>2491006.7579999999</v>
      </c>
      <c r="O50" s="1">
        <f>[1]Results!R1410</f>
        <v>2527930.0460000001</v>
      </c>
      <c r="P50" s="1">
        <f>[1]Results!S1410</f>
        <v>2565560.946</v>
      </c>
      <c r="Q50" s="1">
        <f>[1]Results!T1410</f>
        <v>2603825.821</v>
      </c>
      <c r="R50" s="1">
        <f>[1]Results!U1410</f>
        <v>2642663.591</v>
      </c>
      <c r="S50" s="1">
        <f>[1]Results!V1410</f>
        <v>2681898.6379999998</v>
      </c>
      <c r="T50" s="1">
        <f>[1]Results!W1410</f>
        <v>2721596.62</v>
      </c>
      <c r="U50" s="1">
        <f>[1]Results!X1410</f>
        <v>2761738.8960000002</v>
      </c>
      <c r="V50" s="1">
        <f>[1]Results!Y1410</f>
        <v>2802317.523</v>
      </c>
      <c r="W50" s="1">
        <f>[1]Results!Z1410</f>
        <v>2841357.594</v>
      </c>
      <c r="X50" s="1">
        <f>[1]Results!AA1410</f>
        <v>2882264.9279999998</v>
      </c>
      <c r="Y50" s="1">
        <f>[1]Results!AB1410</f>
        <v>2923730.9479999999</v>
      </c>
      <c r="Z50" s="1">
        <f>[1]Results!AC1410</f>
        <v>2965767.483</v>
      </c>
      <c r="AA50" s="1">
        <f>[1]Results!AD1410</f>
        <v>3008378.2039999999</v>
      </c>
      <c r="AB50" s="1">
        <f>[1]Results!AE1410</f>
        <v>3045886.659</v>
      </c>
      <c r="AC50" s="1">
        <f>[1]Results!AF1410</f>
        <v>3085441.128</v>
      </c>
      <c r="AD50" s="1">
        <f>[1]Results!AG1410</f>
        <v>3125123.5980000002</v>
      </c>
      <c r="AE50" s="1">
        <f>[1]Results!AH1410</f>
        <v>3165073.7880000002</v>
      </c>
      <c r="AF50" s="1">
        <f>[1]Results!AI1410</f>
        <v>3205398.5</v>
      </c>
      <c r="AG50" s="1">
        <f>[1]Results!AJ1410</f>
        <v>3246180.321</v>
      </c>
      <c r="AH50" s="1">
        <f>[1]Results!AK1410</f>
        <v>3287517.91</v>
      </c>
      <c r="AI50" s="1">
        <f>[1]Results!AL1410</f>
        <v>3329421.773</v>
      </c>
      <c r="AJ50" s="1">
        <f>[1]Results!AM1410</f>
        <v>3371913.977</v>
      </c>
      <c r="AK50" s="1">
        <f>[1]Results!AN1410</f>
        <v>3415004.4589999998</v>
      </c>
      <c r="AL50" s="1">
        <f>[1]Results!AO1410</f>
        <v>3458696.014</v>
      </c>
      <c r="AM50" s="1">
        <f>[1]Results!AP1410</f>
        <v>3501995.69</v>
      </c>
      <c r="AN50" s="1">
        <f>[1]Results!AQ1410</f>
        <v>3545588.7540000002</v>
      </c>
      <c r="AO50" s="1">
        <f>[1]Results!AR1410</f>
        <v>3589529.253</v>
      </c>
      <c r="AP50" s="1">
        <f>[1]Results!AS1410</f>
        <v>3633865.7280000001</v>
      </c>
      <c r="AQ50" s="1">
        <f>[1]Results!AT1410</f>
        <v>3678643.6069999998</v>
      </c>
      <c r="AR50" s="1">
        <f>[1]Results!AU1410</f>
        <v>3723966.6349999998</v>
      </c>
      <c r="AS50" s="1">
        <f>[1]Results!AV1410</f>
        <v>3769821.4539999999</v>
      </c>
      <c r="AT50" s="1">
        <f>[1]Results!AW1410</f>
        <v>3816230.4780000001</v>
      </c>
      <c r="AU50" s="1">
        <f>[1]Results!AX1410</f>
        <v>3863207.17</v>
      </c>
      <c r="AV50" s="1">
        <f>[1]Results!AY1410</f>
        <v>3910759.15</v>
      </c>
      <c r="AW50" s="1">
        <f>[1]Results!AZ1410</f>
        <v>3959239.24</v>
      </c>
      <c r="AX50" s="1">
        <f>[1]Results!BA1410</f>
        <v>4008394.179</v>
      </c>
      <c r="AY50" s="1">
        <f>[1]Results!BB1410</f>
        <v>4058208.0529999998</v>
      </c>
      <c r="AZ50" s="1">
        <f>[1]Results!BC1410</f>
        <v>4108661.9550000001</v>
      </c>
      <c r="BA50" s="1">
        <f>[1]Results!BD1410</f>
        <v>4159741.6579999998</v>
      </c>
      <c r="BB50" s="1">
        <f>[1]Results!BE1410</f>
        <v>4934052.733</v>
      </c>
      <c r="BC50" s="1">
        <f>[1]Results!BF1410</f>
        <v>5016319.7319999998</v>
      </c>
      <c r="BD50" s="1">
        <f>[1]Results!BG1410</f>
        <v>5099876.3890000004</v>
      </c>
      <c r="BE50" s="1">
        <f>[1]Results!BH1410</f>
        <v>5184742.5460000001</v>
      </c>
      <c r="BF50" s="1">
        <f>[1]Results!BI1410</f>
        <v>5270939.8990000002</v>
      </c>
    </row>
    <row r="51" spans="1:58" x14ac:dyDescent="0.35">
      <c r="A51" s="3" t="str">
        <f>[1]Results!E1411</f>
        <v>(GDPter_2/GDPbis_2-1)*100</v>
      </c>
      <c r="B51" t="str">
        <f>[1]Results!C1411</f>
        <v>Ecart PIB</v>
      </c>
      <c r="C51" s="1">
        <f>[1]Results!F1411</f>
        <v>-4.6077697213320334E-8</v>
      </c>
      <c r="D51" s="1">
        <f>[1]Results!G1411</f>
        <v>0</v>
      </c>
      <c r="E51" s="1">
        <f>[1]Results!H1411</f>
        <v>0</v>
      </c>
      <c r="F51" s="1">
        <f>[1]Results!I1411</f>
        <v>0</v>
      </c>
      <c r="G51" s="1">
        <f>[1]Results!J1411</f>
        <v>0</v>
      </c>
      <c r="H51" s="1">
        <f>[1]Results!K1411</f>
        <v>0</v>
      </c>
      <c r="I51" s="1">
        <f>[1]Results!L1411</f>
        <v>0</v>
      </c>
      <c r="J51" s="1">
        <f>[1]Results!M1411</f>
        <v>0</v>
      </c>
      <c r="K51" s="1">
        <f>[1]Results!N1411</f>
        <v>0</v>
      </c>
      <c r="L51" s="1">
        <f>[1]Results!O1411</f>
        <v>0</v>
      </c>
      <c r="M51" s="1">
        <f>[1]Results!P1411</f>
        <v>0</v>
      </c>
      <c r="N51" s="1">
        <f>[1]Results!Q1411</f>
        <v>0</v>
      </c>
      <c r="O51" s="1">
        <f>[1]Results!R1411</f>
        <v>0</v>
      </c>
      <c r="P51" s="1">
        <f>[1]Results!S1411</f>
        <v>0</v>
      </c>
      <c r="Q51" s="1">
        <f>[1]Results!T1411</f>
        <v>0</v>
      </c>
      <c r="R51" s="1">
        <f>[1]Results!U1411</f>
        <v>0</v>
      </c>
      <c r="S51" s="1">
        <f>[1]Results!V1411</f>
        <v>0</v>
      </c>
      <c r="T51" s="1">
        <f>[1]Results!W1411</f>
        <v>0</v>
      </c>
      <c r="U51" s="1">
        <f>[1]Results!X1411</f>
        <v>0</v>
      </c>
      <c r="V51" s="1">
        <f>[1]Results!Y1411</f>
        <v>0</v>
      </c>
      <c r="W51" s="1">
        <f>[1]Results!Z1411</f>
        <v>0</v>
      </c>
      <c r="X51" s="1">
        <f>[1]Results!AA1411</f>
        <v>0</v>
      </c>
      <c r="Y51" s="1">
        <f>[1]Results!AB1411</f>
        <v>0</v>
      </c>
      <c r="Z51" s="1">
        <f>[1]Results!AC1411</f>
        <v>0</v>
      </c>
      <c r="AA51" s="1">
        <f>[1]Results!AD1411</f>
        <v>0</v>
      </c>
      <c r="AB51" s="1">
        <f>[1]Results!AE1411</f>
        <v>0</v>
      </c>
      <c r="AC51" s="1">
        <f>[1]Results!AF1411</f>
        <v>0</v>
      </c>
      <c r="AD51" s="1">
        <f>[1]Results!AG1411</f>
        <v>0</v>
      </c>
      <c r="AE51" s="1">
        <f>[1]Results!AH1411</f>
        <v>0</v>
      </c>
      <c r="AF51" s="1">
        <f>[1]Results!AI1411</f>
        <v>0</v>
      </c>
      <c r="AG51" s="1">
        <f>[1]Results!AJ1411</f>
        <v>0</v>
      </c>
      <c r="AH51" s="1">
        <f>[1]Results!AK1411</f>
        <v>0</v>
      </c>
      <c r="AI51" s="1">
        <f>[1]Results!AL1411</f>
        <v>0</v>
      </c>
      <c r="AJ51" s="1">
        <f>[1]Results!AM1411</f>
        <v>0</v>
      </c>
      <c r="AK51" s="1">
        <f>[1]Results!AN1411</f>
        <v>0</v>
      </c>
      <c r="AL51" s="1">
        <f>[1]Results!AO1411</f>
        <v>0</v>
      </c>
      <c r="AM51" s="1">
        <f>[1]Results!AP1411</f>
        <v>0</v>
      </c>
      <c r="AN51" s="1">
        <f>[1]Results!AQ1411</f>
        <v>0</v>
      </c>
      <c r="AO51" s="1">
        <f>[1]Results!AR1411</f>
        <v>0</v>
      </c>
      <c r="AP51" s="1">
        <f>[1]Results!AS1411</f>
        <v>0</v>
      </c>
      <c r="AQ51" s="1">
        <f>[1]Results!AT1411</f>
        <v>0</v>
      </c>
      <c r="AR51" s="1">
        <f>[1]Results!AU1411</f>
        <v>0</v>
      </c>
      <c r="AS51" s="1">
        <f>[1]Results!AV1411</f>
        <v>0</v>
      </c>
      <c r="AT51" s="1">
        <f>[1]Results!AW1411</f>
        <v>0</v>
      </c>
      <c r="AU51" s="1">
        <f>[1]Results!AX1411</f>
        <v>0</v>
      </c>
      <c r="AV51" s="1">
        <f>[1]Results!AY1411</f>
        <v>0</v>
      </c>
      <c r="AW51" s="1">
        <f>[1]Results!AZ1411</f>
        <v>0</v>
      </c>
      <c r="AX51" s="1">
        <f>[1]Results!BA1411</f>
        <v>0</v>
      </c>
      <c r="AY51" s="1">
        <f>[1]Results!BB1411</f>
        <v>0</v>
      </c>
      <c r="AZ51" s="1">
        <f>[1]Results!BC1411</f>
        <v>0</v>
      </c>
      <c r="BA51" s="1">
        <f>[1]Results!BD1411</f>
        <v>0</v>
      </c>
      <c r="BB51" s="1">
        <f>[1]Results!BE1411</f>
        <v>0</v>
      </c>
      <c r="BC51" s="1">
        <f>[1]Results!BF1411</f>
        <v>0</v>
      </c>
      <c r="BD51" s="1">
        <f>[1]Results!BG1411</f>
        <v>0</v>
      </c>
      <c r="BE51" s="1">
        <f>[1]Results!BH1411</f>
        <v>0</v>
      </c>
      <c r="BF51" s="1">
        <f>[1]Results!BI1411</f>
        <v>-1.8971946236234771E-8</v>
      </c>
    </row>
    <row r="52" spans="1:58" x14ac:dyDescent="0.35">
      <c r="A52" s="3" t="str">
        <f>[1]Results!E1412</f>
        <v>SPEND_G_VAL_2</v>
      </c>
      <c r="B52" t="str">
        <f>[1]Results!C1412</f>
        <v>Dépenses publiques</v>
      </c>
      <c r="C52" s="1">
        <f>[1]Results!F1412</f>
        <v>1178827.8060000001</v>
      </c>
      <c r="D52" s="1">
        <f>[1]Results!G1412</f>
        <v>1216598.4380000001</v>
      </c>
      <c r="E52" s="1">
        <f>[1]Results!H1412</f>
        <v>1255247.091</v>
      </c>
      <c r="F52" s="1">
        <f>[1]Results!I1412</f>
        <v>1295276.9580000001</v>
      </c>
      <c r="G52" s="1">
        <f>[1]Results!J1412</f>
        <v>1337595.3330000001</v>
      </c>
      <c r="H52" s="1">
        <f>[1]Results!K1412</f>
        <v>1382568.0490000001</v>
      </c>
      <c r="I52" s="1">
        <f>[1]Results!L1412</f>
        <v>1428899.7080000001</v>
      </c>
      <c r="J52" s="1">
        <f>[1]Results!M1412</f>
        <v>1477896.5419999999</v>
      </c>
      <c r="K52" s="1">
        <f>[1]Results!N1412</f>
        <v>1529530.2080000001</v>
      </c>
      <c r="L52" s="1">
        <f>[1]Results!O1412</f>
        <v>1583810.406</v>
      </c>
      <c r="M52" s="1">
        <f>[1]Results!P1412</f>
        <v>1643378.2830000001</v>
      </c>
      <c r="N52" s="1">
        <f>[1]Results!Q1412</f>
        <v>1702864.943</v>
      </c>
      <c r="O52" s="1">
        <f>[1]Results!R1412</f>
        <v>1765348.6850000001</v>
      </c>
      <c r="P52" s="1">
        <f>[1]Results!S1412</f>
        <v>1830940.6780000001</v>
      </c>
      <c r="Q52" s="1">
        <f>[1]Results!T1412</f>
        <v>1899628.66</v>
      </c>
      <c r="R52" s="1">
        <f>[1]Results!U1412</f>
        <v>1971367.669</v>
      </c>
      <c r="S52" s="1">
        <f>[1]Results!V1412</f>
        <v>2046129.105</v>
      </c>
      <c r="T52" s="1">
        <f>[1]Results!W1412</f>
        <v>2123897.6979999999</v>
      </c>
      <c r="U52" s="1">
        <f>[1]Results!X1412</f>
        <v>2204638.2409999999</v>
      </c>
      <c r="V52" s="1">
        <f>[1]Results!Y1412</f>
        <v>2288337.1910000001</v>
      </c>
      <c r="W52" s="1">
        <f>[1]Results!Z1412</f>
        <v>2372642.9559999998</v>
      </c>
      <c r="X52" s="1">
        <f>[1]Results!AA1412</f>
        <v>2462152.1570000001</v>
      </c>
      <c r="Y52" s="1">
        <f>[1]Results!AB1412</f>
        <v>2554627.1430000002</v>
      </c>
      <c r="Z52" s="1">
        <f>[1]Results!AC1412</f>
        <v>2650134.8489999999</v>
      </c>
      <c r="AA52" s="1">
        <f>[1]Results!AD1412</f>
        <v>2748728.6009999998</v>
      </c>
      <c r="AB52" s="1">
        <f>[1]Results!AE1412</f>
        <v>2842922.2850000001</v>
      </c>
      <c r="AC52" s="1">
        <f>[1]Results!AF1412</f>
        <v>2943818.6979999999</v>
      </c>
      <c r="AD52" s="1">
        <f>[1]Results!AG1412</f>
        <v>3047580.037</v>
      </c>
      <c r="AE52" s="1">
        <f>[1]Results!AH1412</f>
        <v>3154364.9419999998</v>
      </c>
      <c r="AF52" s="1">
        <f>[1]Results!AI1412</f>
        <v>3264298.8810000001</v>
      </c>
      <c r="AG52" s="1">
        <f>[1]Results!AJ1412</f>
        <v>3377506.2919999999</v>
      </c>
      <c r="AH52" s="1">
        <f>[1]Results!AK1412</f>
        <v>3494121.0950000002</v>
      </c>
      <c r="AI52" s="1">
        <f>[1]Results!AL1412</f>
        <v>3614295.7230000002</v>
      </c>
      <c r="AJ52" s="1">
        <f>[1]Results!AM1412</f>
        <v>3738221.0159999998</v>
      </c>
      <c r="AK52" s="1">
        <f>[1]Results!AN1412</f>
        <v>3866096.96</v>
      </c>
      <c r="AL52" s="1">
        <f>[1]Results!AO1412</f>
        <v>3998130.3119999999</v>
      </c>
      <c r="AM52" s="1">
        <f>[1]Results!AP1412</f>
        <v>4132201.28</v>
      </c>
      <c r="AN52" s="1">
        <f>[1]Results!AQ1412</f>
        <v>4270499.7149999999</v>
      </c>
      <c r="AO52" s="1">
        <f>[1]Results!AR1412</f>
        <v>4413330.7450000001</v>
      </c>
      <c r="AP52" s="1">
        <f>[1]Results!AS1412</f>
        <v>4560966.6380000003</v>
      </c>
      <c r="AQ52" s="1">
        <f>[1]Results!AT1412</f>
        <v>4713641.21</v>
      </c>
      <c r="AR52" s="1">
        <f>[1]Results!AU1412</f>
        <v>4871553.1119999997</v>
      </c>
      <c r="AS52" s="1">
        <f>[1]Results!AV1412</f>
        <v>5034888.9720000001</v>
      </c>
      <c r="AT52" s="1">
        <f>[1]Results!AW1412</f>
        <v>5203888.2539999997</v>
      </c>
      <c r="AU52" s="1">
        <f>[1]Results!AX1412</f>
        <v>5378787.0599999996</v>
      </c>
      <c r="AV52" s="1">
        <f>[1]Results!AY1412</f>
        <v>5559821.8830000004</v>
      </c>
      <c r="AW52" s="1">
        <f>[1]Results!AZ1412</f>
        <v>5747423.5060000001</v>
      </c>
      <c r="AX52" s="1">
        <f>[1]Results!BA1412</f>
        <v>5941519.5310000004</v>
      </c>
      <c r="AY52" s="1">
        <f>[1]Results!BB1412</f>
        <v>6142473.8380000005</v>
      </c>
      <c r="AZ52" s="1">
        <f>[1]Results!BC1412</f>
        <v>6350594.2039999999</v>
      </c>
      <c r="BA52" s="1">
        <f>[1]Results!BD1412</f>
        <v>6566151.801</v>
      </c>
      <c r="BB52" s="1">
        <f>[1]Results!BE1412</f>
        <v>6406006.1739999996</v>
      </c>
      <c r="BC52" s="1">
        <f>[1]Results!BF1412</f>
        <v>6609777.1940000001</v>
      </c>
      <c r="BD52" s="1">
        <f>[1]Results!BG1412</f>
        <v>6819700.4450000003</v>
      </c>
      <c r="BE52" s="1">
        <f>[1]Results!BH1412</f>
        <v>7035997.3969999999</v>
      </c>
      <c r="BF52" s="1">
        <f>[1]Results!BI1412</f>
        <v>7258896.4110000003</v>
      </c>
    </row>
    <row r="53" spans="1:58" x14ac:dyDescent="0.35">
      <c r="A53" s="3" t="str">
        <f>[1]Results!E1413</f>
        <v>INC_G_VAL_2</v>
      </c>
      <c r="B53" t="str">
        <f>[1]Results!C1413</f>
        <v>Recettes publiques</v>
      </c>
      <c r="C53" s="1">
        <f>[1]Results!F1413</f>
        <v>1000525.629</v>
      </c>
      <c r="D53" s="1">
        <f>[1]Results!G1413</f>
        <v>1023347.485</v>
      </c>
      <c r="E53" s="1">
        <f>[1]Results!H1413</f>
        <v>1047825.284</v>
      </c>
      <c r="F53" s="1">
        <f>[1]Results!I1413</f>
        <v>1074264.04</v>
      </c>
      <c r="G53" s="1">
        <f>[1]Results!J1413</f>
        <v>1103053.629</v>
      </c>
      <c r="H53" s="1">
        <f>[1]Results!K1413</f>
        <v>1134437.6980000001</v>
      </c>
      <c r="I53" s="1">
        <f>[1]Results!L1413</f>
        <v>1167820.923</v>
      </c>
      <c r="J53" s="1">
        <f>[1]Results!M1413</f>
        <v>1203485.2139999999</v>
      </c>
      <c r="K53" s="1">
        <f>[1]Results!N1413</f>
        <v>1241451.6780000001</v>
      </c>
      <c r="L53" s="1">
        <f>[1]Results!O1413</f>
        <v>1281717.6680000001</v>
      </c>
      <c r="M53" s="1">
        <f>[1]Results!P1413</f>
        <v>1324537.2080000001</v>
      </c>
      <c r="N53" s="1">
        <f>[1]Results!Q1413</f>
        <v>1369969.48</v>
      </c>
      <c r="O53" s="1">
        <f>[1]Results!R1413</f>
        <v>1418198.5390000001</v>
      </c>
      <c r="P53" s="1">
        <f>[1]Results!S1413</f>
        <v>1469163.794</v>
      </c>
      <c r="Q53" s="1">
        <f>[1]Results!T1413</f>
        <v>1522809.99</v>
      </c>
      <c r="R53" s="1">
        <f>[1]Results!U1413</f>
        <v>1579080.321</v>
      </c>
      <c r="S53" s="1">
        <f>[1]Results!V1413</f>
        <v>1637874.98</v>
      </c>
      <c r="T53" s="1">
        <f>[1]Results!W1413</f>
        <v>1699144.1029999999</v>
      </c>
      <c r="U53" s="1">
        <f>[1]Results!X1413</f>
        <v>1762834.8419999999</v>
      </c>
      <c r="V53" s="1">
        <f>[1]Results!Y1413</f>
        <v>1828898.6580000001</v>
      </c>
      <c r="W53" s="1">
        <f>[1]Results!Z1413</f>
        <v>1896111.8470000001</v>
      </c>
      <c r="X53" s="1">
        <f>[1]Results!AA1413</f>
        <v>1966052.1640000001</v>
      </c>
      <c r="Y53" s="1">
        <f>[1]Results!AB1413</f>
        <v>2038356.4210000001</v>
      </c>
      <c r="Z53" s="1">
        <f>[1]Results!AC1413</f>
        <v>2113026.9709999999</v>
      </c>
      <c r="AA53" s="1">
        <f>[1]Results!AD1413</f>
        <v>2190060.4350000001</v>
      </c>
      <c r="AB53" s="1">
        <f>[1]Results!AE1413</f>
        <v>2265662.6850000001</v>
      </c>
      <c r="AC53" s="1">
        <f>[1]Results!AF1413</f>
        <v>2343206.58</v>
      </c>
      <c r="AD53" s="1">
        <f>[1]Results!AG1413</f>
        <v>2422235.5619999999</v>
      </c>
      <c r="AE53" s="1">
        <f>[1]Results!AH1413</f>
        <v>2502939.4980000001</v>
      </c>
      <c r="AF53" s="1">
        <f>[1]Results!AI1413</f>
        <v>2585493.8080000002</v>
      </c>
      <c r="AG53" s="1">
        <f>[1]Results!AJ1413</f>
        <v>2670059.4670000002</v>
      </c>
      <c r="AH53" s="1">
        <f>[1]Results!AK1413</f>
        <v>2756800.841</v>
      </c>
      <c r="AI53" s="1">
        <f>[1]Results!AL1413</f>
        <v>2845854.8990000002</v>
      </c>
      <c r="AJ53" s="1">
        <f>[1]Results!AM1413</f>
        <v>2937356.1680000001</v>
      </c>
      <c r="AK53" s="1">
        <f>[1]Results!AN1413</f>
        <v>3031437.7409999999</v>
      </c>
      <c r="AL53" s="1">
        <f>[1]Results!AO1413</f>
        <v>3128233.5060000001</v>
      </c>
      <c r="AM53" s="1">
        <f>[1]Results!AP1413</f>
        <v>3226906.5980000002</v>
      </c>
      <c r="AN53" s="1">
        <f>[1]Results!AQ1413</f>
        <v>3327945.0559999999</v>
      </c>
      <c r="AO53" s="1">
        <f>[1]Results!AR1413</f>
        <v>3431555.068</v>
      </c>
      <c r="AP53" s="1">
        <f>[1]Results!AS1413</f>
        <v>3537963.787</v>
      </c>
      <c r="AQ53" s="1">
        <f>[1]Results!AT1413</f>
        <v>3647399.412</v>
      </c>
      <c r="AR53" s="1">
        <f>[1]Results!AU1413</f>
        <v>3760109.2459999998</v>
      </c>
      <c r="AS53" s="1">
        <f>[1]Results!AV1413</f>
        <v>3876292.4870000002</v>
      </c>
      <c r="AT53" s="1">
        <f>[1]Results!AW1413</f>
        <v>3996139.662</v>
      </c>
      <c r="AU53" s="1">
        <f>[1]Results!AX1413</f>
        <v>4119830.037</v>
      </c>
      <c r="AV53" s="1">
        <f>[1]Results!AY1413</f>
        <v>4247533.7309999997</v>
      </c>
      <c r="AW53" s="1">
        <f>[1]Results!AZ1413</f>
        <v>4379645.7779999999</v>
      </c>
      <c r="AX53" s="1">
        <f>[1]Results!BA1413</f>
        <v>4516261</v>
      </c>
      <c r="AY53" s="1">
        <f>[1]Results!BB1413</f>
        <v>4657525.9570000004</v>
      </c>
      <c r="AZ53" s="1">
        <f>[1]Results!BC1413</f>
        <v>4803587.932</v>
      </c>
      <c r="BA53" s="1">
        <f>[1]Results!BD1413</f>
        <v>4954595.7860000003</v>
      </c>
      <c r="BB53" s="1">
        <f>[1]Results!BE1413</f>
        <v>6227547.3530000001</v>
      </c>
      <c r="BC53" s="1">
        <f>[1]Results!BF1413</f>
        <v>6447101.7589999996</v>
      </c>
      <c r="BD53" s="1">
        <f>[1]Results!BG1413</f>
        <v>6673897.7949999999</v>
      </c>
      <c r="BE53" s="1">
        <f>[1]Results!BH1413</f>
        <v>6908213.1090000002</v>
      </c>
      <c r="BF53" s="1">
        <f>[1]Results!BI1413</f>
        <v>7150343.2790000001</v>
      </c>
    </row>
    <row r="54" spans="1:58" x14ac:dyDescent="0.35">
      <c r="A54" s="3" t="str">
        <f>[1]Results!E1414</f>
        <v>Bal_G_tot_VAL_2</v>
      </c>
      <c r="B54" t="str">
        <f>[1]Results!C1414</f>
        <v>Solde public</v>
      </c>
      <c r="C54" s="1">
        <f>[1]Results!F1414</f>
        <v>-76325.109750000003</v>
      </c>
      <c r="D54" s="1">
        <f>[1]Results!G1414</f>
        <v>-87457.6296</v>
      </c>
      <c r="E54" s="1">
        <f>[1]Results!H1414</f>
        <v>-97255.602239999993</v>
      </c>
      <c r="F54" s="1">
        <f>[1]Results!I1414</f>
        <v>-105983.9338</v>
      </c>
      <c r="G54" s="1">
        <f>[1]Results!J1414</f>
        <v>-114213.5226</v>
      </c>
      <c r="H54" s="1">
        <f>[1]Results!K1414</f>
        <v>-122091.4935</v>
      </c>
      <c r="I54" s="1">
        <f>[1]Results!L1414</f>
        <v>-128935.3526</v>
      </c>
      <c r="J54" s="1">
        <f>[1]Results!M1414</f>
        <v>-135821.12779999999</v>
      </c>
      <c r="K54" s="1">
        <f>[1]Results!N1414</f>
        <v>-142697.27340000001</v>
      </c>
      <c r="L54" s="1">
        <f>[1]Results!O1414</f>
        <v>-149576.6182</v>
      </c>
      <c r="M54" s="1">
        <f>[1]Results!P1414</f>
        <v>-158846.12450000001</v>
      </c>
      <c r="N54" s="1">
        <f>[1]Results!Q1414</f>
        <v>-164958.20550000001</v>
      </c>
      <c r="O54" s="1">
        <f>[1]Results!R1414</f>
        <v>-170964.97829999999</v>
      </c>
      <c r="P54" s="1">
        <f>[1]Results!S1414</f>
        <v>-177043.4682</v>
      </c>
      <c r="Q54" s="1">
        <f>[1]Results!T1414</f>
        <v>-183233.0809</v>
      </c>
      <c r="R54" s="1">
        <f>[1]Results!U1414</f>
        <v>-189540.10389999999</v>
      </c>
      <c r="S54" s="1">
        <f>[1]Results!V1414</f>
        <v>-196029.8756</v>
      </c>
      <c r="T54" s="1">
        <f>[1]Results!W1414</f>
        <v>-202727.8518</v>
      </c>
      <c r="U54" s="1">
        <f>[1]Results!X1414</f>
        <v>-209641.26329999999</v>
      </c>
      <c r="V54" s="1">
        <f>[1]Results!Y1414</f>
        <v>-216794.33489999999</v>
      </c>
      <c r="W54" s="1">
        <f>[1]Results!Z1414</f>
        <v>-223047.1942</v>
      </c>
      <c r="X54" s="1">
        <f>[1]Results!AA1414</f>
        <v>-231463.7175</v>
      </c>
      <c r="Y54" s="1">
        <f>[1]Results!AB1414</f>
        <v>-240061.26060000001</v>
      </c>
      <c r="Z54" s="1">
        <f>[1]Results!AC1414</f>
        <v>-248895.35430000001</v>
      </c>
      <c r="AA54" s="1">
        <f>[1]Results!AD1414</f>
        <v>-258010.8743</v>
      </c>
      <c r="AB54" s="1">
        <f>[1]Results!AE1414</f>
        <v>-263701.7647</v>
      </c>
      <c r="AC54" s="1">
        <f>[1]Results!AF1414</f>
        <v>-273869.19400000002</v>
      </c>
      <c r="AD54" s="1">
        <f>[1]Results!AG1414</f>
        <v>-284908.09259999997</v>
      </c>
      <c r="AE54" s="1">
        <f>[1]Results!AH1414</f>
        <v>-296743.6556</v>
      </c>
      <c r="AF54" s="1">
        <f>[1]Results!AI1414</f>
        <v>-309286.10220000002</v>
      </c>
      <c r="AG54" s="1">
        <f>[1]Results!AJ1414</f>
        <v>-322463.54950000002</v>
      </c>
      <c r="AH54" s="1">
        <f>[1]Results!AK1414</f>
        <v>-336213.80119999999</v>
      </c>
      <c r="AI54" s="1">
        <f>[1]Results!AL1414</f>
        <v>-350523.68050000002</v>
      </c>
      <c r="AJ54" s="1">
        <f>[1]Results!AM1414</f>
        <v>-365421.52039999998</v>
      </c>
      <c r="AK54" s="1">
        <f>[1]Results!AN1414</f>
        <v>-380944.81630000001</v>
      </c>
      <c r="AL54" s="1">
        <f>[1]Results!AO1414</f>
        <v>-397135.16139999998</v>
      </c>
      <c r="AM54" s="1">
        <f>[1]Results!AP1414</f>
        <v>-412676.27960000001</v>
      </c>
      <c r="AN54" s="1">
        <f>[1]Results!AQ1414</f>
        <v>-429302.44319999998</v>
      </c>
      <c r="AO54" s="1">
        <f>[1]Results!AR1414</f>
        <v>-447058.33799999999</v>
      </c>
      <c r="AP54" s="1">
        <f>[1]Results!AS1414</f>
        <v>-465932.59580000001</v>
      </c>
      <c r="AQ54" s="1">
        <f>[1]Results!AT1414</f>
        <v>-485874.91210000002</v>
      </c>
      <c r="AR54" s="1">
        <f>[1]Results!AU1414</f>
        <v>-506783.23570000002</v>
      </c>
      <c r="AS54" s="1">
        <f>[1]Results!AV1414</f>
        <v>-528596.69220000005</v>
      </c>
      <c r="AT54" s="1">
        <f>[1]Results!AW1414</f>
        <v>-551318.96589999995</v>
      </c>
      <c r="AU54" s="1">
        <f>[1]Results!AX1414</f>
        <v>-574961.44839999999</v>
      </c>
      <c r="AV54" s="1">
        <f>[1]Results!AY1414</f>
        <v>-599544.50439999998</v>
      </c>
      <c r="AW54" s="1">
        <f>[1]Results!AZ1414</f>
        <v>-625056.85490000003</v>
      </c>
      <c r="AX54" s="1">
        <f>[1]Results!BA1414</f>
        <v>-651284.81599999999</v>
      </c>
      <c r="AY54" s="1">
        <f>[1]Results!BB1414</f>
        <v>-678409.92509999999</v>
      </c>
      <c r="AZ54" s="1">
        <f>[1]Results!BC1414</f>
        <v>-706547.82010000001</v>
      </c>
      <c r="BA54" s="1">
        <f>[1]Results!BD1414</f>
        <v>-735770.17090000003</v>
      </c>
      <c r="BB54" s="1">
        <f>[1]Results!BE1414</f>
        <v>77863.230030000006</v>
      </c>
      <c r="BC54" s="1">
        <f>[1]Results!BF1414</f>
        <v>89753.453880000001</v>
      </c>
      <c r="BD54" s="1">
        <f>[1]Results!BG1414</f>
        <v>102138.5665</v>
      </c>
      <c r="BE54" s="1">
        <f>[1]Results!BH1414</f>
        <v>115050</v>
      </c>
      <c r="BF54" s="1">
        <f>[1]Results!BI1414</f>
        <v>128528.6568</v>
      </c>
    </row>
    <row r="55" spans="1:58" x14ac:dyDescent="0.35">
      <c r="A55" s="3" t="str">
        <f>[1]Results!E1415</f>
        <v>DEBT_G_VAL_2</v>
      </c>
      <c r="B55" t="str">
        <f>[1]Results!C1415</f>
        <v>Dette publique</v>
      </c>
      <c r="C55" s="1">
        <f>[1]Results!F1415</f>
        <v>2115866.463</v>
      </c>
      <c r="D55" s="1">
        <f>[1]Results!G1415</f>
        <v>2203324.0929999999</v>
      </c>
      <c r="E55" s="1">
        <f>[1]Results!H1415</f>
        <v>2300579.6949999998</v>
      </c>
      <c r="F55" s="1">
        <f>[1]Results!I1415</f>
        <v>2406563.6290000002</v>
      </c>
      <c r="G55" s="1">
        <f>[1]Results!J1415</f>
        <v>2520777.1510000001</v>
      </c>
      <c r="H55" s="1">
        <f>[1]Results!K1415</f>
        <v>2642868.645</v>
      </c>
      <c r="I55" s="1">
        <f>[1]Results!L1415</f>
        <v>2771803.997</v>
      </c>
      <c r="J55" s="1">
        <f>[1]Results!M1415</f>
        <v>2907625.125</v>
      </c>
      <c r="K55" s="1">
        <f>[1]Results!N1415</f>
        <v>3050322.3990000002</v>
      </c>
      <c r="L55" s="1">
        <f>[1]Results!O1415</f>
        <v>3199899.017</v>
      </c>
      <c r="M55" s="1">
        <f>[1]Results!P1415</f>
        <v>3358745.1409999998</v>
      </c>
      <c r="N55" s="1">
        <f>[1]Results!Q1415</f>
        <v>3523703.3470000001</v>
      </c>
      <c r="O55" s="1">
        <f>[1]Results!R1415</f>
        <v>3694668.3250000002</v>
      </c>
      <c r="P55" s="1">
        <f>[1]Results!S1415</f>
        <v>3871711.7930000001</v>
      </c>
      <c r="Q55" s="1">
        <f>[1]Results!T1415</f>
        <v>4054944.8739999998</v>
      </c>
      <c r="R55" s="1">
        <f>[1]Results!U1415</f>
        <v>4244484.9780000001</v>
      </c>
      <c r="S55" s="1">
        <f>[1]Results!V1415</f>
        <v>4440514.8540000003</v>
      </c>
      <c r="T55" s="1">
        <f>[1]Results!W1415</f>
        <v>4643242.7060000002</v>
      </c>
      <c r="U55" s="1">
        <f>[1]Results!X1415</f>
        <v>4852883.9689999996</v>
      </c>
      <c r="V55" s="1">
        <f>[1]Results!Y1415</f>
        <v>5069678.3039999995</v>
      </c>
      <c r="W55" s="1">
        <f>[1]Results!Z1415</f>
        <v>5292725.4979999997</v>
      </c>
      <c r="X55" s="1">
        <f>[1]Results!AA1415</f>
        <v>5524189.2149999999</v>
      </c>
      <c r="Y55" s="1">
        <f>[1]Results!AB1415</f>
        <v>5764250.4759999998</v>
      </c>
      <c r="Z55" s="1">
        <f>[1]Results!AC1415</f>
        <v>6013145.8300000001</v>
      </c>
      <c r="AA55" s="1">
        <f>[1]Results!AD1415</f>
        <v>6271156.7050000001</v>
      </c>
      <c r="AB55" s="1">
        <f>[1]Results!AE1415</f>
        <v>6534858.4689999996</v>
      </c>
      <c r="AC55" s="1">
        <f>[1]Results!AF1415</f>
        <v>6808727.6629999997</v>
      </c>
      <c r="AD55" s="1">
        <f>[1]Results!AG1415</f>
        <v>7093635.7560000001</v>
      </c>
      <c r="AE55" s="1">
        <f>[1]Results!AH1415</f>
        <v>7390379.4119999995</v>
      </c>
      <c r="AF55" s="1">
        <f>[1]Results!AI1415</f>
        <v>7699665.5140000004</v>
      </c>
      <c r="AG55" s="1">
        <f>[1]Results!AJ1415</f>
        <v>8022129.0630000001</v>
      </c>
      <c r="AH55" s="1">
        <f>[1]Results!AK1415</f>
        <v>8358342.8640000001</v>
      </c>
      <c r="AI55" s="1">
        <f>[1]Results!AL1415</f>
        <v>8708866.5449999999</v>
      </c>
      <c r="AJ55" s="1">
        <f>[1]Results!AM1415</f>
        <v>9074288.0649999995</v>
      </c>
      <c r="AK55" s="1">
        <f>[1]Results!AN1415</f>
        <v>9455232.8819999993</v>
      </c>
      <c r="AL55" s="1">
        <f>[1]Results!AO1415</f>
        <v>9852368.0429999996</v>
      </c>
      <c r="AM55" s="1">
        <f>[1]Results!AP1415</f>
        <v>10265044.32</v>
      </c>
      <c r="AN55" s="1">
        <f>[1]Results!AQ1415</f>
        <v>10694346.77</v>
      </c>
      <c r="AO55" s="1">
        <f>[1]Results!AR1415</f>
        <v>11141405.1</v>
      </c>
      <c r="AP55" s="1">
        <f>[1]Results!AS1415</f>
        <v>11607337.699999999</v>
      </c>
      <c r="AQ55" s="1">
        <f>[1]Results!AT1415</f>
        <v>12093212.609999999</v>
      </c>
      <c r="AR55" s="1">
        <f>[1]Results!AU1415</f>
        <v>12599995.85</v>
      </c>
      <c r="AS55" s="1">
        <f>[1]Results!AV1415</f>
        <v>13128592.539999999</v>
      </c>
      <c r="AT55" s="1">
        <f>[1]Results!AW1415</f>
        <v>13679911.51</v>
      </c>
      <c r="AU55" s="1">
        <f>[1]Results!AX1415</f>
        <v>14254872.949999999</v>
      </c>
      <c r="AV55" s="1">
        <f>[1]Results!AY1415</f>
        <v>14854417.460000001</v>
      </c>
      <c r="AW55" s="1">
        <f>[1]Results!AZ1415</f>
        <v>15479474.310000001</v>
      </c>
      <c r="AX55" s="1">
        <f>[1]Results!BA1415</f>
        <v>16130759.130000001</v>
      </c>
      <c r="AY55" s="1">
        <f>[1]Results!BB1415</f>
        <v>16809169.050000001</v>
      </c>
      <c r="AZ55" s="1">
        <f>[1]Results!BC1415</f>
        <v>17515716.870000001</v>
      </c>
      <c r="BA55" s="1">
        <f>[1]Results!BD1415</f>
        <v>18251487.050000001</v>
      </c>
      <c r="BB55" s="1">
        <f>[1]Results!BE1415</f>
        <v>5048577.7790000001</v>
      </c>
      <c r="BC55" s="1">
        <f>[1]Results!BF1415</f>
        <v>4958824.3250000002</v>
      </c>
      <c r="BD55" s="1">
        <f>[1]Results!BG1415</f>
        <v>4856685.7580000004</v>
      </c>
      <c r="BE55" s="1">
        <f>[1]Results!BH1415</f>
        <v>4741635.7580000004</v>
      </c>
      <c r="BF55" s="1">
        <f>[1]Results!BI1415</f>
        <v>4613107.102</v>
      </c>
    </row>
    <row r="56" spans="1:58" x14ac:dyDescent="0.35"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</row>
    <row r="57" spans="1:58" x14ac:dyDescent="0.35"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</row>
    <row r="58" spans="1:58" x14ac:dyDescent="0.35">
      <c r="A58" s="13" t="s">
        <v>49</v>
      </c>
      <c r="B58" t="s">
        <v>4</v>
      </c>
      <c r="C58" s="1">
        <f>[1]Results!F1731</f>
        <v>1202984.926</v>
      </c>
      <c r="D58" s="1">
        <f>[1]Results!G1731</f>
        <v>1218429.125</v>
      </c>
      <c r="E58" s="1">
        <f>[1]Results!H1731</f>
        <v>1234998.9720000001</v>
      </c>
      <c r="F58" s="1">
        <f>[1]Results!I1731</f>
        <v>1252452.5930000001</v>
      </c>
      <c r="G58" s="1">
        <f>[1]Results!J1731</f>
        <v>1270716.763</v>
      </c>
      <c r="H58" s="1">
        <f>[1]Results!K1731</f>
        <v>1289816.5049999999</v>
      </c>
      <c r="I58" s="1">
        <f>[1]Results!L1731</f>
        <v>1309182.9140000001</v>
      </c>
      <c r="J58" s="1">
        <f>[1]Results!M1731</f>
        <v>1328965.3359999999</v>
      </c>
      <c r="K58" s="1">
        <f>[1]Results!N1731</f>
        <v>1349231.845</v>
      </c>
      <c r="L58" s="1">
        <f>[1]Results!O1731</f>
        <v>1370000.6510000001</v>
      </c>
      <c r="M58" s="1">
        <f>[1]Results!P1731</f>
        <v>1392318.794</v>
      </c>
      <c r="N58" s="1">
        <f>[1]Results!Q1731</f>
        <v>1414841.2560000001</v>
      </c>
      <c r="O58" s="1">
        <f>[1]Results!R1731</f>
        <v>1437589.7560000001</v>
      </c>
      <c r="P58" s="1">
        <f>[1]Results!S1731</f>
        <v>1460541.0830000001</v>
      </c>
      <c r="Q58" s="1">
        <f>[1]Results!T1731</f>
        <v>1483671.7139999999</v>
      </c>
      <c r="R58" s="1">
        <f>[1]Results!U1731</f>
        <v>1506967.818</v>
      </c>
      <c r="S58" s="1">
        <f>[1]Results!V1731</f>
        <v>1530424.6529999999</v>
      </c>
      <c r="T58" s="1">
        <f>[1]Results!W1731</f>
        <v>1554043.49</v>
      </c>
      <c r="U58" s="1">
        <f>[1]Results!X1731</f>
        <v>1577828.804</v>
      </c>
      <c r="V58" s="1">
        <f>[1]Results!Y1731</f>
        <v>1601786.466</v>
      </c>
      <c r="W58" s="1">
        <f>[1]Results!Z1731</f>
        <v>1625133.1229999999</v>
      </c>
      <c r="X58" s="1">
        <f>[1]Results!AA1731</f>
        <v>1648849.0079999999</v>
      </c>
      <c r="Y58" s="1">
        <f>[1]Results!AB1731</f>
        <v>1672897.05</v>
      </c>
      <c r="Z58" s="1">
        <f>[1]Results!AC1731</f>
        <v>1697269.878</v>
      </c>
      <c r="AA58" s="1">
        <f>[1]Results!AD1731</f>
        <v>1721961.953</v>
      </c>
      <c r="AB58" s="1">
        <f>[1]Results!AE1731</f>
        <v>1744684.3259999999</v>
      </c>
      <c r="AC58" s="1">
        <f>[1]Results!AF1731</f>
        <v>1767155.689</v>
      </c>
      <c r="AD58" s="1">
        <f>[1]Results!AG1731</f>
        <v>1789481.3019999999</v>
      </c>
      <c r="AE58" s="1">
        <f>[1]Results!AH1731</f>
        <v>1811794.179</v>
      </c>
      <c r="AF58" s="1">
        <f>[1]Results!AI1731</f>
        <v>1834213.182</v>
      </c>
      <c r="AG58" s="1">
        <f>[1]Results!AJ1731</f>
        <v>1856831.0490000001</v>
      </c>
      <c r="AH58" s="1">
        <f>[1]Results!AK1731</f>
        <v>1879714.1880000001</v>
      </c>
      <c r="AI58" s="1">
        <f>[1]Results!AL1731</f>
        <v>1902907.084</v>
      </c>
      <c r="AJ58" s="1">
        <f>[1]Results!AM1731</f>
        <v>1926438.023</v>
      </c>
      <c r="AK58" s="1">
        <f>[1]Results!AN1731</f>
        <v>1950324.48</v>
      </c>
      <c r="AL58" s="1">
        <f>[1]Results!AO1731</f>
        <v>1974577.466</v>
      </c>
      <c r="AM58" s="1">
        <f>[1]Results!AP1731</f>
        <v>1998657.446</v>
      </c>
      <c r="AN58" s="1">
        <f>[1]Results!AQ1731</f>
        <v>2022691.6580000001</v>
      </c>
      <c r="AO58" s="1">
        <f>[1]Results!AR1731</f>
        <v>2046778.5889999999</v>
      </c>
      <c r="AP58" s="1">
        <f>[1]Results!AS1731</f>
        <v>2071007.237</v>
      </c>
      <c r="AQ58" s="1">
        <f>[1]Results!AT1731</f>
        <v>2095457.1950000001</v>
      </c>
      <c r="AR58" s="1">
        <f>[1]Results!AU1731</f>
        <v>2120195.8280000002</v>
      </c>
      <c r="AS58" s="1">
        <f>[1]Results!AV1731</f>
        <v>2145276.804</v>
      </c>
      <c r="AT58" s="1">
        <f>[1]Results!AW1731</f>
        <v>2170740.5219999999</v>
      </c>
      <c r="AU58" s="1">
        <f>[1]Results!AX1731</f>
        <v>2196615.8810000001</v>
      </c>
      <c r="AV58" s="1">
        <f>[1]Results!AY1731</f>
        <v>2222922.696</v>
      </c>
      <c r="AW58" s="1">
        <f>[1]Results!AZ1731</f>
        <v>2249723.2620000001</v>
      </c>
      <c r="AX58" s="1">
        <f>[1]Results!BA1731</f>
        <v>2277015.77</v>
      </c>
      <c r="AY58" s="1">
        <f>[1]Results!BB1731</f>
        <v>2304798.35</v>
      </c>
      <c r="AZ58" s="1">
        <f>[1]Results!BC1731</f>
        <v>2333068.1290000002</v>
      </c>
      <c r="BA58" s="1">
        <f>[1]Results!BD1731</f>
        <v>2361822.0070000002</v>
      </c>
      <c r="BB58" s="1">
        <f>[1]Results!BE1731</f>
        <v>2577085.8969999999</v>
      </c>
      <c r="BC58" s="1">
        <f>[1]Results!BF1731</f>
        <v>2615222.8059999999</v>
      </c>
      <c r="BD58" s="1">
        <f>[1]Results!BG1731</f>
        <v>2653889.335</v>
      </c>
      <c r="BE58" s="1">
        <f>[1]Results!BH1731</f>
        <v>2693104.4959999998</v>
      </c>
      <c r="BF58" s="1">
        <f>[1]Results!BI1731</f>
        <v>2732888.68</v>
      </c>
    </row>
    <row r="59" spans="1:58" x14ac:dyDescent="0.35">
      <c r="A59" s="14"/>
      <c r="B59" t="s">
        <v>6</v>
      </c>
      <c r="C59" s="1">
        <f>[1]Results!F1702</f>
        <v>1197244.7919999999</v>
      </c>
      <c r="D59" s="1">
        <f>[1]Results!G1702</f>
        <v>1205729.852</v>
      </c>
      <c r="E59" s="1">
        <f>[1]Results!H1702</f>
        <v>1215674.5149999999</v>
      </c>
      <c r="F59" s="1">
        <f>[1]Results!I1702</f>
        <v>1227217.3500000001</v>
      </c>
      <c r="G59" s="1">
        <f>[1]Results!J1702</f>
        <v>1240292.446</v>
      </c>
      <c r="H59" s="1">
        <f>[1]Results!K1702</f>
        <v>1254831.4550000001</v>
      </c>
      <c r="I59" s="1">
        <f>[1]Results!L1702</f>
        <v>1270159.3840000001</v>
      </c>
      <c r="J59" s="1">
        <f>[1]Results!M1702</f>
        <v>1286330.696</v>
      </c>
      <c r="K59" s="1">
        <f>[1]Results!N1702</f>
        <v>1303327.726</v>
      </c>
      <c r="L59" s="1">
        <f>[1]Results!O1702</f>
        <v>1321092.8149999999</v>
      </c>
      <c r="M59" s="1">
        <f>[1]Results!P1702</f>
        <v>1340171.324</v>
      </c>
      <c r="N59" s="1">
        <f>[1]Results!Q1702</f>
        <v>1359774.858</v>
      </c>
      <c r="O59" s="1">
        <f>[1]Results!R1702</f>
        <v>1380063.4010000001</v>
      </c>
      <c r="P59" s="1">
        <f>[1]Results!S1702</f>
        <v>1401009.629</v>
      </c>
      <c r="Q59" s="1">
        <f>[1]Results!T1702</f>
        <v>1422539.2439999999</v>
      </c>
      <c r="R59" s="1">
        <f>[1]Results!U1702</f>
        <v>1444571.5649999999</v>
      </c>
      <c r="S59" s="1">
        <f>[1]Results!V1702</f>
        <v>1467003.6</v>
      </c>
      <c r="T59" s="1">
        <f>[1]Results!W1702</f>
        <v>1489762.605</v>
      </c>
      <c r="U59" s="1">
        <f>[1]Results!X1702</f>
        <v>1512791.622</v>
      </c>
      <c r="V59" s="1">
        <f>[1]Results!Y1702</f>
        <v>1536043.612</v>
      </c>
      <c r="W59" s="1">
        <f>[1]Results!Z1702</f>
        <v>1558714.6850000001</v>
      </c>
      <c r="X59" s="1">
        <f>[1]Results!AA1702</f>
        <v>1581725.2009999999</v>
      </c>
      <c r="Y59" s="1">
        <f>[1]Results!AB1702</f>
        <v>1605003.9040000001</v>
      </c>
      <c r="Z59" s="1">
        <f>[1]Results!AC1702</f>
        <v>1628517.882</v>
      </c>
      <c r="AA59" s="1">
        <f>[1]Results!AD1702</f>
        <v>1652243.6070000001</v>
      </c>
      <c r="AB59" s="1">
        <f>[1]Results!AE1702</f>
        <v>1673951.9480000001</v>
      </c>
      <c r="AC59" s="1">
        <f>[1]Results!AF1702</f>
        <v>1695336.898</v>
      </c>
      <c r="AD59" s="1">
        <f>[1]Results!AG1702</f>
        <v>1716491.4569999999</v>
      </c>
      <c r="AE59" s="1">
        <f>[1]Results!AH1702</f>
        <v>1737534.166</v>
      </c>
      <c r="AF59" s="1">
        <f>[1]Results!AI1702</f>
        <v>1758573.175</v>
      </c>
      <c r="AG59" s="1">
        <f>[1]Results!AJ1702</f>
        <v>1779695.2320000001</v>
      </c>
      <c r="AH59" s="1">
        <f>[1]Results!AK1702</f>
        <v>1800972.662</v>
      </c>
      <c r="AI59" s="1">
        <f>[1]Results!AL1702</f>
        <v>1822450.9890000001</v>
      </c>
      <c r="AJ59" s="1">
        <f>[1]Results!AM1702</f>
        <v>1844158.848</v>
      </c>
      <c r="AK59" s="1">
        <f>[1]Results!AN1702</f>
        <v>1866114.912</v>
      </c>
      <c r="AL59" s="1">
        <f>[1]Results!AO1702</f>
        <v>1888332.3640000001</v>
      </c>
      <c r="AM59" s="1">
        <f>[1]Results!AP1702</f>
        <v>1910371.0109999999</v>
      </c>
      <c r="AN59" s="1">
        <f>[1]Results!AQ1702</f>
        <v>1932367.9180000001</v>
      </c>
      <c r="AO59" s="1">
        <f>[1]Results!AR1702</f>
        <v>1954405.5419999999</v>
      </c>
      <c r="AP59" s="1">
        <f>[1]Results!AS1702</f>
        <v>1976553.8049999999</v>
      </c>
      <c r="AQ59" s="1">
        <f>[1]Results!AT1702</f>
        <v>1998877.4040000001</v>
      </c>
      <c r="AR59" s="1">
        <f>[1]Results!AU1702</f>
        <v>2021446.45</v>
      </c>
      <c r="AS59" s="1">
        <f>[1]Results!AV1702</f>
        <v>2044308.024</v>
      </c>
      <c r="AT59" s="1">
        <f>[1]Results!AW1702</f>
        <v>2067493.7409999999</v>
      </c>
      <c r="AU59" s="1">
        <f>[1]Results!AX1702</f>
        <v>2091024.3870000001</v>
      </c>
      <c r="AV59" s="1">
        <f>[1]Results!AY1702</f>
        <v>2114912.9389999998</v>
      </c>
      <c r="AW59" s="1">
        <f>[1]Results!AZ1702</f>
        <v>2139260.696</v>
      </c>
      <c r="AX59" s="1">
        <f>[1]Results!BA1702</f>
        <v>2164062.7050000001</v>
      </c>
      <c r="AY59" s="1">
        <f>[1]Results!BB1702</f>
        <v>2189301.0329999998</v>
      </c>
      <c r="AZ59" s="1">
        <f>[1]Results!BC1702</f>
        <v>2214957.6439999999</v>
      </c>
      <c r="BA59" s="1">
        <f>[1]Results!BD1702</f>
        <v>2241018.6290000002</v>
      </c>
      <c r="BB59" s="1">
        <f>[1]Results!BE1702</f>
        <v>2578303.1260000002</v>
      </c>
      <c r="BC59" s="1">
        <f>[1]Results!BF1702</f>
        <v>2616559.395</v>
      </c>
      <c r="BD59" s="1">
        <f>[1]Results!BG1702</f>
        <v>2655344.5720000002</v>
      </c>
      <c r="BE59" s="1">
        <f>[1]Results!BH1702</f>
        <v>2694674.9</v>
      </c>
      <c r="BF59" s="1">
        <f>[1]Results!BI1702</f>
        <v>2734568.8939999999</v>
      </c>
    </row>
    <row r="60" spans="1:58" x14ac:dyDescent="0.35">
      <c r="A60" s="14"/>
      <c r="C60" s="1"/>
      <c r="D60" s="1"/>
      <c r="E60" s="1"/>
      <c r="F60" s="1"/>
      <c r="G60" s="1"/>
      <c r="H60" s="4">
        <f t="shared" ref="H60:U60" si="0">H58/G58-1</f>
        <v>1.5030683907016229E-2</v>
      </c>
      <c r="I60" s="4">
        <f t="shared" si="0"/>
        <v>1.5014855930999493E-2</v>
      </c>
      <c r="J60" s="4">
        <f t="shared" si="0"/>
        <v>1.5110510371356467E-2</v>
      </c>
      <c r="K60" s="4">
        <f t="shared" si="0"/>
        <v>1.5249840195982411E-2</v>
      </c>
      <c r="L60" s="4">
        <f t="shared" si="0"/>
        <v>1.5393059448578494E-2</v>
      </c>
      <c r="M60" s="4">
        <f t="shared" si="0"/>
        <v>1.6290607587455819E-2</v>
      </c>
      <c r="N60" s="4">
        <f t="shared" si="0"/>
        <v>1.617622494004789E-2</v>
      </c>
      <c r="O60" s="4">
        <f t="shared" si="0"/>
        <v>1.6078482235041713E-2</v>
      </c>
      <c r="P60" s="4">
        <f t="shared" si="0"/>
        <v>1.5965143674827376E-2</v>
      </c>
      <c r="Q60" s="4">
        <f t="shared" si="0"/>
        <v>1.5837028666450648E-2</v>
      </c>
      <c r="R60" s="4">
        <f t="shared" si="0"/>
        <v>1.5701656761517357E-2</v>
      </c>
      <c r="S60" s="4">
        <f t="shared" si="0"/>
        <v>1.5565584559815715E-2</v>
      </c>
      <c r="T60" s="4">
        <f t="shared" si="0"/>
        <v>1.5432864959213477E-2</v>
      </c>
      <c r="U60" s="4">
        <f t="shared" si="0"/>
        <v>1.5305436529321259E-2</v>
      </c>
      <c r="V60" s="4">
        <f>V58/U58-1</f>
        <v>1.5183942604713563E-2</v>
      </c>
      <c r="W60" s="4">
        <f t="shared" ref="W60:AL60" si="1">W58/V58-1</f>
        <v>1.457538660462121E-2</v>
      </c>
      <c r="X60" s="4">
        <f t="shared" si="1"/>
        <v>1.4593195267733172E-2</v>
      </c>
      <c r="Y60" s="4">
        <f t="shared" si="1"/>
        <v>1.4584744802781824E-2</v>
      </c>
      <c r="Z60" s="4">
        <f t="shared" si="1"/>
        <v>1.4569233653678904E-2</v>
      </c>
      <c r="AA60" s="4">
        <f t="shared" si="1"/>
        <v>1.4548113602944612E-2</v>
      </c>
      <c r="AB60" s="4">
        <f t="shared" si="1"/>
        <v>1.3195630112740275E-2</v>
      </c>
      <c r="AC60" s="4">
        <f t="shared" si="1"/>
        <v>1.2879901919861769E-2</v>
      </c>
      <c r="AD60" s="4">
        <f t="shared" si="1"/>
        <v>1.2633642377392063E-2</v>
      </c>
      <c r="AE60" s="4">
        <f t="shared" si="1"/>
        <v>1.2468907596330903E-2</v>
      </c>
      <c r="AF60" s="4">
        <f t="shared" si="1"/>
        <v>1.2373923738056236E-2</v>
      </c>
      <c r="AG60" s="4">
        <f t="shared" si="1"/>
        <v>1.2331100453295107E-2</v>
      </c>
      <c r="AH60" s="4">
        <f t="shared" si="1"/>
        <v>1.2323759349200714E-2</v>
      </c>
      <c r="AI60" s="4">
        <f t="shared" si="1"/>
        <v>1.2338522605224833E-2</v>
      </c>
      <c r="AJ60" s="4">
        <f t="shared" si="1"/>
        <v>1.2365784539798419E-2</v>
      </c>
      <c r="AK60" s="4">
        <f t="shared" si="1"/>
        <v>1.2399286514705565E-2</v>
      </c>
      <c r="AL60" s="4">
        <f t="shared" si="1"/>
        <v>1.2435359474132213E-2</v>
      </c>
      <c r="AM60" s="4">
        <f t="shared" ref="AM60" si="2">AM58/AL58-1</f>
        <v>1.2195003951290806E-2</v>
      </c>
      <c r="AN60" s="4">
        <f t="shared" ref="AN60" si="3">AN58/AM58-1</f>
        <v>1.2025178225563815E-2</v>
      </c>
      <c r="AO60" s="4">
        <f t="shared" ref="AO60" si="4">AO58/AN58-1</f>
        <v>1.1908355336678778E-2</v>
      </c>
      <c r="AP60" s="4">
        <f t="shared" ref="AP60" si="5">AP58/AO58-1</f>
        <v>1.1837454295355654E-2</v>
      </c>
      <c r="AQ60" s="4">
        <f t="shared" ref="AQ60" si="6">AQ58/AP58-1</f>
        <v>1.1805829339069707E-2</v>
      </c>
      <c r="AR60" s="4">
        <f t="shared" ref="AR60" si="7">AR58/AQ58-1</f>
        <v>1.1805840300164183E-2</v>
      </c>
      <c r="AS60" s="4">
        <f t="shared" ref="AS60" si="8">AS58/AR58-1</f>
        <v>1.1829556340396508E-2</v>
      </c>
      <c r="AT60" s="4">
        <f t="shared" ref="AT60" si="9">AT58/AS58-1</f>
        <v>1.186966546812096E-2</v>
      </c>
      <c r="AU60" s="4">
        <f t="shared" ref="AU60" si="10">AU58/AT58-1</f>
        <v>1.1920060798496612E-2</v>
      </c>
      <c r="AV60" s="4">
        <f t="shared" ref="AV60" si="11">AV58/AU58-1</f>
        <v>1.1976065195351326E-2</v>
      </c>
      <c r="AW60" s="4">
        <f t="shared" ref="AW60" si="12">AW58/AV58-1</f>
        <v>1.2056454346444756E-2</v>
      </c>
      <c r="AX60" s="4">
        <f t="shared" ref="AX60" si="13">AX58/AW58-1</f>
        <v>1.2131495664821079E-2</v>
      </c>
      <c r="AY60" s="4">
        <f t="shared" ref="AY60" si="14">AY58/AX58-1</f>
        <v>1.2201312070842629E-2</v>
      </c>
      <c r="AZ60" s="4">
        <f t="shared" ref="AZ60" si="15">AZ58/AY58-1</f>
        <v>1.2265619246039527E-2</v>
      </c>
      <c r="BA60" s="4">
        <f t="shared" ref="BA60" si="16">BA58/AZ58-1</f>
        <v>1.2324491360792056E-2</v>
      </c>
      <c r="BB60" s="4">
        <f t="shared" ref="BB60" si="17">BB58/BA58-1</f>
        <v>9.114314684256386E-2</v>
      </c>
      <c r="BC60" s="4">
        <f t="shared" ref="BC60" si="18">BC58/BB58-1</f>
        <v>1.4798462497658926E-2</v>
      </c>
      <c r="BD60" s="4">
        <f t="shared" ref="BD60" si="19">BD58/BC58-1</f>
        <v>1.4785175821841579E-2</v>
      </c>
      <c r="BE60" s="4">
        <f t="shared" ref="BE60" si="20">BE58/BD58-1</f>
        <v>1.4776486902759123E-2</v>
      </c>
      <c r="BF60" s="4">
        <f t="shared" ref="BF60" si="21">BF58/BE58-1</f>
        <v>1.4772610590896518E-2</v>
      </c>
    </row>
    <row r="61" spans="1:58" x14ac:dyDescent="0.35">
      <c r="A61" s="16" t="s">
        <v>3</v>
      </c>
      <c r="B61" t="s">
        <v>4</v>
      </c>
      <c r="C61" s="1">
        <f>[1]Results!F1789</f>
        <v>0.99928330850000002</v>
      </c>
      <c r="D61" s="1">
        <f>[1]Results!G1789</f>
        <v>1.017989158</v>
      </c>
      <c r="E61" s="1">
        <f>[1]Results!H1789</f>
        <v>1.036837593</v>
      </c>
      <c r="F61" s="1">
        <f>[1]Results!I1789</f>
        <v>1.056122352</v>
      </c>
      <c r="G61" s="1">
        <f>[1]Results!J1789</f>
        <v>1.0760451769999999</v>
      </c>
      <c r="H61" s="1">
        <f>[1]Results!K1789</f>
        <v>1.0967217010000001</v>
      </c>
      <c r="I61" s="1">
        <f>[1]Results!L1789</f>
        <v>1.118178039</v>
      </c>
      <c r="J61" s="1">
        <f>[1]Results!M1789</f>
        <v>1.1404204389999999</v>
      </c>
      <c r="K61" s="1">
        <f>[1]Results!N1789</f>
        <v>1.163445136</v>
      </c>
      <c r="L61" s="1">
        <f>[1]Results!O1789</f>
        <v>1.1872427350000001</v>
      </c>
      <c r="M61" s="1">
        <f>[1]Results!P1789</f>
        <v>1.211853488</v>
      </c>
      <c r="N61" s="1">
        <f>[1]Results!Q1789</f>
        <v>1.2372341600000001</v>
      </c>
      <c r="O61" s="1">
        <f>[1]Results!R1789</f>
        <v>1.2633510699999999</v>
      </c>
      <c r="P61" s="1">
        <f>[1]Results!S1789</f>
        <v>1.290175216</v>
      </c>
      <c r="Q61" s="1">
        <f>[1]Results!T1789</f>
        <v>1.3176784210000001</v>
      </c>
      <c r="R61" s="1">
        <f>[1]Results!U1789</f>
        <v>1.3458319910000001</v>
      </c>
      <c r="S61" s="1">
        <f>[1]Results!V1789</f>
        <v>1.3746071550000001</v>
      </c>
      <c r="T61" s="1">
        <f>[1]Results!W1789</f>
        <v>1.403976232</v>
      </c>
      <c r="U61" s="1">
        <f>[1]Results!X1789</f>
        <v>1.4339138469999999</v>
      </c>
      <c r="V61" s="1">
        <f>[1]Results!Y1789</f>
        <v>1.464397886</v>
      </c>
      <c r="W61" s="1">
        <f>[1]Results!Z1789</f>
        <v>1.4953689400000001</v>
      </c>
      <c r="X61" s="1">
        <f>[1]Results!AA1789</f>
        <v>1.526832296</v>
      </c>
      <c r="Y61" s="1">
        <f>[1]Results!AB1789</f>
        <v>1.5587890310000001</v>
      </c>
      <c r="Z61" s="1">
        <f>[1]Results!AC1789</f>
        <v>1.5912391029999999</v>
      </c>
      <c r="AA61" s="1">
        <f>[1]Results!AD1789</f>
        <v>1.6241844649999999</v>
      </c>
      <c r="AB61" s="1">
        <f>[1]Results!AE1789</f>
        <v>1.657508985</v>
      </c>
      <c r="AC61" s="1">
        <f>[1]Results!AF1789</f>
        <v>1.691219611</v>
      </c>
      <c r="AD61" s="1">
        <f>[1]Results!AG1789</f>
        <v>1.7253282350000001</v>
      </c>
      <c r="AE61" s="1">
        <f>[1]Results!AH1789</f>
        <v>1.7598483110000001</v>
      </c>
      <c r="AF61" s="1">
        <f>[1]Results!AI1789</f>
        <v>1.794796778</v>
      </c>
      <c r="AG61" s="1">
        <f>[1]Results!AJ1789</f>
        <v>1.830195534</v>
      </c>
      <c r="AH61" s="1">
        <f>[1]Results!AK1789</f>
        <v>1.8660716129999999</v>
      </c>
      <c r="AI61" s="1">
        <f>[1]Results!AL1789</f>
        <v>1.902456366</v>
      </c>
      <c r="AJ61" s="1">
        <f>[1]Results!AM1789</f>
        <v>1.9393841890000001</v>
      </c>
      <c r="AK61" s="1">
        <f>[1]Results!AN1789</f>
        <v>1.976891205</v>
      </c>
      <c r="AL61" s="1">
        <f>[1]Results!AO1789</f>
        <v>2.01501412</v>
      </c>
      <c r="AM61" s="1">
        <f>[1]Results!AP1789</f>
        <v>2.0537577520000001</v>
      </c>
      <c r="AN61" s="1">
        <f>[1]Results!AQ1789</f>
        <v>2.0931402050000001</v>
      </c>
      <c r="AO61" s="1">
        <f>[1]Results!AR1789</f>
        <v>2.1331864679999999</v>
      </c>
      <c r="AP61" s="1">
        <f>[1]Results!AS1789</f>
        <v>2.1739241690000002</v>
      </c>
      <c r="AQ61" s="1">
        <f>[1]Results!AT1789</f>
        <v>2.215381931</v>
      </c>
      <c r="AR61" s="1">
        <f>[1]Results!AU1789</f>
        <v>2.2575890250000001</v>
      </c>
      <c r="AS61" s="1">
        <f>[1]Results!AV1789</f>
        <v>2.3005753819999999</v>
      </c>
      <c r="AT61" s="1">
        <f>[1]Results!AW1789</f>
        <v>2.34437155</v>
      </c>
      <c r="AU61" s="1">
        <f>[1]Results!AX1789</f>
        <v>2.389008493</v>
      </c>
      <c r="AV61" s="1">
        <f>[1]Results!AY1789</f>
        <v>2.4345172960000001</v>
      </c>
      <c r="AW61" s="1">
        <f>[1]Results!AZ1789</f>
        <v>2.4809319909999998</v>
      </c>
      <c r="AX61" s="1">
        <f>[1]Results!BA1789</f>
        <v>2.528284787</v>
      </c>
      <c r="AY61" s="1">
        <f>[1]Results!BB1789</f>
        <v>2.5766066049999998</v>
      </c>
      <c r="AZ61" s="1">
        <f>[1]Results!BC1789</f>
        <v>2.6259271050000002</v>
      </c>
      <c r="BA61" s="1">
        <f>[1]Results!BD1789</f>
        <v>2.676274705</v>
      </c>
      <c r="BB61" s="1">
        <f>[1]Results!BE1789</f>
        <v>2.7865971890000001</v>
      </c>
      <c r="BC61" s="1">
        <f>[1]Results!BF1789</f>
        <v>2.8403224690000002</v>
      </c>
      <c r="BD61" s="1">
        <f>[1]Results!BG1789</f>
        <v>2.894939376</v>
      </c>
      <c r="BE61" s="1">
        <f>[1]Results!BH1789</f>
        <v>2.950470615</v>
      </c>
      <c r="BF61" s="1">
        <f>[1]Results!BI1789</f>
        <v>3.0069409239999998</v>
      </c>
    </row>
    <row r="62" spans="1:58" x14ac:dyDescent="0.35">
      <c r="A62" s="16"/>
      <c r="B62" t="s">
        <v>6</v>
      </c>
      <c r="C62" s="1">
        <f>[1]Results!F1760</f>
        <v>0.99843787709999998</v>
      </c>
      <c r="D62" s="1">
        <f>[1]Results!G1760</f>
        <v>1.015194299</v>
      </c>
      <c r="E62" s="1">
        <f>[1]Results!H1760</f>
        <v>1.0315084640000001</v>
      </c>
      <c r="F62" s="1">
        <f>[1]Results!I1760</f>
        <v>1.0479982619999999</v>
      </c>
      <c r="G62" s="1">
        <f>[1]Results!J1760</f>
        <v>1.065039617</v>
      </c>
      <c r="H62" s="1">
        <f>[1]Results!K1760</f>
        <v>1.082831887</v>
      </c>
      <c r="I62" s="1">
        <f>[1]Results!L1760</f>
        <v>1.101439584</v>
      </c>
      <c r="J62" s="1">
        <f>[1]Results!M1760</f>
        <v>1.1208894540000001</v>
      </c>
      <c r="K62" s="1">
        <f>[1]Results!N1760</f>
        <v>1.141194673</v>
      </c>
      <c r="L62" s="1">
        <f>[1]Results!O1760</f>
        <v>1.1623620610000001</v>
      </c>
      <c r="M62" s="1">
        <f>[1]Results!P1760</f>
        <v>1.184277303</v>
      </c>
      <c r="N62" s="1">
        <f>[1]Results!Q1760</f>
        <v>1.2071368629999999</v>
      </c>
      <c r="O62" s="1">
        <f>[1]Results!R1760</f>
        <v>1.231004679</v>
      </c>
      <c r="P62" s="1">
        <f>[1]Results!S1760</f>
        <v>1.2558823400000001</v>
      </c>
      <c r="Q62" s="1">
        <f>[1]Results!T1760</f>
        <v>1.2817417879999999</v>
      </c>
      <c r="R62" s="1">
        <f>[1]Results!U1760</f>
        <v>1.3085426360000001</v>
      </c>
      <c r="S62" s="1">
        <f>[1]Results!V1760</f>
        <v>1.3362494949999999</v>
      </c>
      <c r="T62" s="1">
        <f>[1]Results!W1760</f>
        <v>1.364810504</v>
      </c>
      <c r="U62" s="1">
        <f>[1]Results!X1760</f>
        <v>1.3941758769999999</v>
      </c>
      <c r="V62" s="1">
        <f>[1]Results!Y1760</f>
        <v>1.4242987140000001</v>
      </c>
      <c r="W62" s="1">
        <f>[1]Results!Z1760</f>
        <v>1.4550925690000001</v>
      </c>
      <c r="X62" s="1">
        <f>[1]Results!AA1760</f>
        <v>1.486538066</v>
      </c>
      <c r="Y62" s="1">
        <f>[1]Results!AB1760</f>
        <v>1.518609739</v>
      </c>
      <c r="Z62" s="1">
        <f>[1]Results!AC1760</f>
        <v>1.551280607</v>
      </c>
      <c r="AA62" s="1">
        <f>[1]Results!AD1760</f>
        <v>1.584526052</v>
      </c>
      <c r="AB62" s="1">
        <f>[1]Results!AE1760</f>
        <v>1.618200442</v>
      </c>
      <c r="AC62" s="1">
        <f>[1]Results!AF1760</f>
        <v>1.6522844459999999</v>
      </c>
      <c r="AD62" s="1">
        <f>[1]Results!AG1760</f>
        <v>1.6867756840000001</v>
      </c>
      <c r="AE62" s="1">
        <f>[1]Results!AH1760</f>
        <v>1.721674717</v>
      </c>
      <c r="AF62" s="1">
        <f>[1]Results!AI1760</f>
        <v>1.7569863990000001</v>
      </c>
      <c r="AG62" s="1">
        <f>[1]Results!AJ1760</f>
        <v>1.792721644</v>
      </c>
      <c r="AH62" s="1">
        <f>[1]Results!AK1760</f>
        <v>1.828893989</v>
      </c>
      <c r="AI62" s="1">
        <f>[1]Results!AL1760</f>
        <v>1.8655298229999999</v>
      </c>
      <c r="AJ62" s="1">
        <f>[1]Results!AM1760</f>
        <v>1.90266018</v>
      </c>
      <c r="AK62" s="1">
        <f>[1]Results!AN1760</f>
        <v>1.940319202</v>
      </c>
      <c r="AL62" s="1">
        <f>[1]Results!AO1760</f>
        <v>1.978542958</v>
      </c>
      <c r="AM62" s="1">
        <f>[1]Results!AP1760</f>
        <v>2.0172925080000002</v>
      </c>
      <c r="AN62" s="1">
        <f>[1]Results!AQ1760</f>
        <v>2.0566132349999999</v>
      </c>
      <c r="AO62" s="1">
        <f>[1]Results!AR1760</f>
        <v>2.0965534049999999</v>
      </c>
      <c r="AP62" s="1">
        <f>[1]Results!AS1760</f>
        <v>2.1371571810000001</v>
      </c>
      <c r="AQ62" s="1">
        <f>[1]Results!AT1760</f>
        <v>2.1784637419999999</v>
      </c>
      <c r="AR62" s="1">
        <f>[1]Results!AU1760</f>
        <v>2.2205006219999999</v>
      </c>
      <c r="AS62" s="1">
        <f>[1]Results!AV1760</f>
        <v>2.2633061830000001</v>
      </c>
      <c r="AT62" s="1">
        <f>[1]Results!AW1760</f>
        <v>2.3069169879999998</v>
      </c>
      <c r="AU62" s="1">
        <f>[1]Results!AX1760</f>
        <v>2.351367711</v>
      </c>
      <c r="AV62" s="1">
        <f>[1]Results!AY1760</f>
        <v>2.396691294</v>
      </c>
      <c r="AW62" s="1">
        <f>[1]Results!AZ1760</f>
        <v>2.442890529</v>
      </c>
      <c r="AX62" s="1">
        <f>[1]Results!BA1760</f>
        <v>2.4900144160000002</v>
      </c>
      <c r="AY62" s="1">
        <f>[1]Results!BB1760</f>
        <v>2.538106151</v>
      </c>
      <c r="AZ62" s="1">
        <f>[1]Results!BC1760</f>
        <v>2.587201774</v>
      </c>
      <c r="BA62" s="1">
        <f>[1]Results!BD1760</f>
        <v>2.6373312919999998</v>
      </c>
      <c r="BB62" s="1">
        <f>[1]Results!BE1760</f>
        <v>2.807915903</v>
      </c>
      <c r="BC62" s="1">
        <f>[1]Results!BF1760</f>
        <v>2.8628385230000002</v>
      </c>
      <c r="BD62" s="1">
        <f>[1]Results!BG1760</f>
        <v>2.9186834789999998</v>
      </c>
      <c r="BE62" s="1">
        <f>[1]Results!BH1760</f>
        <v>2.9754758730000002</v>
      </c>
      <c r="BF62" s="1">
        <f>[1]Results!BI1760</f>
        <v>3.0332420710000001</v>
      </c>
    </row>
    <row r="63" spans="1:58" x14ac:dyDescent="0.35">
      <c r="A63" s="14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</row>
    <row r="64" spans="1:58" x14ac:dyDescent="0.35">
      <c r="A64" s="16" t="s">
        <v>1</v>
      </c>
      <c r="B64" t="str">
        <f>B61</f>
        <v>Baseline</v>
      </c>
      <c r="D64" s="1">
        <f t="shared" ref="D64:AL64" si="22">(D61/C61-1)*100</f>
        <v>1.8719265438425836</v>
      </c>
      <c r="E64" s="1">
        <f t="shared" si="22"/>
        <v>1.8515359276547461</v>
      </c>
      <c r="F64" s="1">
        <f t="shared" si="22"/>
        <v>1.8599594700459576</v>
      </c>
      <c r="G64" s="1">
        <f t="shared" si="22"/>
        <v>1.8864125886808081</v>
      </c>
      <c r="H64" s="1">
        <f t="shared" si="22"/>
        <v>1.9215293597287575</v>
      </c>
      <c r="I64" s="1">
        <f t="shared" si="22"/>
        <v>1.9564068058866457</v>
      </c>
      <c r="J64" s="1">
        <f t="shared" si="22"/>
        <v>1.9891644464678837</v>
      </c>
      <c r="K64" s="1">
        <f t="shared" si="22"/>
        <v>2.0189656562267233</v>
      </c>
      <c r="L64" s="1">
        <f t="shared" si="22"/>
        <v>2.045442304380396</v>
      </c>
      <c r="M64" s="1">
        <f t="shared" si="22"/>
        <v>2.0729335522107872</v>
      </c>
      <c r="N64" s="1">
        <f t="shared" si="22"/>
        <v>2.0943680280928412</v>
      </c>
      <c r="O64" s="1">
        <f t="shared" si="22"/>
        <v>2.1109108400304555</v>
      </c>
      <c r="P64" s="1">
        <f t="shared" si="22"/>
        <v>2.1232535149552811</v>
      </c>
      <c r="Q64" s="1">
        <f t="shared" si="22"/>
        <v>2.1317418486203721</v>
      </c>
      <c r="R64" s="1">
        <f t="shared" si="22"/>
        <v>2.1366040113667495</v>
      </c>
      <c r="S64" s="1">
        <f t="shared" si="22"/>
        <v>2.1380948136489941</v>
      </c>
      <c r="T64" s="1">
        <f t="shared" si="22"/>
        <v>2.1365432948004637</v>
      </c>
      <c r="U64" s="1">
        <f t="shared" si="22"/>
        <v>2.1323448586699323</v>
      </c>
      <c r="V64" s="1">
        <f t="shared" si="22"/>
        <v>2.1259323957138809</v>
      </c>
      <c r="W64" s="1">
        <f t="shared" si="22"/>
        <v>2.1149343560306288</v>
      </c>
      <c r="X64" s="1">
        <f t="shared" si="22"/>
        <v>2.1040530639883315</v>
      </c>
      <c r="Y64" s="1">
        <f t="shared" si="22"/>
        <v>2.0930088447644435</v>
      </c>
      <c r="Z64" s="1">
        <f t="shared" si="22"/>
        <v>2.0817488033760601</v>
      </c>
      <c r="AA64" s="1">
        <f t="shared" si="22"/>
        <v>2.0704218453334367</v>
      </c>
      <c r="AB64" s="1">
        <f t="shared" si="22"/>
        <v>2.0517694090861793</v>
      </c>
      <c r="AC64" s="1">
        <f t="shared" si="22"/>
        <v>2.0338125648229788</v>
      </c>
      <c r="AD64" s="1">
        <f t="shared" si="22"/>
        <v>2.016806320016129</v>
      </c>
      <c r="AE64" s="1">
        <f t="shared" si="22"/>
        <v>2.0007831147561328</v>
      </c>
      <c r="AF64" s="1">
        <f t="shared" si="22"/>
        <v>1.9858795091345804</v>
      </c>
      <c r="AG64" s="1">
        <f t="shared" si="22"/>
        <v>1.9722988381696283</v>
      </c>
      <c r="AH64" s="1">
        <f t="shared" si="22"/>
        <v>1.9602320262245732</v>
      </c>
      <c r="AI64" s="1">
        <f t="shared" si="22"/>
        <v>1.9498047527503948</v>
      </c>
      <c r="AJ64" s="1">
        <f t="shared" si="22"/>
        <v>1.9410601819815909</v>
      </c>
      <c r="AK64" s="1">
        <f t="shared" si="22"/>
        <v>1.9339652356008763</v>
      </c>
      <c r="AL64" s="1">
        <f t="shared" si="22"/>
        <v>1.9284275686784591</v>
      </c>
      <c r="AM64" s="1">
        <f t="shared" ref="AM64:AM65" si="23">(AM61/AL61-1)*100</f>
        <v>1.9227474197550665</v>
      </c>
      <c r="AN64" s="1">
        <f t="shared" ref="AN64:AN65" si="24">(AN61/AM61-1)*100</f>
        <v>1.9175802482862547</v>
      </c>
      <c r="AO64" s="1">
        <f t="shared" ref="AO64:AO65" si="25">(AO61/AN61-1)*100</f>
        <v>1.9132145521995714</v>
      </c>
      <c r="AP64" s="1">
        <f t="shared" ref="AP64:AP65" si="26">(AP61/AO61-1)*100</f>
        <v>1.9097112048622078</v>
      </c>
      <c r="AQ64" s="1">
        <f t="shared" ref="AQ64:AQ65" si="27">(AQ61/AP61-1)*100</f>
        <v>1.9070472922277926</v>
      </c>
      <c r="AR64" s="1">
        <f t="shared" ref="AR64:AR65" si="28">(AR61/AQ61-1)*100</f>
        <v>1.9051836349025519</v>
      </c>
      <c r="AS64" s="1">
        <f t="shared" ref="AS64:AS65" si="29">(AS61/AR61-1)*100</f>
        <v>1.9040824757730057</v>
      </c>
      <c r="AT64" s="1">
        <f t="shared" ref="AT64:AT65" si="30">(AT61/AS61-1)*100</f>
        <v>1.903704974966991</v>
      </c>
      <c r="AU64" s="1">
        <f t="shared" ref="AU64:AU65" si="31">(AU61/AT61-1)*100</f>
        <v>1.9040046361251894</v>
      </c>
      <c r="AV64" s="1">
        <f t="shared" ref="AV64:AV65" si="32">(AV61/AU61-1)*100</f>
        <v>1.9049242869309424</v>
      </c>
      <c r="AW64" s="1">
        <f t="shared" ref="AW64:AW65" si="33">(AW61/AV61-1)*100</f>
        <v>1.9065255800918113</v>
      </c>
      <c r="AX64" s="1">
        <f t="shared" ref="AX64:AX65" si="34">(AX61/AW61-1)*100</f>
        <v>1.9086696520412616</v>
      </c>
      <c r="AY64" s="1">
        <f t="shared" ref="AY64:AY65" si="35">(AY61/AX61-1)*100</f>
        <v>1.9112490115220426</v>
      </c>
      <c r="AZ64" s="1">
        <f t="shared" ref="AZ64:AZ65" si="36">(AZ61/AY61-1)*100</f>
        <v>1.9141649293412444</v>
      </c>
      <c r="BA64" s="1">
        <f t="shared" ref="BA64:BA65" si="37">(BA61/AZ61-1)*100</f>
        <v>1.9173266426220748</v>
      </c>
      <c r="BB64" s="1">
        <f t="shared" ref="BB64:BB65" si="38">(BB61/BA61-1)*100</f>
        <v>4.1222406576532755</v>
      </c>
      <c r="BC64" s="1">
        <f t="shared" ref="BC64:BC65" si="39">(BC61/BB61-1)*100</f>
        <v>1.9279887388130135</v>
      </c>
      <c r="BD64" s="1">
        <f t="shared" ref="BD64:BD65" si="40">(BD61/BC61-1)*100</f>
        <v>1.9229121902918589</v>
      </c>
      <c r="BE64" s="1">
        <f t="shared" ref="BE64:BE65" si="41">(BE61/BD61-1)*100</f>
        <v>1.9182176822206465</v>
      </c>
      <c r="BF64" s="1">
        <f t="shared" ref="BF64:BF65" si="42">(BF61/BE61-1)*100</f>
        <v>1.9139424305027353</v>
      </c>
    </row>
    <row r="65" spans="1:58" x14ac:dyDescent="0.35">
      <c r="A65" s="16"/>
      <c r="B65" t="str">
        <f>B62</f>
        <v>NZ50</v>
      </c>
      <c r="D65" s="1">
        <f t="shared" ref="D65:AL65" si="43">(D62/C62-1)*100</f>
        <v>1.6782638443835651</v>
      </c>
      <c r="E65" s="1">
        <f t="shared" si="43"/>
        <v>1.6069992725599391</v>
      </c>
      <c r="F65" s="1">
        <f t="shared" si="43"/>
        <v>1.598610052704319</v>
      </c>
      <c r="G65" s="1">
        <f t="shared" si="43"/>
        <v>1.626086189062792</v>
      </c>
      <c r="H65" s="1">
        <f t="shared" si="43"/>
        <v>1.6705735369842101</v>
      </c>
      <c r="I65" s="1">
        <f t="shared" si="43"/>
        <v>1.718428984535425</v>
      </c>
      <c r="J65" s="1">
        <f t="shared" si="43"/>
        <v>1.7658589978549522</v>
      </c>
      <c r="K65" s="1">
        <f t="shared" si="43"/>
        <v>1.8115273479948346</v>
      </c>
      <c r="L65" s="1">
        <f t="shared" si="43"/>
        <v>1.8548446203621616</v>
      </c>
      <c r="M65" s="1">
        <f t="shared" si="43"/>
        <v>1.8854058245109773</v>
      </c>
      <c r="N65" s="1">
        <f t="shared" si="43"/>
        <v>1.9302539989656475</v>
      </c>
      <c r="O65" s="1">
        <f t="shared" si="43"/>
        <v>1.9772253446625143</v>
      </c>
      <c r="P65" s="1">
        <f t="shared" si="43"/>
        <v>2.0209233502028079</v>
      </c>
      <c r="Q65" s="1">
        <f t="shared" si="43"/>
        <v>2.0590661383135478</v>
      </c>
      <c r="R65" s="1">
        <f t="shared" si="43"/>
        <v>2.0909709155866318</v>
      </c>
      <c r="S65" s="1">
        <f t="shared" si="43"/>
        <v>2.1173829753606821</v>
      </c>
      <c r="T65" s="1">
        <f t="shared" si="43"/>
        <v>2.1374009200280542</v>
      </c>
      <c r="U65" s="1">
        <f t="shared" si="43"/>
        <v>2.1516080740832111</v>
      </c>
      <c r="V65" s="1">
        <f t="shared" si="43"/>
        <v>2.1606195815709217</v>
      </c>
      <c r="W65" s="1">
        <f t="shared" si="43"/>
        <v>2.1620362847564856</v>
      </c>
      <c r="X65" s="1">
        <f t="shared" si="43"/>
        <v>2.1610650531746378</v>
      </c>
      <c r="Y65" s="1">
        <f t="shared" si="43"/>
        <v>2.157474048834751</v>
      </c>
      <c r="Z65" s="1">
        <f t="shared" si="43"/>
        <v>2.1513669483980591</v>
      </c>
      <c r="AA65" s="1">
        <f t="shared" si="43"/>
        <v>2.1430967969291448</v>
      </c>
      <c r="AB65" s="1">
        <f t="shared" si="43"/>
        <v>2.1252026722751616</v>
      </c>
      <c r="AC65" s="1">
        <f t="shared" si="43"/>
        <v>2.1062906124209135</v>
      </c>
      <c r="AD65" s="1">
        <f t="shared" si="43"/>
        <v>2.0874879070307717</v>
      </c>
      <c r="AE65" s="1">
        <f t="shared" si="43"/>
        <v>2.0689789004570303</v>
      </c>
      <c r="AF65" s="1">
        <f t="shared" si="43"/>
        <v>2.051007757233636</v>
      </c>
      <c r="AG65" s="1">
        <f t="shared" si="43"/>
        <v>2.0338942305039298</v>
      </c>
      <c r="AH65" s="1">
        <f t="shared" si="43"/>
        <v>2.0177334903644484</v>
      </c>
      <c r="AI65" s="1">
        <f t="shared" si="43"/>
        <v>2.003168812426992</v>
      </c>
      <c r="AJ65" s="1">
        <f t="shared" si="43"/>
        <v>1.9903384305210325</v>
      </c>
      <c r="AK65" s="1">
        <f t="shared" si="43"/>
        <v>1.9792826063138591</v>
      </c>
      <c r="AL65" s="1">
        <f t="shared" si="43"/>
        <v>1.9699725674312107</v>
      </c>
      <c r="AM65" s="1">
        <f t="shared" si="23"/>
        <v>1.9584891924292469</v>
      </c>
      <c r="AN65" s="1">
        <f t="shared" si="24"/>
        <v>1.9491832168148759</v>
      </c>
      <c r="AO65" s="1">
        <f t="shared" si="25"/>
        <v>1.9420360289570837</v>
      </c>
      <c r="AP65" s="1">
        <f t="shared" si="26"/>
        <v>1.9366917104599146</v>
      </c>
      <c r="AQ65" s="1">
        <f t="shared" si="27"/>
        <v>1.9327806755267352</v>
      </c>
      <c r="AR65" s="1">
        <f t="shared" si="28"/>
        <v>1.9296570876780716</v>
      </c>
      <c r="AS65" s="1">
        <f t="shared" si="29"/>
        <v>1.9277437067973135</v>
      </c>
      <c r="AT65" s="1">
        <f t="shared" si="30"/>
        <v>1.926862804845686</v>
      </c>
      <c r="AU65" s="1">
        <f t="shared" si="31"/>
        <v>1.926845362499896</v>
      </c>
      <c r="AV65" s="1">
        <f t="shared" si="32"/>
        <v>1.9275412683422699</v>
      </c>
      <c r="AW65" s="1">
        <f t="shared" si="33"/>
        <v>1.9276256026655281</v>
      </c>
      <c r="AX65" s="1">
        <f t="shared" si="34"/>
        <v>1.9290216422137574</v>
      </c>
      <c r="AY65" s="1">
        <f t="shared" si="35"/>
        <v>1.931383798060704</v>
      </c>
      <c r="AZ65" s="1">
        <f t="shared" si="36"/>
        <v>1.9343408068514645</v>
      </c>
      <c r="BA65" s="1">
        <f t="shared" si="37"/>
        <v>1.9375959967164125</v>
      </c>
      <c r="BB65" s="1">
        <f t="shared" si="38"/>
        <v>6.4680767075962819</v>
      </c>
      <c r="BC65" s="1">
        <f t="shared" si="39"/>
        <v>1.9559923408432711</v>
      </c>
      <c r="BD65" s="1">
        <f t="shared" si="40"/>
        <v>1.950684802909497</v>
      </c>
      <c r="BE65" s="1">
        <f t="shared" si="41"/>
        <v>1.9458222999726882</v>
      </c>
      <c r="BF65" s="1">
        <f t="shared" si="42"/>
        <v>1.9414103983897313</v>
      </c>
    </row>
    <row r="66" spans="1:58" x14ac:dyDescent="0.35">
      <c r="A66" s="14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</row>
    <row r="67" spans="1:58" x14ac:dyDescent="0.35">
      <c r="A67" s="15" t="s">
        <v>2</v>
      </c>
      <c r="B67" t="str">
        <f>B64</f>
        <v>Baseline</v>
      </c>
      <c r="C67" s="6">
        <f>[1]Emissions!B820</f>
        <v>350.5914343</v>
      </c>
      <c r="D67" s="6">
        <f>[1]Emissions!C820</f>
        <v>352.95918829999999</v>
      </c>
      <c r="E67" s="6">
        <f>[1]Emissions!D820</f>
        <v>355.1013524</v>
      </c>
      <c r="F67" s="6">
        <f>[1]Emissions!E820</f>
        <v>357.50077909999999</v>
      </c>
      <c r="G67" s="6">
        <f>[1]Emissions!F820</f>
        <v>360.28418240000002</v>
      </c>
      <c r="H67" s="6">
        <f>[1]Emissions!G820</f>
        <v>363.50913209999999</v>
      </c>
      <c r="I67" s="6">
        <f>[1]Emissions!H820</f>
        <v>366.97360429999998</v>
      </c>
      <c r="J67" s="6">
        <f>[1]Emissions!I820</f>
        <v>370.70665639999999</v>
      </c>
      <c r="K67" s="6">
        <f>[1]Emissions!J820</f>
        <v>374.66677679999998</v>
      </c>
      <c r="L67" s="6">
        <f>[1]Emissions!K820</f>
        <v>378.8064996</v>
      </c>
      <c r="M67" s="6">
        <f>[1]Emissions!L820</f>
        <v>383.39145619999999</v>
      </c>
      <c r="N67" s="6">
        <f>[1]Emissions!M820</f>
        <v>387.92491530000001</v>
      </c>
      <c r="O67" s="6">
        <f>[1]Emissions!N820</f>
        <v>392.50193359999997</v>
      </c>
      <c r="P67" s="6">
        <f>[1]Emissions!O820</f>
        <v>397.13402430000002</v>
      </c>
      <c r="Q67" s="6">
        <f>[1]Emissions!P820</f>
        <v>401.81830129999997</v>
      </c>
      <c r="R67" s="6">
        <f>[1]Emissions!Q820</f>
        <v>406.5509735</v>
      </c>
      <c r="S67" s="6">
        <f>[1]Emissions!R820</f>
        <v>411.32977260000001</v>
      </c>
      <c r="T67" s="6">
        <f>[1]Emissions!S820</f>
        <v>416.15408650000001</v>
      </c>
      <c r="U67" s="6">
        <f>[1]Emissions!T820</f>
        <v>421.02463849999998</v>
      </c>
      <c r="V67" s="6">
        <f>[1]Emissions!U820</f>
        <v>425.94312500000001</v>
      </c>
      <c r="W67" s="6">
        <f>[1]Emissions!V820</f>
        <v>430.68878210000003</v>
      </c>
      <c r="X67" s="6">
        <f>[1]Emissions!W820</f>
        <v>435.60816010000002</v>
      </c>
      <c r="Y67" s="6">
        <f>[1]Emissions!X820</f>
        <v>440.61967620000001</v>
      </c>
      <c r="Z67" s="6">
        <f>[1]Emissions!Y820</f>
        <v>445.7078927</v>
      </c>
      <c r="AA67" s="6">
        <f>[1]Emissions!Z820</f>
        <v>450.87080839999999</v>
      </c>
      <c r="AB67" s="6">
        <f>[1]Emissions!AA820</f>
        <v>455.46838910000002</v>
      </c>
      <c r="AC67" s="6">
        <f>[1]Emissions!AB820</f>
        <v>460.18464970000002</v>
      </c>
      <c r="AD67" s="6">
        <f>[1]Emissions!AC820</f>
        <v>464.93809160000001</v>
      </c>
      <c r="AE67" s="6">
        <f>[1]Emissions!AD820</f>
        <v>469.72401280000003</v>
      </c>
      <c r="AF67" s="6">
        <f>[1]Emissions!AE820</f>
        <v>474.5509515</v>
      </c>
      <c r="AG67" s="6">
        <f>[1]Emissions!AF820</f>
        <v>479.42876669999998</v>
      </c>
      <c r="AH67" s="6">
        <f>[1]Emissions!AG820</f>
        <v>484.3659571</v>
      </c>
      <c r="AI67" s="6">
        <f>[1]Emissions!AH820</f>
        <v>489.36906750000003</v>
      </c>
      <c r="AJ67" s="6">
        <f>[1]Emissions!AI820</f>
        <v>494.4427627</v>
      </c>
      <c r="AK67" s="6">
        <f>[1]Emissions!AJ820</f>
        <v>499.59011659999999</v>
      </c>
      <c r="AL67" s="6">
        <f>[1]Emissions!AK820</f>
        <v>504.81296229999998</v>
      </c>
      <c r="AM67" s="6">
        <f>[1]Emissions!AL820</f>
        <v>509.95921290000001</v>
      </c>
      <c r="AN67" s="6">
        <f>[1]Emissions!AM820</f>
        <v>515.11030549999998</v>
      </c>
      <c r="AO67" s="6">
        <f>[1]Emissions!AN820</f>
        <v>520.28988370000002</v>
      </c>
      <c r="AP67" s="6">
        <f>[1]Emissions!AO820</f>
        <v>525.50918569999999</v>
      </c>
      <c r="AQ67" s="6">
        <f>[1]Emissions!AP820</f>
        <v>530.77613710000003</v>
      </c>
      <c r="AR67" s="6">
        <f>[1]Emissions!AQ820</f>
        <v>536.09717880000005</v>
      </c>
      <c r="AS67" s="6">
        <f>[1]Emissions!AR820</f>
        <v>541.4776018</v>
      </c>
      <c r="AT67" s="6">
        <f>[1]Emissions!AS820</f>
        <v>546.92157950000001</v>
      </c>
      <c r="AU67" s="6">
        <f>[1]Emissions!AT820</f>
        <v>552.43208700000002</v>
      </c>
      <c r="AV67" s="6">
        <f>[1]Emissions!AU820</f>
        <v>558.01046180000003</v>
      </c>
      <c r="AW67" s="6">
        <f>[1]Emissions!AV820</f>
        <v>563.66744830000005</v>
      </c>
      <c r="AX67" s="6">
        <f>[1]Emissions!AW820</f>
        <v>569.39277979999997</v>
      </c>
      <c r="AY67" s="6">
        <f>[1]Emissions!AX820</f>
        <v>575.17943979999995</v>
      </c>
      <c r="AZ67" s="6">
        <f>[1]Emissions!AY820</f>
        <v>581.0392329</v>
      </c>
      <c r="BA67" s="6">
        <f>[1]Emissions!AZ820</f>
        <v>586.98229470000001</v>
      </c>
      <c r="BB67" s="6">
        <f>[1]Emissions!BA820</f>
        <v>639.6781585</v>
      </c>
      <c r="BC67" s="6">
        <f>[1]Emissions!BB820</f>
        <v>648.44547050000006</v>
      </c>
      <c r="BD67" s="6">
        <f>[1]Emissions!BC820</f>
        <v>657.34065229999999</v>
      </c>
      <c r="BE67" s="6">
        <f>[1]Emissions!BD820</f>
        <v>666.36737129999995</v>
      </c>
      <c r="BF67" s="6">
        <f>[1]Emissions!BE820</f>
        <v>675.52932920000001</v>
      </c>
    </row>
    <row r="68" spans="1:58" x14ac:dyDescent="0.35">
      <c r="A68" s="11"/>
      <c r="B68" t="s">
        <v>25</v>
      </c>
      <c r="C68" s="6">
        <f>[1]Emissions!B824</f>
        <v>119.490486</v>
      </c>
      <c r="D68" s="6">
        <f>[1]Emissions!C824</f>
        <v>119.269642</v>
      </c>
      <c r="E68" s="6">
        <f>[1]Emissions!D824</f>
        <v>118.66364110000001</v>
      </c>
      <c r="F68" s="6">
        <f>[1]Emissions!E824</f>
        <v>118.0860905</v>
      </c>
      <c r="G68" s="6">
        <f>[1]Emissions!F824</f>
        <v>117.6365855</v>
      </c>
      <c r="H68" s="6">
        <f>[1]Emissions!G824</f>
        <v>117.3825183</v>
      </c>
      <c r="I68" s="6">
        <f>[1]Emissions!H824</f>
        <v>117.2909868</v>
      </c>
      <c r="J68" s="6">
        <f>[1]Emissions!I824</f>
        <v>117.33631509999999</v>
      </c>
      <c r="K68" s="6">
        <f>[1]Emissions!J824</f>
        <v>117.4824589</v>
      </c>
      <c r="L68" s="6">
        <f>[1]Emissions!K824</f>
        <v>117.69769460000001</v>
      </c>
      <c r="M68" s="6">
        <f>[1]Emissions!L824</f>
        <v>118.0047015</v>
      </c>
      <c r="N68" s="6">
        <f>[1]Emissions!M824</f>
        <v>118.3229046</v>
      </c>
      <c r="O68" s="6">
        <f>[1]Emissions!N824</f>
        <v>118.6525498</v>
      </c>
      <c r="P68" s="6">
        <f>[1]Emissions!O824</f>
        <v>118.991722</v>
      </c>
      <c r="Q68" s="6">
        <f>[1]Emissions!P824</f>
        <v>119.33808260000001</v>
      </c>
      <c r="R68" s="6">
        <f>[1]Emissions!Q824</f>
        <v>119.6895107</v>
      </c>
      <c r="S68" s="6">
        <f>[1]Emissions!R824</f>
        <v>120.044274</v>
      </c>
      <c r="T68" s="6">
        <f>[1]Emissions!S824</f>
        <v>120.4010181</v>
      </c>
      <c r="U68" s="6">
        <f>[1]Emissions!T824</f>
        <v>120.7587013</v>
      </c>
      <c r="V68" s="6">
        <f>[1]Emissions!U824</f>
        <v>121.116527</v>
      </c>
      <c r="W68" s="6">
        <f>[1]Emissions!V824</f>
        <v>121.44341180000001</v>
      </c>
      <c r="X68" s="6">
        <f>[1]Emissions!W824</f>
        <v>121.7824782</v>
      </c>
      <c r="Y68" s="6">
        <f>[1]Emissions!X824</f>
        <v>122.1267635</v>
      </c>
      <c r="Z68" s="6">
        <f>[1]Emissions!Y824</f>
        <v>122.473063</v>
      </c>
      <c r="AA68" s="6">
        <f>[1]Emissions!Z824</f>
        <v>122.81994</v>
      </c>
      <c r="AB68" s="6">
        <f>[1]Emissions!AA824</f>
        <v>123.0831451</v>
      </c>
      <c r="AC68" s="6">
        <f>[1]Emissions!AB824</f>
        <v>123.3424019</v>
      </c>
      <c r="AD68" s="6">
        <f>[1]Emissions!AC824</f>
        <v>123.596227</v>
      </c>
      <c r="AE68" s="6">
        <f>[1]Emissions!AD824</f>
        <v>123.844695</v>
      </c>
      <c r="AF68" s="6">
        <f>[1]Emissions!AE824</f>
        <v>124.0881737</v>
      </c>
      <c r="AG68" s="6">
        <f>[1]Emissions!AF824</f>
        <v>124.3275402</v>
      </c>
      <c r="AH68" s="6">
        <f>[1]Emissions!AG824</f>
        <v>124.5639111</v>
      </c>
      <c r="AI68" s="6">
        <f>[1]Emissions!AH824</f>
        <v>124.7983826</v>
      </c>
      <c r="AJ68" s="6">
        <f>[1]Emissions!AI824</f>
        <v>125.03192749999999</v>
      </c>
      <c r="AK68" s="6">
        <f>[1]Emissions!AJ824</f>
        <v>125.26537140000001</v>
      </c>
      <c r="AL68" s="6">
        <f>[1]Emissions!AK824</f>
        <v>125.49940530000001</v>
      </c>
      <c r="AM68" s="6">
        <f>[1]Emissions!AL824</f>
        <v>125.71655610000001</v>
      </c>
      <c r="AN68" s="6">
        <f>[1]Emissions!AM824</f>
        <v>125.9248145</v>
      </c>
      <c r="AO68" s="6">
        <f>[1]Emissions!AN824</f>
        <v>126.12832779999999</v>
      </c>
      <c r="AP68" s="6">
        <f>[1]Emissions!AO824</f>
        <v>126.32948829999999</v>
      </c>
      <c r="AQ68" s="6">
        <f>[1]Emissions!AP824</f>
        <v>126.52987760000001</v>
      </c>
      <c r="AR68" s="6">
        <f>[1]Emissions!AQ824</f>
        <v>126.730654</v>
      </c>
      <c r="AS68" s="6">
        <f>[1]Emissions!AR824</f>
        <v>126.93267849999999</v>
      </c>
      <c r="AT68" s="6">
        <f>[1]Emissions!AS824</f>
        <v>127.1364923</v>
      </c>
      <c r="AU68" s="6">
        <f>[1]Emissions!AT824</f>
        <v>127.34214919999999</v>
      </c>
      <c r="AV68" s="6">
        <f>[1]Emissions!AU824</f>
        <v>127.5486277</v>
      </c>
      <c r="AW68" s="6">
        <f>[1]Emissions!AV824</f>
        <v>127.7524274</v>
      </c>
      <c r="AX68" s="6">
        <f>[1]Emissions!AW824</f>
        <v>127.95189860000001</v>
      </c>
      <c r="AY68" s="6">
        <f>[1]Emissions!AX824</f>
        <v>128.1417136</v>
      </c>
      <c r="AZ68" s="6">
        <f>[1]Emissions!AY824</f>
        <v>128.3325495</v>
      </c>
      <c r="BA68" s="6">
        <f>[1]Emissions!AZ824</f>
        <v>128.53291300000001</v>
      </c>
      <c r="BB68" s="6">
        <f>[1]Emissions!BA824</f>
        <v>129.0574852</v>
      </c>
      <c r="BC68" s="6">
        <f>[1]Emissions!BB824</f>
        <v>129.4656449</v>
      </c>
      <c r="BD68" s="6">
        <f>[1]Emissions!BC824</f>
        <v>129.88106049999999</v>
      </c>
      <c r="BE68" s="6">
        <f>[1]Emissions!BD824</f>
        <v>130.30458100000001</v>
      </c>
      <c r="BF68" s="6">
        <f>[1]Emissions!BE824</f>
        <v>130.73693650000001</v>
      </c>
    </row>
    <row r="69" spans="1:58" x14ac:dyDescent="0.35">
      <c r="A69" s="11"/>
      <c r="B69" t="s">
        <v>26</v>
      </c>
      <c r="C69" s="6">
        <f>SUM(C70:C72)</f>
        <v>231.10094830930001</v>
      </c>
      <c r="D69" s="6">
        <f t="shared" ref="D69:AL69" si="44">SUM(D70:D72)</f>
        <v>233.68954631899999</v>
      </c>
      <c r="E69" s="6">
        <f t="shared" si="44"/>
        <v>236.43771130190001</v>
      </c>
      <c r="F69" s="6">
        <f t="shared" si="44"/>
        <v>239.4146885342</v>
      </c>
      <c r="G69" s="6">
        <f t="shared" si="44"/>
        <v>242.6475969331</v>
      </c>
      <c r="H69" s="6">
        <f t="shared" si="44"/>
        <v>246.1266137824</v>
      </c>
      <c r="I69" s="6">
        <f t="shared" si="44"/>
        <v>249.68261749519999</v>
      </c>
      <c r="J69" s="6">
        <f t="shared" si="44"/>
        <v>253.37034122989999</v>
      </c>
      <c r="K69" s="6">
        <f t="shared" si="44"/>
        <v>257.18431786310003</v>
      </c>
      <c r="L69" s="6">
        <f t="shared" si="44"/>
        <v>261.1088048954</v>
      </c>
      <c r="M69" s="6">
        <f t="shared" si="44"/>
        <v>265.38675468010001</v>
      </c>
      <c r="N69" s="6">
        <f t="shared" si="44"/>
        <v>269.60201067650002</v>
      </c>
      <c r="O69" s="6">
        <f t="shared" si="44"/>
        <v>273.8493838096</v>
      </c>
      <c r="P69" s="6">
        <f t="shared" si="44"/>
        <v>278.14230224260001</v>
      </c>
      <c r="Q69" s="6">
        <f t="shared" si="44"/>
        <v>282.48021868180001</v>
      </c>
      <c r="R69" s="6">
        <f t="shared" si="44"/>
        <v>286.86146275389996</v>
      </c>
      <c r="S69" s="6">
        <f t="shared" si="44"/>
        <v>291.28549857120004</v>
      </c>
      <c r="T69" s="6">
        <f t="shared" si="44"/>
        <v>295.75306840999997</v>
      </c>
      <c r="U69" s="6">
        <f t="shared" si="44"/>
        <v>300.26593725250001</v>
      </c>
      <c r="V69" s="6">
        <f t="shared" si="44"/>
        <v>304.82659795640001</v>
      </c>
      <c r="W69" s="6">
        <f t="shared" si="44"/>
        <v>309.24537039289999</v>
      </c>
      <c r="X69" s="6">
        <f t="shared" si="44"/>
        <v>313.82568193860004</v>
      </c>
      <c r="Y69" s="6">
        <f t="shared" si="44"/>
        <v>318.49291275360002</v>
      </c>
      <c r="Z69" s="6">
        <f t="shared" si="44"/>
        <v>323.2348296367</v>
      </c>
      <c r="AA69" s="6">
        <f t="shared" si="44"/>
        <v>328.05086847910002</v>
      </c>
      <c r="AB69" s="6">
        <f t="shared" si="44"/>
        <v>332.38524392089994</v>
      </c>
      <c r="AC69" s="6">
        <f t="shared" si="44"/>
        <v>336.84224782339999</v>
      </c>
      <c r="AD69" s="6">
        <f t="shared" si="44"/>
        <v>341.34186467080002</v>
      </c>
      <c r="AE69" s="6">
        <f t="shared" si="44"/>
        <v>345.87931781980001</v>
      </c>
      <c r="AF69" s="6">
        <f t="shared" si="44"/>
        <v>350.46277778370001</v>
      </c>
      <c r="AG69" s="6">
        <f t="shared" si="44"/>
        <v>355.10122642369998</v>
      </c>
      <c r="AH69" s="6">
        <f t="shared" si="44"/>
        <v>359.80204595799995</v>
      </c>
      <c r="AI69" s="6">
        <f t="shared" si="44"/>
        <v>364.57068488809995</v>
      </c>
      <c r="AJ69" s="6">
        <f t="shared" si="44"/>
        <v>369.41083521390004</v>
      </c>
      <c r="AK69" s="6">
        <f t="shared" si="44"/>
        <v>374.32474522200005</v>
      </c>
      <c r="AL69" s="6">
        <f t="shared" si="44"/>
        <v>379.3135570526</v>
      </c>
      <c r="AM69" s="6">
        <f t="shared" ref="AM69:BC69" si="45">SUM(AM70:AM72)</f>
        <v>384.24265680889994</v>
      </c>
      <c r="AN69" s="6">
        <f t="shared" si="45"/>
        <v>389.1854909379</v>
      </c>
      <c r="AO69" s="6">
        <f t="shared" si="45"/>
        <v>394.16155589589999</v>
      </c>
      <c r="AP69" s="6">
        <f t="shared" si="45"/>
        <v>399.17969750560002</v>
      </c>
      <c r="AQ69" s="6">
        <f t="shared" si="45"/>
        <v>404.24625950540002</v>
      </c>
      <c r="AR69" s="6">
        <f t="shared" si="45"/>
        <v>409.36652473520002</v>
      </c>
      <c r="AS69" s="6">
        <f t="shared" si="45"/>
        <v>414.54492328769993</v>
      </c>
      <c r="AT69" s="6">
        <f t="shared" si="45"/>
        <v>419.78508722940001</v>
      </c>
      <c r="AU69" s="6">
        <f t="shared" si="45"/>
        <v>425.0899377142</v>
      </c>
      <c r="AV69" s="6">
        <f t="shared" si="45"/>
        <v>430.46183414019998</v>
      </c>
      <c r="AW69" s="6">
        <f t="shared" si="45"/>
        <v>435.91502077730001</v>
      </c>
      <c r="AX69" s="6">
        <f t="shared" si="45"/>
        <v>441.44088118820002</v>
      </c>
      <c r="AY69" s="6">
        <f t="shared" si="45"/>
        <v>447.03772622120005</v>
      </c>
      <c r="AZ69" s="6">
        <f t="shared" si="45"/>
        <v>452.70668333200007</v>
      </c>
      <c r="BA69" s="6">
        <f t="shared" si="45"/>
        <v>458.44938177500001</v>
      </c>
      <c r="BB69" s="6">
        <f t="shared" si="45"/>
        <v>510.62067320610004</v>
      </c>
      <c r="BC69" s="6">
        <f t="shared" si="45"/>
        <v>518.9798256391</v>
      </c>
      <c r="BD69" s="6">
        <f t="shared" ref="BD69:BF69" si="46">SUM(BD70:BD72)</f>
        <v>527.45959178570001</v>
      </c>
      <c r="BE69" s="6">
        <f t="shared" si="46"/>
        <v>536.06279036800004</v>
      </c>
      <c r="BF69" s="6">
        <f t="shared" si="46"/>
        <v>544.79239261509997</v>
      </c>
    </row>
    <row r="70" spans="1:58" x14ac:dyDescent="0.35">
      <c r="A70" s="11"/>
      <c r="B70" t="s">
        <v>50</v>
      </c>
      <c r="C70" s="6">
        <f>[1]Emissions!B821</f>
        <v>215.82068699999999</v>
      </c>
      <c r="D70" s="6">
        <f>[1]Emissions!C821</f>
        <v>218.20709239999999</v>
      </c>
      <c r="E70" s="6">
        <f>[1]Emissions!D821</f>
        <v>220.73455340000001</v>
      </c>
      <c r="F70" s="6">
        <f>[1]Emissions!E821</f>
        <v>223.4761981</v>
      </c>
      <c r="G70" s="6">
        <f>[1]Emissions!F821</f>
        <v>226.4608604</v>
      </c>
      <c r="H70" s="6">
        <f>[1]Emissions!G821</f>
        <v>229.68027960000001</v>
      </c>
      <c r="I70" s="6">
        <f>[1]Emissions!H821</f>
        <v>232.97611309999999</v>
      </c>
      <c r="J70" s="6">
        <f>[1]Emissions!I821</f>
        <v>236.39875269999999</v>
      </c>
      <c r="K70" s="6">
        <f>[1]Emissions!J821</f>
        <v>239.94219290000001</v>
      </c>
      <c r="L70" s="6">
        <f>[1]Emissions!K821</f>
        <v>243.59069729999999</v>
      </c>
      <c r="M70" s="6">
        <f>[1]Emissions!L821</f>
        <v>247.57081840000001</v>
      </c>
      <c r="N70" s="6">
        <f>[1]Emissions!M821</f>
        <v>251.49256969999999</v>
      </c>
      <c r="O70" s="6">
        <f>[1]Emissions!N821</f>
        <v>255.4435742</v>
      </c>
      <c r="P70" s="6">
        <f>[1]Emissions!O821</f>
        <v>259.43598700000001</v>
      </c>
      <c r="Q70" s="6">
        <f>[1]Emissions!P821</f>
        <v>263.46891720000002</v>
      </c>
      <c r="R70" s="6">
        <f>[1]Emissions!Q821</f>
        <v>267.54049379999998</v>
      </c>
      <c r="S70" s="6">
        <f>[1]Emissions!R821</f>
        <v>271.6499872</v>
      </c>
      <c r="T70" s="6">
        <f>[1]Emissions!S821</f>
        <v>275.79793419999999</v>
      </c>
      <c r="U70" s="6">
        <f>[1]Emissions!T821</f>
        <v>279.98588940000002</v>
      </c>
      <c r="V70" s="6">
        <f>[1]Emissions!U821</f>
        <v>284.2161418</v>
      </c>
      <c r="W70" s="6">
        <f>[1]Emissions!V821</f>
        <v>288.31110210000003</v>
      </c>
      <c r="X70" s="6">
        <f>[1]Emissions!W821</f>
        <v>292.55461910000002</v>
      </c>
      <c r="Y70" s="6">
        <f>[1]Emissions!X821</f>
        <v>296.87729560000002</v>
      </c>
      <c r="Z70" s="6">
        <f>[1]Emissions!Y821</f>
        <v>301.26773639999999</v>
      </c>
      <c r="AA70" s="6">
        <f>[1]Emissions!Z821</f>
        <v>305.72553870000002</v>
      </c>
      <c r="AB70" s="6">
        <f>[1]Emissions!AA821</f>
        <v>309.73055269999998</v>
      </c>
      <c r="AC70" s="6">
        <f>[1]Emissions!AB821</f>
        <v>313.84786489999999</v>
      </c>
      <c r="AD70" s="6">
        <f>[1]Emissions!AC821</f>
        <v>318.00346380000002</v>
      </c>
      <c r="AE70" s="6">
        <f>[1]Emissions!AD821</f>
        <v>322.19305939999998</v>
      </c>
      <c r="AF70" s="6">
        <f>[1]Emissions!AE821</f>
        <v>326.42455890000002</v>
      </c>
      <c r="AG70" s="6">
        <f>[1]Emissions!AF821</f>
        <v>330.70665539999999</v>
      </c>
      <c r="AH70" s="6">
        <f>[1]Emissions!AG821</f>
        <v>335.04653589999998</v>
      </c>
      <c r="AI70" s="6">
        <f>[1]Emissions!AH821</f>
        <v>339.44955859999999</v>
      </c>
      <c r="AJ70" s="6">
        <f>[1]Emissions!AI821</f>
        <v>343.91941480000003</v>
      </c>
      <c r="AK70" s="6">
        <f>[1]Emissions!AJ821</f>
        <v>348.45841810000002</v>
      </c>
      <c r="AL70" s="6">
        <f>[1]Emissions!AK821</f>
        <v>353.06781740000002</v>
      </c>
      <c r="AM70" s="6">
        <f>[1]Emissions!AL821</f>
        <v>357.62179789999999</v>
      </c>
      <c r="AN70" s="6">
        <f>[1]Emissions!AM821</f>
        <v>362.18903840000002</v>
      </c>
      <c r="AO70" s="6">
        <f>[1]Emissions!AN821</f>
        <v>366.78795400000001</v>
      </c>
      <c r="AP70" s="6">
        <f>[1]Emissions!AO821</f>
        <v>371.42693759999997</v>
      </c>
      <c r="AQ70" s="6">
        <f>[1]Emissions!AP821</f>
        <v>376.1120234</v>
      </c>
      <c r="AR70" s="6">
        <f>[1]Emissions!AQ821</f>
        <v>380.84824420000001</v>
      </c>
      <c r="AS70" s="6">
        <f>[1]Emissions!AR821</f>
        <v>385.63982429999999</v>
      </c>
      <c r="AT70" s="6">
        <f>[1]Emissions!AS821</f>
        <v>390.49022960000002</v>
      </c>
      <c r="AU70" s="6">
        <f>[1]Emissions!AT821</f>
        <v>395.40224910000001</v>
      </c>
      <c r="AV70" s="6">
        <f>[1]Emissions!AU821</f>
        <v>400.37813569999997</v>
      </c>
      <c r="AW70" s="6">
        <f>[1]Emissions!AV821</f>
        <v>405.43125170000002</v>
      </c>
      <c r="AX70" s="6">
        <f>[1]Emissions!AW821</f>
        <v>410.55334010000001</v>
      </c>
      <c r="AY70" s="6">
        <f>[1]Emissions!AX821</f>
        <v>415.74273340000002</v>
      </c>
      <c r="AZ70" s="6">
        <f>[1]Emissions!AY821</f>
        <v>421.00052570000003</v>
      </c>
      <c r="BA70" s="6">
        <f>[1]Emissions!AZ821</f>
        <v>426.32828790000002</v>
      </c>
      <c r="BB70" s="6">
        <f>[1]Emissions!BA821</f>
        <v>474.56909780000001</v>
      </c>
      <c r="BC70" s="6">
        <f>[1]Emissions!BB821</f>
        <v>482.29074939999998</v>
      </c>
      <c r="BD70" s="6">
        <f>[1]Emissions!BC821</f>
        <v>490.12448920000003</v>
      </c>
      <c r="BE70" s="6">
        <f>[1]Emissions!BD821</f>
        <v>498.07311490000001</v>
      </c>
      <c r="BF70" s="6">
        <f>[1]Emissions!BE821</f>
        <v>506.13955979999997</v>
      </c>
    </row>
    <row r="71" spans="1:58" x14ac:dyDescent="0.35">
      <c r="A71" s="11"/>
      <c r="B71" t="s">
        <v>51</v>
      </c>
      <c r="C71" s="6">
        <f>[1]Emissions!B822</f>
        <v>2.7572479300000001E-2</v>
      </c>
      <c r="D71" s="6">
        <f>[1]Emissions!C822</f>
        <v>2.7809588999999999E-2</v>
      </c>
      <c r="E71" s="6">
        <f>[1]Emissions!D822</f>
        <v>2.8093171900000002E-2</v>
      </c>
      <c r="F71" s="6">
        <f>[1]Emissions!E822</f>
        <v>2.84252342E-2</v>
      </c>
      <c r="G71" s="6">
        <f>[1]Emissions!F822</f>
        <v>2.8802333100000001E-2</v>
      </c>
      <c r="H71" s="6">
        <f>[1]Emissions!G822</f>
        <v>2.92177624E-2</v>
      </c>
      <c r="I71" s="6">
        <f>[1]Emissions!H822</f>
        <v>2.9647495199999999E-2</v>
      </c>
      <c r="J71" s="6">
        <f>[1]Emissions!I822</f>
        <v>3.0095369899999998E-2</v>
      </c>
      <c r="K71" s="6">
        <f>[1]Emissions!J822</f>
        <v>3.05588431E-2</v>
      </c>
      <c r="L71" s="6">
        <f>[1]Emissions!K822</f>
        <v>3.1035655400000001E-2</v>
      </c>
      <c r="M71" s="6">
        <f>[1]Emissions!L822</f>
        <v>3.1554350100000003E-2</v>
      </c>
      <c r="N71" s="6">
        <f>[1]Emissions!M822</f>
        <v>3.2066256500000001E-2</v>
      </c>
      <c r="O71" s="6">
        <f>[1]Emissions!N822</f>
        <v>3.2583339599999997E-2</v>
      </c>
      <c r="P71" s="6">
        <f>[1]Emissions!O822</f>
        <v>3.3105612600000001E-2</v>
      </c>
      <c r="Q71" s="6">
        <f>[1]Emissions!P822</f>
        <v>3.3632771800000003E-2</v>
      </c>
      <c r="R71" s="6">
        <f>[1]Emissions!Q822</f>
        <v>3.4164703900000003E-2</v>
      </c>
      <c r="S71" s="6">
        <f>[1]Emissions!R822</f>
        <v>3.4701521200000002E-2</v>
      </c>
      <c r="T71" s="6">
        <f>[1]Emissions!S822</f>
        <v>3.5243499999999997E-2</v>
      </c>
      <c r="U71" s="6">
        <f>[1]Emissions!T822</f>
        <v>3.5791012499999997E-2</v>
      </c>
      <c r="V71" s="6">
        <f>[1]Emissions!U822</f>
        <v>3.6344476399999999E-2</v>
      </c>
      <c r="W71" s="6">
        <f>[1]Emissions!V822</f>
        <v>3.6881732899999999E-2</v>
      </c>
      <c r="X71" s="6">
        <f>[1]Emissions!W822</f>
        <v>3.7438228599999998E-2</v>
      </c>
      <c r="Y71" s="6">
        <f>[1]Emissions!X822</f>
        <v>3.8004683599999999E-2</v>
      </c>
      <c r="Z71" s="6">
        <f>[1]Emissions!Y822</f>
        <v>3.8580796700000003E-2</v>
      </c>
      <c r="AA71" s="6">
        <f>[1]Emissions!Z822</f>
        <v>3.9166629100000003E-2</v>
      </c>
      <c r="AB71" s="6">
        <f>[1]Emissions!AA822</f>
        <v>3.9696930900000003E-2</v>
      </c>
      <c r="AC71" s="6">
        <f>[1]Emissions!AB822</f>
        <v>4.0241883399999998E-2</v>
      </c>
      <c r="AD71" s="6">
        <f>[1]Emissions!AC822</f>
        <v>4.0790200800000002E-2</v>
      </c>
      <c r="AE71" s="6">
        <f>[1]Emissions!AD822</f>
        <v>4.1343509799999997E-2</v>
      </c>
      <c r="AF71" s="6">
        <f>[1]Emissions!AE822</f>
        <v>4.1903663700000003E-2</v>
      </c>
      <c r="AG71" s="6">
        <f>[1]Emissions!AF822</f>
        <v>4.2472173699999997E-2</v>
      </c>
      <c r="AH71" s="6">
        <f>[1]Emissions!AG822</f>
        <v>4.3050117999999998E-2</v>
      </c>
      <c r="AI71" s="6">
        <f>[1]Emissions!AH822</f>
        <v>4.3638188100000003E-2</v>
      </c>
      <c r="AJ71" s="6">
        <f>[1]Emissions!AI822</f>
        <v>4.4236773899999998E-2</v>
      </c>
      <c r="AK71" s="6">
        <f>[1]Emissions!AJ822</f>
        <v>4.4846051999999997E-2</v>
      </c>
      <c r="AL71" s="6">
        <f>[1]Emissions!AK822</f>
        <v>4.5466062600000003E-2</v>
      </c>
      <c r="AM71" s="6">
        <f>[1]Emissions!AL822</f>
        <v>4.6080918899999997E-2</v>
      </c>
      <c r="AN71" s="6">
        <f>[1]Emissions!AM822</f>
        <v>4.66990979E-2</v>
      </c>
      <c r="AO71" s="6">
        <f>[1]Emissions!AN822</f>
        <v>4.73223859E-2</v>
      </c>
      <c r="AP71" s="6">
        <f>[1]Emissions!AO822</f>
        <v>4.7952115599999998E-2</v>
      </c>
      <c r="AQ71" s="6">
        <f>[1]Emissions!AP822</f>
        <v>4.8589435399999999E-2</v>
      </c>
      <c r="AR71" s="6">
        <f>[1]Emissions!AQ822</f>
        <v>4.9235315199999997E-2</v>
      </c>
      <c r="AS71" s="6">
        <f>[1]Emissions!AR822</f>
        <v>4.9890527699999999E-2</v>
      </c>
      <c r="AT71" s="6">
        <f>[1]Emissions!AS822</f>
        <v>5.05556494E-2</v>
      </c>
      <c r="AU71" s="6">
        <f>[1]Emissions!AT822</f>
        <v>5.1231084199999999E-2</v>
      </c>
      <c r="AV71" s="6">
        <f>[1]Emissions!AU822</f>
        <v>5.1917100200000003E-2</v>
      </c>
      <c r="AW71" s="6">
        <f>[1]Emissions!AV822</f>
        <v>5.26153273E-2</v>
      </c>
      <c r="AX71" s="6">
        <f>[1]Emissions!AW822</f>
        <v>5.3325138199999997E-2</v>
      </c>
      <c r="AY71" s="6">
        <f>[1]Emissions!AX822</f>
        <v>5.40464612E-2</v>
      </c>
      <c r="AZ71" s="6">
        <f>[1]Emissions!AY822</f>
        <v>5.4779132000000001E-2</v>
      </c>
      <c r="BA71" s="6">
        <f>[1]Emissions!AZ822</f>
        <v>5.5522994999999999E-2</v>
      </c>
      <c r="BB71" s="6">
        <f>[1]Emissions!BA822</f>
        <v>6.0566186100000002E-2</v>
      </c>
      <c r="BC71" s="6">
        <f>[1]Emissions!BB822</f>
        <v>6.1565169099999997E-2</v>
      </c>
      <c r="BD71" s="6">
        <f>[1]Emissions!BC822</f>
        <v>6.25808957E-2</v>
      </c>
      <c r="BE71" s="6">
        <f>[1]Emissions!BD822</f>
        <v>6.3613768000000001E-2</v>
      </c>
      <c r="BF71" s="6">
        <f>[1]Emissions!BE822</f>
        <v>6.4664205099999997E-2</v>
      </c>
    </row>
    <row r="72" spans="1:58" x14ac:dyDescent="0.35">
      <c r="A72" s="11"/>
      <c r="B72" t="s">
        <v>52</v>
      </c>
      <c r="C72" s="6">
        <f>[1]Emissions!B823</f>
        <v>15.25268883</v>
      </c>
      <c r="D72" s="6">
        <f>[1]Emissions!C823</f>
        <v>15.454644330000001</v>
      </c>
      <c r="E72" s="6">
        <f>[1]Emissions!D823</f>
        <v>15.675064730000001</v>
      </c>
      <c r="F72" s="6">
        <f>[1]Emissions!E823</f>
        <v>15.9100652</v>
      </c>
      <c r="G72" s="6">
        <f>[1]Emissions!F823</f>
        <v>16.1579342</v>
      </c>
      <c r="H72" s="6">
        <f>[1]Emissions!G823</f>
        <v>16.417116419999999</v>
      </c>
      <c r="I72" s="6">
        <f>[1]Emissions!H823</f>
        <v>16.676856900000001</v>
      </c>
      <c r="J72" s="6">
        <f>[1]Emissions!I823</f>
        <v>16.94149316</v>
      </c>
      <c r="K72" s="6">
        <f>[1]Emissions!J823</f>
        <v>17.211566120000001</v>
      </c>
      <c r="L72" s="6">
        <f>[1]Emissions!K823</f>
        <v>17.48707194</v>
      </c>
      <c r="M72" s="6">
        <f>[1]Emissions!L823</f>
        <v>17.784381929999999</v>
      </c>
      <c r="N72" s="6">
        <f>[1]Emissions!M823</f>
        <v>18.077374720000002</v>
      </c>
      <c r="O72" s="6">
        <f>[1]Emissions!N823</f>
        <v>18.37322627</v>
      </c>
      <c r="P72" s="6">
        <f>[1]Emissions!O823</f>
        <v>18.673209629999999</v>
      </c>
      <c r="Q72" s="6">
        <f>[1]Emissions!P823</f>
        <v>18.97766871</v>
      </c>
      <c r="R72" s="6">
        <f>[1]Emissions!Q823</f>
        <v>19.286804249999999</v>
      </c>
      <c r="S72" s="6">
        <f>[1]Emissions!R823</f>
        <v>19.600809850000001</v>
      </c>
      <c r="T72" s="6">
        <f>[1]Emissions!S823</f>
        <v>19.919890710000001</v>
      </c>
      <c r="U72" s="6">
        <f>[1]Emissions!T823</f>
        <v>20.244256839999998</v>
      </c>
      <c r="V72" s="6">
        <f>[1]Emissions!U823</f>
        <v>20.574111680000001</v>
      </c>
      <c r="W72" s="6">
        <f>[1]Emissions!V823</f>
        <v>20.897386560000001</v>
      </c>
      <c r="X72" s="6">
        <f>[1]Emissions!W823</f>
        <v>21.23362461</v>
      </c>
      <c r="Y72" s="6">
        <f>[1]Emissions!X823</f>
        <v>21.577612469999998</v>
      </c>
      <c r="Z72" s="6">
        <f>[1]Emissions!Y823</f>
        <v>21.928512439999999</v>
      </c>
      <c r="AA72" s="6">
        <f>[1]Emissions!Z823</f>
        <v>22.28616315</v>
      </c>
      <c r="AB72" s="6">
        <f>[1]Emissions!AA823</f>
        <v>22.614994289999999</v>
      </c>
      <c r="AC72" s="6">
        <f>[1]Emissions!AB823</f>
        <v>22.95414104</v>
      </c>
      <c r="AD72" s="6">
        <f>[1]Emissions!AC823</f>
        <v>23.297610670000001</v>
      </c>
      <c r="AE72" s="6">
        <f>[1]Emissions!AD823</f>
        <v>23.644914910000001</v>
      </c>
      <c r="AF72" s="6">
        <f>[1]Emissions!AE823</f>
        <v>23.99631522</v>
      </c>
      <c r="AG72" s="6">
        <f>[1]Emissions!AF823</f>
        <v>24.352098850000001</v>
      </c>
      <c r="AH72" s="6">
        <f>[1]Emissions!AG823</f>
        <v>24.712459939999999</v>
      </c>
      <c r="AI72" s="6">
        <f>[1]Emissions!AH823</f>
        <v>25.0774881</v>
      </c>
      <c r="AJ72" s="6">
        <f>[1]Emissions!AI823</f>
        <v>25.447183639999999</v>
      </c>
      <c r="AK72" s="6">
        <f>[1]Emissions!AJ823</f>
        <v>25.821481070000001</v>
      </c>
      <c r="AL72" s="6">
        <f>[1]Emissions!AK823</f>
        <v>26.200273589999998</v>
      </c>
      <c r="AM72" s="6">
        <f>[1]Emissions!AL823</f>
        <v>26.574777990000001</v>
      </c>
      <c r="AN72" s="6">
        <f>[1]Emissions!AM823</f>
        <v>26.949753439999999</v>
      </c>
      <c r="AO72" s="6">
        <f>[1]Emissions!AN823</f>
        <v>27.326279509999999</v>
      </c>
      <c r="AP72" s="6">
        <f>[1]Emissions!AO823</f>
        <v>27.70480779</v>
      </c>
      <c r="AQ72" s="6">
        <f>[1]Emissions!AP823</f>
        <v>28.085646669999999</v>
      </c>
      <c r="AR72" s="6">
        <f>[1]Emissions!AQ823</f>
        <v>28.469045220000002</v>
      </c>
      <c r="AS72" s="6">
        <f>[1]Emissions!AR823</f>
        <v>28.85520846</v>
      </c>
      <c r="AT72" s="6">
        <f>[1]Emissions!AS823</f>
        <v>29.244301979999999</v>
      </c>
      <c r="AU72" s="6">
        <f>[1]Emissions!AT823</f>
        <v>29.636457530000001</v>
      </c>
      <c r="AV72" s="6">
        <f>[1]Emissions!AU823</f>
        <v>30.031781339999998</v>
      </c>
      <c r="AW72" s="6">
        <f>[1]Emissions!AV823</f>
        <v>30.43115375</v>
      </c>
      <c r="AX72" s="6">
        <f>[1]Emissions!AW823</f>
        <v>30.834215950000001</v>
      </c>
      <c r="AY72" s="6">
        <f>[1]Emissions!AX823</f>
        <v>31.240946359999999</v>
      </c>
      <c r="AZ72" s="6">
        <f>[1]Emissions!AY823</f>
        <v>31.6513785</v>
      </c>
      <c r="BA72" s="6">
        <f>[1]Emissions!AZ823</f>
        <v>32.065570880000003</v>
      </c>
      <c r="BB72" s="6">
        <f>[1]Emissions!BA823</f>
        <v>35.991009220000002</v>
      </c>
      <c r="BC72" s="6">
        <f>[1]Emissions!BB823</f>
        <v>36.627511069999997</v>
      </c>
      <c r="BD72" s="6">
        <f>[1]Emissions!BC823</f>
        <v>37.272521689999998</v>
      </c>
      <c r="BE72" s="6">
        <f>[1]Emissions!BD823</f>
        <v>37.926061699999998</v>
      </c>
      <c r="BF72" s="6">
        <f>[1]Emissions!BE823</f>
        <v>38.588168609999997</v>
      </c>
    </row>
    <row r="73" spans="1:58" x14ac:dyDescent="0.35">
      <c r="A73" s="11"/>
      <c r="B73" t="str">
        <f>B65</f>
        <v>NZ50</v>
      </c>
      <c r="C73" s="6">
        <f>[1]Emissions!B825</f>
        <v>347.39432770000002</v>
      </c>
      <c r="D73" s="6">
        <f>[1]Emissions!C825</f>
        <v>348.38399600000002</v>
      </c>
      <c r="E73" s="6">
        <f>[1]Emissions!D825</f>
        <v>349.35901200000001</v>
      </c>
      <c r="F73" s="6">
        <f>[1]Emissions!E825</f>
        <v>350.66368640000002</v>
      </c>
      <c r="G73" s="6">
        <f>[1]Emissions!F825</f>
        <v>352.4599096</v>
      </c>
      <c r="H73" s="6">
        <f>[1]Emissions!G825</f>
        <v>354.76237559999998</v>
      </c>
      <c r="I73" s="6">
        <f>[1]Emissions!H825</f>
        <v>357.34011939999999</v>
      </c>
      <c r="J73" s="6">
        <f>[1]Emissions!I825</f>
        <v>360.2059959</v>
      </c>
      <c r="K73" s="6">
        <f>[1]Emissions!J825</f>
        <v>363.30291549999998</v>
      </c>
      <c r="L73" s="6">
        <f>[1]Emissions!K825</f>
        <v>366.56002810000001</v>
      </c>
      <c r="M73" s="6">
        <f>[1]Emissions!L825</f>
        <v>369.88266540000001</v>
      </c>
      <c r="N73" s="6">
        <f>[1]Emissions!M825</f>
        <v>373.5652015</v>
      </c>
      <c r="O73" s="6">
        <f>[1]Emissions!N825</f>
        <v>377.38852659999998</v>
      </c>
      <c r="P73" s="6">
        <f>[1]Emissions!O825</f>
        <v>381.31355139999999</v>
      </c>
      <c r="Q73" s="6">
        <f>[1]Emissions!P825</f>
        <v>385.32641360000002</v>
      </c>
      <c r="R73" s="6">
        <f>[1]Emissions!Q825</f>
        <v>389.41678109999998</v>
      </c>
      <c r="S73" s="6">
        <f>[1]Emissions!R825</f>
        <v>393.56457369999998</v>
      </c>
      <c r="T73" s="6">
        <f>[1]Emissions!S825</f>
        <v>397.76568850000001</v>
      </c>
      <c r="U73" s="6">
        <f>[1]Emissions!T825</f>
        <v>402.01519480000002</v>
      </c>
      <c r="V73" s="6">
        <f>[1]Emissions!U825</f>
        <v>406.30878589999998</v>
      </c>
      <c r="W73" s="6">
        <f>[1]Emissions!V825</f>
        <v>410.43165010000001</v>
      </c>
      <c r="X73" s="6">
        <f>[1]Emissions!W825</f>
        <v>414.70833249999998</v>
      </c>
      <c r="Y73" s="6">
        <f>[1]Emissions!X825</f>
        <v>419.05979070000001</v>
      </c>
      <c r="Z73" s="6">
        <f>[1]Emissions!Y825</f>
        <v>423.46940590000003</v>
      </c>
      <c r="AA73" s="6">
        <f>[1]Emissions!Z825</f>
        <v>427.93424229999999</v>
      </c>
      <c r="AB73" s="6">
        <f>[1]Emissions!AA825</f>
        <v>431.8495704</v>
      </c>
      <c r="AC73" s="6">
        <f>[1]Emissions!AB825</f>
        <v>435.86451269999998</v>
      </c>
      <c r="AD73" s="6">
        <f>[1]Emissions!AC825</f>
        <v>439.90454019999999</v>
      </c>
      <c r="AE73" s="6">
        <f>[1]Emissions!AD825</f>
        <v>443.96628500000003</v>
      </c>
      <c r="AF73" s="6">
        <f>[1]Emissions!AE825</f>
        <v>448.05964829999999</v>
      </c>
      <c r="AG73" s="6">
        <f>[1]Emissions!AF825</f>
        <v>452.19570279999999</v>
      </c>
      <c r="AH73" s="6">
        <f>[1]Emissions!AG825</f>
        <v>456.38669119999997</v>
      </c>
      <c r="AI73" s="6">
        <f>[1]Emissions!AH825</f>
        <v>460.63916219999999</v>
      </c>
      <c r="AJ73" s="6">
        <f>[1]Emissions!AI825</f>
        <v>464.9581159</v>
      </c>
      <c r="AK73" s="6">
        <f>[1]Emissions!AJ825</f>
        <v>469.34710639999997</v>
      </c>
      <c r="AL73" s="6">
        <f>[1]Emissions!AK825</f>
        <v>473.80870069999997</v>
      </c>
      <c r="AM73" s="6">
        <f>[1]Emissions!AL825</f>
        <v>478.22607410000001</v>
      </c>
      <c r="AN73" s="6">
        <f>[1]Emissions!AM825</f>
        <v>482.6654522</v>
      </c>
      <c r="AO73" s="6">
        <f>[1]Emissions!AN825</f>
        <v>487.1458523</v>
      </c>
      <c r="AP73" s="6">
        <f>[1]Emissions!AO825</f>
        <v>491.6765929</v>
      </c>
      <c r="AQ73" s="6">
        <f>[1]Emissions!AP825</f>
        <v>496.26402400000001</v>
      </c>
      <c r="AR73" s="6">
        <f>[1]Emissions!AQ825</f>
        <v>500.91689209999998</v>
      </c>
      <c r="AS73" s="6">
        <f>[1]Emissions!AR825</f>
        <v>505.63733359999998</v>
      </c>
      <c r="AT73" s="6">
        <f>[1]Emissions!AS825</f>
        <v>510.42739390000003</v>
      </c>
      <c r="AU73" s="6">
        <f>[1]Emissions!AT825</f>
        <v>515.2886479</v>
      </c>
      <c r="AV73" s="6">
        <f>[1]Emissions!AU825</f>
        <v>520.22211059999995</v>
      </c>
      <c r="AW73" s="6">
        <f>[1]Emissions!AV825</f>
        <v>525.25475689999996</v>
      </c>
      <c r="AX73" s="6">
        <f>[1]Emissions!AW825</f>
        <v>530.37521700000002</v>
      </c>
      <c r="AY73" s="6">
        <f>[1]Emissions!AX825</f>
        <v>535.57967940000003</v>
      </c>
      <c r="AZ73" s="6">
        <f>[1]Emissions!AY825</f>
        <v>540.86645169999997</v>
      </c>
      <c r="BA73" s="6">
        <f>[1]Emissions!AZ825</f>
        <v>546.23453070000005</v>
      </c>
      <c r="BB73" s="6">
        <f>[1]Emissions!BA825</f>
        <v>638.12864630000001</v>
      </c>
      <c r="BC73" s="6">
        <f>[1]Emissions!BB825</f>
        <v>646.94552759999999</v>
      </c>
      <c r="BD73" s="6">
        <f>[1]Emissions!BC825</f>
        <v>655.8961663</v>
      </c>
      <c r="BE73" s="6">
        <f>[1]Emissions!BD825</f>
        <v>664.98381870000003</v>
      </c>
      <c r="BF73" s="6">
        <f>[1]Emissions!BE825</f>
        <v>674.21214689999999</v>
      </c>
    </row>
    <row r="74" spans="1:58" x14ac:dyDescent="0.35">
      <c r="A74" s="8"/>
      <c r="B74" t="s">
        <v>25</v>
      </c>
      <c r="C74" s="6">
        <f>[1]Emissions!B829</f>
        <v>119.490486</v>
      </c>
      <c r="D74" s="6">
        <f>[1]Emissions!C829</f>
        <v>119.30773379999999</v>
      </c>
      <c r="E74" s="6">
        <f>[1]Emissions!D829</f>
        <v>118.6240696</v>
      </c>
      <c r="F74" s="6">
        <f>[1]Emissions!E829</f>
        <v>117.93744649999999</v>
      </c>
      <c r="G74" s="6">
        <f>[1]Emissions!F829</f>
        <v>117.4021671</v>
      </c>
      <c r="H74" s="6">
        <f>[1]Emissions!G829</f>
        <v>117.04244389999999</v>
      </c>
      <c r="I74" s="6">
        <f>[1]Emissions!H829</f>
        <v>116.8074774</v>
      </c>
      <c r="J74" s="6">
        <f>[1]Emissions!I829</f>
        <v>116.6736008</v>
      </c>
      <c r="K74" s="6">
        <f>[1]Emissions!J829</f>
        <v>116.60649069999999</v>
      </c>
      <c r="L74" s="6">
        <f>[1]Emissions!K829</f>
        <v>116.5667383</v>
      </c>
      <c r="M74" s="6">
        <f>[1]Emissions!L829</f>
        <v>116.5788749</v>
      </c>
      <c r="N74" s="6">
        <f>[1]Emissions!M829</f>
        <v>116.57234099999999</v>
      </c>
      <c r="O74" s="6">
        <f>[1]Emissions!N829</f>
        <v>116.5639255</v>
      </c>
      <c r="P74" s="6">
        <f>[1]Emissions!O829</f>
        <v>116.5633996</v>
      </c>
      <c r="Q74" s="6">
        <f>[1]Emissions!P829</f>
        <v>116.5758532</v>
      </c>
      <c r="R74" s="6">
        <f>[1]Emissions!Q829</f>
        <v>116.6043279</v>
      </c>
      <c r="S74" s="6">
        <f>[1]Emissions!R829</f>
        <v>116.6443493</v>
      </c>
      <c r="T74" s="6">
        <f>[1]Emissions!S829</f>
        <v>116.6988557</v>
      </c>
      <c r="U74" s="6">
        <f>[1]Emissions!T829</f>
        <v>116.76796160000001</v>
      </c>
      <c r="V74" s="6">
        <f>[1]Emissions!U829</f>
        <v>116.85044569999999</v>
      </c>
      <c r="W74" s="6">
        <f>[1]Emissions!V829</f>
        <v>116.91507249999999</v>
      </c>
      <c r="X74" s="6">
        <f>[1]Emissions!W829</f>
        <v>117.0024492</v>
      </c>
      <c r="Y74" s="6">
        <f>[1]Emissions!X829</f>
        <v>117.1043166</v>
      </c>
      <c r="Z74" s="6">
        <f>[1]Emissions!Y829</f>
        <v>117.2163079</v>
      </c>
      <c r="AA74" s="6">
        <f>[1]Emissions!Z829</f>
        <v>117.3359955</v>
      </c>
      <c r="AB74" s="6">
        <f>[1]Emissions!AA829</f>
        <v>117.38163110000001</v>
      </c>
      <c r="AC74" s="6">
        <f>[1]Emissions!AB829</f>
        <v>117.4318226</v>
      </c>
      <c r="AD74" s="6">
        <f>[1]Emissions!AC829</f>
        <v>117.4829368</v>
      </c>
      <c r="AE74" s="6">
        <f>[1]Emissions!AD829</f>
        <v>117.5339051</v>
      </c>
      <c r="AF74" s="6">
        <f>[1]Emissions!AE829</f>
        <v>117.5849612</v>
      </c>
      <c r="AG74" s="6">
        <f>[1]Emissions!AF829</f>
        <v>117.6369165</v>
      </c>
      <c r="AH74" s="6">
        <f>[1]Emissions!AG829</f>
        <v>117.692042</v>
      </c>
      <c r="AI74" s="6">
        <f>[1]Emissions!AH829</f>
        <v>117.75059419999999</v>
      </c>
      <c r="AJ74" s="6">
        <f>[1]Emissions!AI829</f>
        <v>117.8129398</v>
      </c>
      <c r="AK74" s="6">
        <f>[1]Emissions!AJ829</f>
        <v>117.87946770000001</v>
      </c>
      <c r="AL74" s="6">
        <f>[1]Emissions!AK829</f>
        <v>117.9508091</v>
      </c>
      <c r="AM74" s="6">
        <f>[1]Emissions!AL829</f>
        <v>118.0215532</v>
      </c>
      <c r="AN74" s="6">
        <f>[1]Emissions!AM829</f>
        <v>118.09311150000001</v>
      </c>
      <c r="AO74" s="6">
        <f>[1]Emissions!AN829</f>
        <v>118.1669167</v>
      </c>
      <c r="AP74" s="6">
        <f>[1]Emissions!AO829</f>
        <v>118.24438120000001</v>
      </c>
      <c r="AQ74" s="6">
        <f>[1]Emissions!AP829</f>
        <v>118.32689739999999</v>
      </c>
      <c r="AR74" s="6">
        <f>[1]Emissions!AQ829</f>
        <v>118.4175256</v>
      </c>
      <c r="AS74" s="6">
        <f>[1]Emissions!AR829</f>
        <v>118.51655119999999</v>
      </c>
      <c r="AT74" s="6">
        <f>[1]Emissions!AS829</f>
        <v>118.6247054</v>
      </c>
      <c r="AU74" s="6">
        <f>[1]Emissions!AT829</f>
        <v>118.7428472</v>
      </c>
      <c r="AV74" s="6">
        <f>[1]Emissions!AU829</f>
        <v>118.8718392</v>
      </c>
      <c r="AW74" s="6">
        <f>[1]Emissions!AV829</f>
        <v>119.01952729999999</v>
      </c>
      <c r="AX74" s="6">
        <f>[1]Emissions!AW829</f>
        <v>119.1829741</v>
      </c>
      <c r="AY74" s="6">
        <f>[1]Emissions!AX829</f>
        <v>119.36128909999999</v>
      </c>
      <c r="AZ74" s="6">
        <f>[1]Emissions!AY829</f>
        <v>119.5545168</v>
      </c>
      <c r="BA74" s="6">
        <f>[1]Emissions!AZ829</f>
        <v>119.76321609999999</v>
      </c>
      <c r="BB74" s="6">
        <f>[1]Emissions!BA829</f>
        <v>126.47587660000001</v>
      </c>
      <c r="BC74" s="6">
        <f>[1]Emissions!BB829</f>
        <v>126.845287</v>
      </c>
      <c r="BD74" s="6">
        <f>[1]Emissions!BC829</f>
        <v>127.2240729</v>
      </c>
      <c r="BE74" s="6">
        <f>[1]Emissions!BD829</f>
        <v>127.6125328</v>
      </c>
      <c r="BF74" s="6">
        <f>[1]Emissions!BE829</f>
        <v>128.01129209999999</v>
      </c>
    </row>
    <row r="75" spans="1:58" x14ac:dyDescent="0.35">
      <c r="A75" s="8"/>
      <c r="B75" t="s">
        <v>26</v>
      </c>
      <c r="C75" s="6">
        <f>SUM(C76:C78)</f>
        <v>227.90384176900002</v>
      </c>
      <c r="D75" s="6">
        <f t="shared" ref="D75:AL75" si="47">SUM(D76:D78)</f>
        <v>229.07626220450001</v>
      </c>
      <c r="E75" s="6">
        <f t="shared" si="47"/>
        <v>230.73494237310001</v>
      </c>
      <c r="F75" s="6">
        <f t="shared" si="47"/>
        <v>232.72623986369999</v>
      </c>
      <c r="G75" s="6">
        <f t="shared" si="47"/>
        <v>235.05774251310001</v>
      </c>
      <c r="H75" s="6">
        <f t="shared" si="47"/>
        <v>237.7199316862</v>
      </c>
      <c r="I75" s="6">
        <f t="shared" si="47"/>
        <v>240.53264196910001</v>
      </c>
      <c r="J75" s="6">
        <f t="shared" si="47"/>
        <v>243.5323950877</v>
      </c>
      <c r="K75" s="6">
        <f t="shared" si="47"/>
        <v>246.69642485899999</v>
      </c>
      <c r="L75" s="6">
        <f t="shared" si="47"/>
        <v>249.99328981970001</v>
      </c>
      <c r="M75" s="6">
        <f t="shared" si="47"/>
        <v>253.30379046819999</v>
      </c>
      <c r="N75" s="6">
        <f t="shared" si="47"/>
        <v>256.99286044849998</v>
      </c>
      <c r="O75" s="6">
        <f t="shared" si="47"/>
        <v>260.8246010638</v>
      </c>
      <c r="P75" s="6">
        <f t="shared" si="47"/>
        <v>264.75015177170002</v>
      </c>
      <c r="Q75" s="6">
        <f t="shared" si="47"/>
        <v>268.75056037069999</v>
      </c>
      <c r="R75" s="6">
        <f t="shared" si="47"/>
        <v>272.81245320689999</v>
      </c>
      <c r="S75" s="6">
        <f t="shared" si="47"/>
        <v>276.92022440760002</v>
      </c>
      <c r="T75" s="6">
        <f t="shared" si="47"/>
        <v>281.06683282409995</v>
      </c>
      <c r="U75" s="6">
        <f t="shared" si="47"/>
        <v>285.24723322849997</v>
      </c>
      <c r="V75" s="6">
        <f t="shared" si="47"/>
        <v>289.45834014709999</v>
      </c>
      <c r="W75" s="6">
        <f t="shared" si="47"/>
        <v>293.51657767099999</v>
      </c>
      <c r="X75" s="6">
        <f t="shared" si="47"/>
        <v>297.70588322089998</v>
      </c>
      <c r="Y75" s="6">
        <f t="shared" si="47"/>
        <v>301.95547402950001</v>
      </c>
      <c r="Z75" s="6">
        <f t="shared" si="47"/>
        <v>306.25309806580003</v>
      </c>
      <c r="AA75" s="6">
        <f t="shared" si="47"/>
        <v>310.59824672299999</v>
      </c>
      <c r="AB75" s="6">
        <f t="shared" si="47"/>
        <v>314.46793934169995</v>
      </c>
      <c r="AC75" s="6">
        <f t="shared" si="47"/>
        <v>318.43269017100005</v>
      </c>
      <c r="AD75" s="6">
        <f t="shared" si="47"/>
        <v>322.42160341210001</v>
      </c>
      <c r="AE75" s="6">
        <f t="shared" si="47"/>
        <v>326.43237991400002</v>
      </c>
      <c r="AF75" s="6">
        <f t="shared" si="47"/>
        <v>330.47468718139999</v>
      </c>
      <c r="AG75" s="6">
        <f t="shared" si="47"/>
        <v>334.55878623530003</v>
      </c>
      <c r="AH75" s="6">
        <f t="shared" si="47"/>
        <v>338.69464921220003</v>
      </c>
      <c r="AI75" s="6">
        <f t="shared" si="47"/>
        <v>342.88856802579994</v>
      </c>
      <c r="AJ75" s="6">
        <f t="shared" si="47"/>
        <v>347.14517605700001</v>
      </c>
      <c r="AK75" s="6">
        <f t="shared" si="47"/>
        <v>351.46763866470002</v>
      </c>
      <c r="AL75" s="6">
        <f t="shared" si="47"/>
        <v>355.8578916134</v>
      </c>
      <c r="AM75" s="6">
        <f t="shared" ref="AM75:BC75" si="48">SUM(AM76:AM78)</f>
        <v>360.2045208797</v>
      </c>
      <c r="AN75" s="6">
        <f t="shared" si="48"/>
        <v>364.57234076100008</v>
      </c>
      <c r="AO75" s="6">
        <f t="shared" si="48"/>
        <v>368.97893554440003</v>
      </c>
      <c r="AP75" s="6">
        <f t="shared" si="48"/>
        <v>373.43221171909994</v>
      </c>
      <c r="AQ75" s="6">
        <f t="shared" si="48"/>
        <v>377.9371266242</v>
      </c>
      <c r="AR75" s="6">
        <f t="shared" si="48"/>
        <v>382.49936652039997</v>
      </c>
      <c r="AS75" s="6">
        <f t="shared" si="48"/>
        <v>387.12078232350007</v>
      </c>
      <c r="AT75" s="6">
        <f t="shared" si="48"/>
        <v>391.80268855359998</v>
      </c>
      <c r="AU75" s="6">
        <f t="shared" si="48"/>
        <v>396.54580071039999</v>
      </c>
      <c r="AV75" s="6">
        <f t="shared" si="48"/>
        <v>401.35027141339998</v>
      </c>
      <c r="AW75" s="6">
        <f t="shared" si="48"/>
        <v>406.23522963409999</v>
      </c>
      <c r="AX75" s="6">
        <f t="shared" si="48"/>
        <v>411.19224291960001</v>
      </c>
      <c r="AY75" s="6">
        <f t="shared" si="48"/>
        <v>416.21839032650001</v>
      </c>
      <c r="AZ75" s="6">
        <f t="shared" si="48"/>
        <v>421.31193497929996</v>
      </c>
      <c r="BA75" s="6">
        <f t="shared" si="48"/>
        <v>426.47131463739998</v>
      </c>
      <c r="BB75" s="6">
        <f t="shared" si="48"/>
        <v>511.65276973030001</v>
      </c>
      <c r="BC75" s="6">
        <f t="shared" si="48"/>
        <v>520.10024065540006</v>
      </c>
      <c r="BD75" s="6">
        <f t="shared" ref="BD75:BF75" si="49">SUM(BD76:BD78)</f>
        <v>528.67209333389997</v>
      </c>
      <c r="BE75" s="6">
        <f t="shared" si="49"/>
        <v>537.37128591229998</v>
      </c>
      <c r="BF75" s="6">
        <f t="shared" si="49"/>
        <v>546.20085474270002</v>
      </c>
    </row>
    <row r="76" spans="1:58" x14ac:dyDescent="0.35">
      <c r="A76" s="8"/>
      <c r="B76" t="s">
        <v>50</v>
      </c>
      <c r="C76" s="5">
        <f>[1]Emissions!B826</f>
        <v>212.7986037</v>
      </c>
      <c r="D76" s="5">
        <f>[1]Emissions!C826</f>
        <v>213.84844390000001</v>
      </c>
      <c r="E76" s="5">
        <f>[1]Emissions!D826</f>
        <v>215.34234979999999</v>
      </c>
      <c r="F76" s="5">
        <f>[1]Emissions!E826</f>
        <v>217.14503669999999</v>
      </c>
      <c r="G76" s="5">
        <f>[1]Emissions!F826</f>
        <v>219.27029680000001</v>
      </c>
      <c r="H76" s="5">
        <f>[1]Emissions!G826</f>
        <v>221.71241169999999</v>
      </c>
      <c r="I76" s="5">
        <f>[1]Emissions!H826</f>
        <v>224.30343010000001</v>
      </c>
      <c r="J76" s="5">
        <f>[1]Emissions!I826</f>
        <v>227.07637410000001</v>
      </c>
      <c r="K76" s="5">
        <f>[1]Emissions!J826</f>
        <v>230.0085254</v>
      </c>
      <c r="L76" s="5">
        <f>[1]Emissions!K826</f>
        <v>233.068871</v>
      </c>
      <c r="M76" s="5">
        <f>[1]Emissions!L826</f>
        <v>236.1368895</v>
      </c>
      <c r="N76" s="5">
        <f>[1]Emissions!M826</f>
        <v>239.5705993</v>
      </c>
      <c r="O76" s="5">
        <f>[1]Emissions!N826</f>
        <v>243.1400979</v>
      </c>
      <c r="P76" s="5">
        <f>[1]Emissions!O826</f>
        <v>246.7983989</v>
      </c>
      <c r="Q76" s="5">
        <f>[1]Emissions!P826</f>
        <v>250.52725939999999</v>
      </c>
      <c r="R76" s="5">
        <f>[1]Emissions!Q826</f>
        <v>254.3135868</v>
      </c>
      <c r="S76" s="5">
        <f>[1]Emissions!R826</f>
        <v>258.14254690000001</v>
      </c>
      <c r="T76" s="5">
        <f>[1]Emissions!S826</f>
        <v>262.00666189999998</v>
      </c>
      <c r="U76" s="5">
        <f>[1]Emissions!T826</f>
        <v>265.90068609999997</v>
      </c>
      <c r="V76" s="5">
        <f>[1]Emissions!U826</f>
        <v>269.8213495</v>
      </c>
      <c r="W76" s="5">
        <f>[1]Emissions!V826</f>
        <v>273.5966646</v>
      </c>
      <c r="X76" s="5">
        <f>[1]Emissions!W826</f>
        <v>277.49166509999998</v>
      </c>
      <c r="Y76" s="5">
        <f>[1]Emissions!X826</f>
        <v>281.4405749</v>
      </c>
      <c r="Z76" s="5">
        <f>[1]Emissions!Y826</f>
        <v>285.4318882</v>
      </c>
      <c r="AA76" s="5">
        <f>[1]Emissions!Z826</f>
        <v>289.46516860000003</v>
      </c>
      <c r="AB76" s="5">
        <f>[1]Emissions!AA826</f>
        <v>293.05131849999998</v>
      </c>
      <c r="AC76" s="5">
        <f>[1]Emissions!AB826</f>
        <v>296.72274420000002</v>
      </c>
      <c r="AD76" s="5">
        <f>[1]Emissions!AC826</f>
        <v>300.41441680000003</v>
      </c>
      <c r="AE76" s="5">
        <f>[1]Emissions!AD826</f>
        <v>304.12445860000003</v>
      </c>
      <c r="AF76" s="5">
        <f>[1]Emissions!AE826</f>
        <v>307.8622292</v>
      </c>
      <c r="AG76" s="5">
        <f>[1]Emissions!AF826</f>
        <v>311.63765890000002</v>
      </c>
      <c r="AH76" s="5">
        <f>[1]Emissions!AG826</f>
        <v>315.46027120000002</v>
      </c>
      <c r="AI76" s="5">
        <f>[1]Emissions!AH826</f>
        <v>319.33633809999998</v>
      </c>
      <c r="AJ76" s="5">
        <f>[1]Emissions!AI826</f>
        <v>323.27047970000001</v>
      </c>
      <c r="AK76" s="5">
        <f>[1]Emissions!AJ826</f>
        <v>327.26590640000001</v>
      </c>
      <c r="AL76" s="5">
        <f>[1]Emissions!AK826</f>
        <v>331.32464490000001</v>
      </c>
      <c r="AM76" s="5">
        <f>[1]Emissions!AL826</f>
        <v>335.3415751</v>
      </c>
      <c r="AN76" s="5">
        <f>[1]Emissions!AM826</f>
        <v>339.37807400000003</v>
      </c>
      <c r="AO76" s="5">
        <f>[1]Emissions!AN826</f>
        <v>343.45099620000002</v>
      </c>
      <c r="AP76" s="5">
        <f>[1]Emissions!AO826</f>
        <v>347.56800399999997</v>
      </c>
      <c r="AQ76" s="5">
        <f>[1]Emissions!AP826</f>
        <v>351.7339197</v>
      </c>
      <c r="AR76" s="5">
        <f>[1]Emissions!AQ826</f>
        <v>355.95398599999999</v>
      </c>
      <c r="AS76" s="5">
        <f>[1]Emissions!AR826</f>
        <v>360.23015450000003</v>
      </c>
      <c r="AT76" s="5">
        <f>[1]Emissions!AS826</f>
        <v>364.56372640000001</v>
      </c>
      <c r="AU76" s="5">
        <f>[1]Emissions!AT826</f>
        <v>368.95540569999997</v>
      </c>
      <c r="AV76" s="5">
        <f>[1]Emissions!AU826</f>
        <v>373.40534689999998</v>
      </c>
      <c r="AW76" s="5">
        <f>[1]Emissions!AV826</f>
        <v>377.93072610000002</v>
      </c>
      <c r="AX76" s="5">
        <f>[1]Emissions!AW826</f>
        <v>382.524204</v>
      </c>
      <c r="AY76" s="5">
        <f>[1]Emissions!AX826</f>
        <v>387.18314959999998</v>
      </c>
      <c r="AZ76" s="5">
        <f>[1]Emissions!AY826</f>
        <v>391.90597559999998</v>
      </c>
      <c r="BA76" s="5">
        <f>[1]Emissions!AZ826</f>
        <v>396.69121460000002</v>
      </c>
      <c r="BB76" s="5">
        <f>[1]Emissions!BA826</f>
        <v>475.66387520000001</v>
      </c>
      <c r="BC76" s="5">
        <f>[1]Emissions!BB826</f>
        <v>483.47314180000001</v>
      </c>
      <c r="BD76" s="5">
        <f>[1]Emissions!BC826</f>
        <v>491.39786800000002</v>
      </c>
      <c r="BE76" s="5">
        <f>[1]Emissions!BD826</f>
        <v>499.44100100000003</v>
      </c>
      <c r="BF76" s="5">
        <f>[1]Emissions!BE826</f>
        <v>507.60555479999999</v>
      </c>
    </row>
    <row r="77" spans="1:58" x14ac:dyDescent="0.35">
      <c r="A77" s="8"/>
      <c r="B77" t="s">
        <v>51</v>
      </c>
      <c r="C77" s="5">
        <f>[1]Emissions!B827</f>
        <v>2.7080309E-2</v>
      </c>
      <c r="D77" s="5">
        <f>[1]Emissions!C827</f>
        <v>2.7140754499999999E-2</v>
      </c>
      <c r="E77" s="5">
        <f>[1]Emissions!D827</f>
        <v>2.7276463099999999E-2</v>
      </c>
      <c r="F77" s="5">
        <f>[1]Emissions!E827</f>
        <v>2.7478323700000001E-2</v>
      </c>
      <c r="G77" s="5">
        <f>[1]Emissions!F827</f>
        <v>2.7738583099999999E-2</v>
      </c>
      <c r="H77" s="5">
        <f>[1]Emissions!G827</f>
        <v>2.8047606199999998E-2</v>
      </c>
      <c r="I77" s="5">
        <f>[1]Emissions!H827</f>
        <v>2.8378829099999999E-2</v>
      </c>
      <c r="J77" s="5">
        <f>[1]Emissions!I827</f>
        <v>2.87339377E-2</v>
      </c>
      <c r="K77" s="5">
        <f>[1]Emissions!J827</f>
        <v>2.9108509000000001E-2</v>
      </c>
      <c r="L77" s="5">
        <f>[1]Emissions!K827</f>
        <v>2.94987297E-2</v>
      </c>
      <c r="M77" s="5">
        <f>[1]Emissions!L827</f>
        <v>2.9890318200000002E-2</v>
      </c>
      <c r="N77" s="5">
        <f>[1]Emissions!M827</f>
        <v>3.0332158500000001E-2</v>
      </c>
      <c r="O77" s="5">
        <f>[1]Emissions!N827</f>
        <v>3.0786863800000001E-2</v>
      </c>
      <c r="P77" s="5">
        <f>[1]Emissions!O827</f>
        <v>3.1250801699999997E-2</v>
      </c>
      <c r="Q77" s="5">
        <f>[1]Emissions!P827</f>
        <v>3.1722000700000003E-2</v>
      </c>
      <c r="R77" s="5">
        <f>[1]Emissions!Q827</f>
        <v>3.2199026899999997E-2</v>
      </c>
      <c r="S77" s="5">
        <f>[1]Emissions!R827</f>
        <v>3.2679117600000002E-2</v>
      </c>
      <c r="T77" s="5">
        <f>[1]Emissions!S827</f>
        <v>3.3162344099999998E-2</v>
      </c>
      <c r="U77" s="5">
        <f>[1]Emissions!T827</f>
        <v>3.3648268500000002E-2</v>
      </c>
      <c r="V77" s="5">
        <f>[1]Emissions!U827</f>
        <v>3.4136717099999998E-2</v>
      </c>
      <c r="W77" s="5">
        <f>[1]Emissions!V827</f>
        <v>3.4606660999999997E-2</v>
      </c>
      <c r="X77" s="5">
        <f>[1]Emissions!W827</f>
        <v>3.5090690899999999E-2</v>
      </c>
      <c r="Y77" s="5">
        <f>[1]Emissions!X827</f>
        <v>3.5580259500000003E-2</v>
      </c>
      <c r="Z77" s="5">
        <f>[1]Emissions!Y827</f>
        <v>3.6074965799999997E-2</v>
      </c>
      <c r="AA77" s="5">
        <f>[1]Emissions!Z827</f>
        <v>3.6574833000000001E-2</v>
      </c>
      <c r="AB77" s="5">
        <f>[1]Emissions!AA827</f>
        <v>3.7019761700000001E-2</v>
      </c>
      <c r="AC77" s="5">
        <f>[1]Emissions!AB827</f>
        <v>3.7474841000000002E-2</v>
      </c>
      <c r="AD77" s="5">
        <f>[1]Emissions!AC827</f>
        <v>3.7930032099999997E-2</v>
      </c>
      <c r="AE77" s="5">
        <f>[1]Emissions!AD827</f>
        <v>3.8386954000000001E-2</v>
      </c>
      <c r="AF77" s="5">
        <f>[1]Emissions!AE827</f>
        <v>3.8847381399999999E-2</v>
      </c>
      <c r="AG77" s="5">
        <f>[1]Emissions!AF827</f>
        <v>3.9312775299999998E-2</v>
      </c>
      <c r="AH77" s="5">
        <f>[1]Emissions!AG827</f>
        <v>3.9784702200000001E-2</v>
      </c>
      <c r="AI77" s="5">
        <f>[1]Emissions!AH827</f>
        <v>4.0263635800000003E-2</v>
      </c>
      <c r="AJ77" s="5">
        <f>[1]Emissions!AI827</f>
        <v>4.0749977E-2</v>
      </c>
      <c r="AK77" s="5">
        <f>[1]Emissions!AJ827</f>
        <v>4.12439047E-2</v>
      </c>
      <c r="AL77" s="5">
        <f>[1]Emissions!AK827</f>
        <v>4.1745463400000002E-2</v>
      </c>
      <c r="AM77" s="5">
        <f>[1]Emissions!AL827</f>
        <v>4.2245039700000001E-2</v>
      </c>
      <c r="AN77" s="5">
        <f>[1]Emissions!AM827</f>
        <v>4.2747740999999999E-2</v>
      </c>
      <c r="AO77" s="5">
        <f>[1]Emissions!AN827</f>
        <v>4.3254924399999999E-2</v>
      </c>
      <c r="AP77" s="5">
        <f>[1]Emissions!AO827</f>
        <v>4.3767339099999997E-2</v>
      </c>
      <c r="AQ77" s="5">
        <f>[1]Emissions!AP827</f>
        <v>4.4285584199999999E-2</v>
      </c>
      <c r="AR77" s="5">
        <f>[1]Emissions!AQ827</f>
        <v>4.4810980399999999E-2</v>
      </c>
      <c r="AS77" s="5">
        <f>[1]Emissions!AR827</f>
        <v>4.5343573499999998E-2</v>
      </c>
      <c r="AT77" s="5">
        <f>[1]Emissions!AS827</f>
        <v>4.5883623599999999E-2</v>
      </c>
      <c r="AU77" s="5">
        <f>[1]Emissions!AT827</f>
        <v>4.6431250399999999E-2</v>
      </c>
      <c r="AV77" s="5">
        <f>[1]Emissions!AU827</f>
        <v>4.6986483400000001E-2</v>
      </c>
      <c r="AW77" s="5">
        <f>[1]Emissions!AV827</f>
        <v>4.7553424099999998E-2</v>
      </c>
      <c r="AX77" s="5">
        <f>[1]Emissions!AW827</f>
        <v>4.8129969600000003E-2</v>
      </c>
      <c r="AY77" s="5">
        <f>[1]Emissions!AX827</f>
        <v>4.8715666499999997E-2</v>
      </c>
      <c r="AZ77" s="5">
        <f>[1]Emissions!AY827</f>
        <v>4.9310009299999999E-2</v>
      </c>
      <c r="BA77" s="5">
        <f>[1]Emissions!AZ827</f>
        <v>4.9912557400000002E-2</v>
      </c>
      <c r="BB77" s="5">
        <f>[1]Emissions!BA827</f>
        <v>6.0330790299999999E-2</v>
      </c>
      <c r="BC77" s="5">
        <f>[1]Emissions!BB827</f>
        <v>6.1318025399999997E-2</v>
      </c>
      <c r="BD77" s="5">
        <f>[1]Emissions!BC827</f>
        <v>6.2321753899999999E-2</v>
      </c>
      <c r="BE77" s="5">
        <f>[1]Emissions!BD827</f>
        <v>6.3342322300000004E-2</v>
      </c>
      <c r="BF77" s="5">
        <f>[1]Emissions!BE827</f>
        <v>6.4380092700000002E-2</v>
      </c>
    </row>
    <row r="78" spans="1:58" x14ac:dyDescent="0.35">
      <c r="B78" t="s">
        <v>52</v>
      </c>
      <c r="C78" s="5">
        <f>[1]Emissions!B828</f>
        <v>15.07815776</v>
      </c>
      <c r="D78" s="5">
        <f>[1]Emissions!C828</f>
        <v>15.20067755</v>
      </c>
      <c r="E78" s="5">
        <f>[1]Emissions!D828</f>
        <v>15.36531611</v>
      </c>
      <c r="F78" s="5">
        <f>[1]Emissions!E828</f>
        <v>15.553724839999999</v>
      </c>
      <c r="G78" s="5">
        <f>[1]Emissions!F828</f>
        <v>15.759707130000001</v>
      </c>
      <c r="H78" s="5">
        <f>[1]Emissions!G828</f>
        <v>15.979472380000001</v>
      </c>
      <c r="I78" s="5">
        <f>[1]Emissions!H828</f>
        <v>16.200833039999999</v>
      </c>
      <c r="J78" s="5">
        <f>[1]Emissions!I828</f>
        <v>16.42728705</v>
      </c>
      <c r="K78" s="5">
        <f>[1]Emissions!J828</f>
        <v>16.65879095</v>
      </c>
      <c r="L78" s="5">
        <f>[1]Emissions!K828</f>
        <v>16.894920089999999</v>
      </c>
      <c r="M78" s="5">
        <f>[1]Emissions!L828</f>
        <v>17.137010650000001</v>
      </c>
      <c r="N78" s="5">
        <f>[1]Emissions!M828</f>
        <v>17.39192899</v>
      </c>
      <c r="O78" s="5">
        <f>[1]Emissions!N828</f>
        <v>17.653716299999999</v>
      </c>
      <c r="P78" s="5">
        <f>[1]Emissions!O828</f>
        <v>17.920502070000001</v>
      </c>
      <c r="Q78" s="5">
        <f>[1]Emissions!P828</f>
        <v>18.191578969999998</v>
      </c>
      <c r="R78" s="5">
        <f>[1]Emissions!Q828</f>
        <v>18.466667380000001</v>
      </c>
      <c r="S78" s="5">
        <f>[1]Emissions!R828</f>
        <v>18.744998389999999</v>
      </c>
      <c r="T78" s="5">
        <f>[1]Emissions!S828</f>
        <v>19.02700858</v>
      </c>
      <c r="U78" s="5">
        <f>[1]Emissions!T828</f>
        <v>19.312898860000001</v>
      </c>
      <c r="V78" s="5">
        <f>[1]Emissions!U828</f>
        <v>19.602853929999998</v>
      </c>
      <c r="W78" s="5">
        <f>[1]Emissions!V828</f>
        <v>19.885306409999998</v>
      </c>
      <c r="X78" s="5">
        <f>[1]Emissions!W828</f>
        <v>20.179127430000001</v>
      </c>
      <c r="Y78" s="5">
        <f>[1]Emissions!X828</f>
        <v>20.47931887</v>
      </c>
      <c r="Z78" s="5">
        <f>[1]Emissions!Y828</f>
        <v>20.785134899999999</v>
      </c>
      <c r="AA78" s="5">
        <f>[1]Emissions!Z828</f>
        <v>21.096503290000001</v>
      </c>
      <c r="AB78" s="5">
        <f>[1]Emissions!AA828</f>
        <v>21.37960108</v>
      </c>
      <c r="AC78" s="5">
        <f>[1]Emissions!AB828</f>
        <v>21.672471130000002</v>
      </c>
      <c r="AD78" s="5">
        <f>[1]Emissions!AC828</f>
        <v>21.96925658</v>
      </c>
      <c r="AE78" s="5">
        <f>[1]Emissions!AD828</f>
        <v>22.269534360000002</v>
      </c>
      <c r="AF78" s="5">
        <f>[1]Emissions!AE828</f>
        <v>22.573610599999999</v>
      </c>
      <c r="AG78" s="5">
        <f>[1]Emissions!AF828</f>
        <v>22.881814559999999</v>
      </c>
      <c r="AH78" s="5">
        <f>[1]Emissions!AG828</f>
        <v>23.194593309999998</v>
      </c>
      <c r="AI78" s="5">
        <f>[1]Emissions!AH828</f>
        <v>23.51196629</v>
      </c>
      <c r="AJ78" s="5">
        <f>[1]Emissions!AI828</f>
        <v>23.83394638</v>
      </c>
      <c r="AK78" s="5">
        <f>[1]Emissions!AJ828</f>
        <v>24.160488359999999</v>
      </c>
      <c r="AL78" s="5">
        <f>[1]Emissions!AK828</f>
        <v>24.491501249999999</v>
      </c>
      <c r="AM78" s="5">
        <f>[1]Emissions!AL828</f>
        <v>24.820700739999999</v>
      </c>
      <c r="AN78" s="5">
        <f>[1]Emissions!AM828</f>
        <v>25.151519019999999</v>
      </c>
      <c r="AO78" s="5">
        <f>[1]Emissions!AN828</f>
        <v>25.484684420000001</v>
      </c>
      <c r="AP78" s="5">
        <f>[1]Emissions!AO828</f>
        <v>25.820440380000001</v>
      </c>
      <c r="AQ78" s="5">
        <f>[1]Emissions!AP828</f>
        <v>26.158921339999999</v>
      </c>
      <c r="AR78" s="5">
        <f>[1]Emissions!AQ828</f>
        <v>26.500569540000001</v>
      </c>
      <c r="AS78" s="5">
        <f>[1]Emissions!AR828</f>
        <v>26.845284249999999</v>
      </c>
      <c r="AT78" s="5">
        <f>[1]Emissions!AS828</f>
        <v>27.193078530000001</v>
      </c>
      <c r="AU78" s="5">
        <f>[1]Emissions!AT828</f>
        <v>27.54396376</v>
      </c>
      <c r="AV78" s="5">
        <f>[1]Emissions!AU828</f>
        <v>27.897938029999999</v>
      </c>
      <c r="AW78" s="5">
        <f>[1]Emissions!AV828</f>
        <v>28.256950109999998</v>
      </c>
      <c r="AX78" s="5">
        <f>[1]Emissions!AW828</f>
        <v>28.619908949999999</v>
      </c>
      <c r="AY78" s="5">
        <f>[1]Emissions!AX828</f>
        <v>28.986525060000002</v>
      </c>
      <c r="AZ78" s="5">
        <f>[1]Emissions!AY828</f>
        <v>29.35664937</v>
      </c>
      <c r="BA78" s="5">
        <f>[1]Emissions!AZ828</f>
        <v>29.730187480000001</v>
      </c>
      <c r="BB78" s="5">
        <f>[1]Emissions!BA828</f>
        <v>35.928563740000001</v>
      </c>
      <c r="BC78" s="5">
        <f>[1]Emissions!BB828</f>
        <v>36.565780830000001</v>
      </c>
      <c r="BD78" s="5">
        <f>[1]Emissions!BC828</f>
        <v>37.211903579999998</v>
      </c>
      <c r="BE78" s="5">
        <f>[1]Emissions!BD828</f>
        <v>37.866942590000001</v>
      </c>
      <c r="BF78" s="5">
        <f>[1]Emissions!BE828</f>
        <v>38.530919849999997</v>
      </c>
    </row>
    <row r="79" spans="1:58" x14ac:dyDescent="0.35">
      <c r="B79" t="s">
        <v>13</v>
      </c>
      <c r="C79" s="6">
        <f>[1]Results!F1551</f>
        <v>1969443.8570000001</v>
      </c>
      <c r="D79" s="6">
        <f>[1]Results!G1551</f>
        <v>1994425.953</v>
      </c>
      <c r="E79" s="6">
        <f>[1]Results!H1551</f>
        <v>2022137.4</v>
      </c>
      <c r="F79" s="6">
        <f>[1]Results!I1551</f>
        <v>2051600.6240000001</v>
      </c>
      <c r="G79" s="6">
        <f>[1]Results!J1551</f>
        <v>2082683.2790000001</v>
      </c>
      <c r="H79" s="6">
        <f>[1]Results!K1551</f>
        <v>2115213.7659999998</v>
      </c>
      <c r="I79" s="6">
        <f>[1]Results!L1551</f>
        <v>2147570.3930000002</v>
      </c>
      <c r="J79" s="6">
        <f>[1]Results!M1551</f>
        <v>2180707.344</v>
      </c>
      <c r="K79" s="6">
        <f>[1]Results!N1551</f>
        <v>2214571.2039999999</v>
      </c>
      <c r="L79" s="6">
        <f>[1]Results!O1551</f>
        <v>2249123.054</v>
      </c>
      <c r="M79" s="6">
        <f>[1]Results!P1551</f>
        <v>2286889.034</v>
      </c>
      <c r="N79" s="6">
        <f>[1]Results!Q1551</f>
        <v>2323348.554</v>
      </c>
      <c r="O79" s="6">
        <f>[1]Results!R1551</f>
        <v>2360285.31</v>
      </c>
      <c r="P79" s="6">
        <f>[1]Results!S1551</f>
        <v>2397668.4300000002</v>
      </c>
      <c r="Q79" s="6">
        <f>[1]Results!T1551</f>
        <v>2435493.202</v>
      </c>
      <c r="R79" s="6">
        <f>[1]Results!U1551</f>
        <v>2473767.162</v>
      </c>
      <c r="S79" s="6">
        <f>[1]Results!V1551</f>
        <v>2512506.375</v>
      </c>
      <c r="T79" s="6">
        <f>[1]Results!W1551</f>
        <v>2551732.33</v>
      </c>
      <c r="U79" s="6">
        <f>[1]Results!X1551</f>
        <v>2591469.1290000002</v>
      </c>
      <c r="V79" s="6">
        <f>[1]Results!Y1551</f>
        <v>2631741.3620000002</v>
      </c>
      <c r="W79" s="6">
        <f>[1]Results!Z1551</f>
        <v>2670666.4240000001</v>
      </c>
      <c r="X79" s="6">
        <f>[1]Results!AA1551</f>
        <v>2711601.949</v>
      </c>
      <c r="Y79" s="6">
        <f>[1]Results!AB1551</f>
        <v>2753225.2340000002</v>
      </c>
      <c r="Z79" s="6">
        <f>[1]Results!AC1551</f>
        <v>2795561.6460000002</v>
      </c>
      <c r="AA79" s="6">
        <f>[1]Results!AD1551</f>
        <v>2838619.165</v>
      </c>
      <c r="AB79" s="6">
        <f>[1]Results!AE1551</f>
        <v>2876883.2220000001</v>
      </c>
      <c r="AC79" s="6">
        <f>[1]Results!AF1551</f>
        <v>2917378.7560000001</v>
      </c>
      <c r="AD79" s="6">
        <f>[1]Results!AG1551</f>
        <v>2958149.449</v>
      </c>
      <c r="AE79" s="6">
        <f>[1]Results!AH1551</f>
        <v>2999322.642</v>
      </c>
      <c r="AF79" s="6">
        <f>[1]Results!AI1551</f>
        <v>3040991.0210000002</v>
      </c>
      <c r="AG79" s="6">
        <f>[1]Results!AJ1551</f>
        <v>3083223.8769999999</v>
      </c>
      <c r="AH79" s="6">
        <f>[1]Results!AK1551</f>
        <v>3126069.2740000002</v>
      </c>
      <c r="AI79" s="6">
        <f>[1]Results!AL1551</f>
        <v>3169557.128</v>
      </c>
      <c r="AJ79" s="6">
        <f>[1]Results!AM1551</f>
        <v>3213703.3280000002</v>
      </c>
      <c r="AK79" s="6">
        <f>[1]Results!AN1551</f>
        <v>3258513.9890000001</v>
      </c>
      <c r="AL79" s="6">
        <f>[1]Results!AO1551</f>
        <v>3303989.219</v>
      </c>
      <c r="AM79" s="6">
        <f>[1]Results!AP1551</f>
        <v>3348785.355</v>
      </c>
      <c r="AN79" s="6">
        <f>[1]Results!AQ1551</f>
        <v>3393886.6170000001</v>
      </c>
      <c r="AO79" s="6">
        <f>[1]Results!AR1551</f>
        <v>3439346.0929999999</v>
      </c>
      <c r="AP79" s="6">
        <f>[1]Results!AS1551</f>
        <v>3485223.463</v>
      </c>
      <c r="AQ79" s="6">
        <f>[1]Results!AT1551</f>
        <v>3531574.017</v>
      </c>
      <c r="AR79" s="6">
        <f>[1]Results!AU1551</f>
        <v>3578445.4419999998</v>
      </c>
      <c r="AS79" s="6">
        <f>[1]Results!AV1551</f>
        <v>3625876.5780000002</v>
      </c>
      <c r="AT79" s="6">
        <f>[1]Results!AW1551</f>
        <v>3673897.4980000001</v>
      </c>
      <c r="AU79" s="6">
        <f>[1]Results!AX1551</f>
        <v>3722530.5559999999</v>
      </c>
      <c r="AV79" s="6">
        <f>[1]Results!AY1551</f>
        <v>3771792.0430000001</v>
      </c>
      <c r="AW79" s="6">
        <f>[1]Results!AZ1551</f>
        <v>3821815.9789999998</v>
      </c>
      <c r="AX79" s="6">
        <f>[1]Results!BA1551</f>
        <v>3872521.5959999999</v>
      </c>
      <c r="AY79" s="6">
        <f>[1]Results!BB1551</f>
        <v>3923912.3969999999</v>
      </c>
      <c r="AZ79" s="6">
        <f>[1]Results!BC1551</f>
        <v>3975989.0070000002</v>
      </c>
      <c r="BA79" s="6">
        <f>[1]Results!BD1551</f>
        <v>4028752.8330000001</v>
      </c>
      <c r="BB79" s="6">
        <f>[1]Results!BE1551</f>
        <v>4443934.8679999998</v>
      </c>
      <c r="BC79" s="6">
        <f>[1]Results!BF1551</f>
        <v>4518812.6409999998</v>
      </c>
      <c r="BD79" s="6">
        <f>[1]Results!BG1551</f>
        <v>4594869.43</v>
      </c>
      <c r="BE79" s="6">
        <f>[1]Results!BH1551</f>
        <v>4672125.4069999997</v>
      </c>
      <c r="BF79" s="6">
        <f>[1]Results!BI1551</f>
        <v>4750601.8959999997</v>
      </c>
    </row>
    <row r="80" spans="1:58" x14ac:dyDescent="0.35"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6"/>
      <c r="BB80" s="6"/>
      <c r="BC80" s="6"/>
      <c r="BD80" s="6"/>
      <c r="BE80" s="6"/>
      <c r="BF80" s="6"/>
    </row>
    <row r="81" spans="1:58" x14ac:dyDescent="0.35">
      <c r="A81" s="12" t="s">
        <v>78</v>
      </c>
      <c r="B81" t="s">
        <v>13</v>
      </c>
      <c r="C81" s="6">
        <f>[1]Results!F1551</f>
        <v>1969443.8570000001</v>
      </c>
      <c r="D81" s="6">
        <f>[1]Results!G1551</f>
        <v>1994425.953</v>
      </c>
      <c r="E81" s="6">
        <f>[1]Results!H1551</f>
        <v>2022137.4</v>
      </c>
      <c r="F81" s="6">
        <f>[1]Results!I1551</f>
        <v>2051600.6240000001</v>
      </c>
      <c r="G81" s="6">
        <f>[1]Results!J1551</f>
        <v>2082683.2790000001</v>
      </c>
      <c r="H81" s="6">
        <f>[1]Results!K1551</f>
        <v>2115213.7659999998</v>
      </c>
      <c r="I81" s="6">
        <f>[1]Results!L1551</f>
        <v>2147570.3930000002</v>
      </c>
      <c r="J81" s="6">
        <f>[1]Results!M1551</f>
        <v>2180707.344</v>
      </c>
      <c r="K81" s="6">
        <f>[1]Results!N1551</f>
        <v>2214571.2039999999</v>
      </c>
      <c r="L81" s="6">
        <f>[1]Results!O1551</f>
        <v>2249123.054</v>
      </c>
      <c r="M81" s="6">
        <f>[1]Results!P1551</f>
        <v>2286889.034</v>
      </c>
      <c r="N81" s="6">
        <f>[1]Results!Q1551</f>
        <v>2323348.554</v>
      </c>
      <c r="O81" s="6">
        <f>[1]Results!R1551</f>
        <v>2360285.31</v>
      </c>
      <c r="P81" s="6">
        <f>[1]Results!S1551</f>
        <v>2397668.4300000002</v>
      </c>
      <c r="Q81" s="6">
        <f>[1]Results!T1551</f>
        <v>2435493.202</v>
      </c>
      <c r="R81" s="6">
        <f>[1]Results!U1551</f>
        <v>2473767.162</v>
      </c>
      <c r="S81" s="6">
        <f>[1]Results!V1551</f>
        <v>2512506.375</v>
      </c>
      <c r="T81" s="6">
        <f>[1]Results!W1551</f>
        <v>2551732.33</v>
      </c>
      <c r="U81" s="6">
        <f>[1]Results!X1551</f>
        <v>2591469.1290000002</v>
      </c>
      <c r="V81" s="6">
        <f>[1]Results!Y1551</f>
        <v>2631741.3620000002</v>
      </c>
      <c r="W81" s="6">
        <f>[1]Results!Z1551</f>
        <v>2670666.4240000001</v>
      </c>
      <c r="X81" s="6">
        <f>[1]Results!AA1551</f>
        <v>2711601.949</v>
      </c>
      <c r="Y81" s="6">
        <f>[1]Results!AB1551</f>
        <v>2753225.2340000002</v>
      </c>
      <c r="Z81" s="6">
        <f>[1]Results!AC1551</f>
        <v>2795561.6460000002</v>
      </c>
      <c r="AA81" s="6">
        <f>[1]Results!AD1551</f>
        <v>2838619.165</v>
      </c>
      <c r="AB81" s="6">
        <f>[1]Results!AE1551</f>
        <v>2876883.2220000001</v>
      </c>
      <c r="AC81" s="6">
        <f>[1]Results!AF1551</f>
        <v>2917378.7560000001</v>
      </c>
      <c r="AD81" s="6">
        <f>[1]Results!AG1551</f>
        <v>2958149.449</v>
      </c>
      <c r="AE81" s="6">
        <f>[1]Results!AH1551</f>
        <v>2999322.642</v>
      </c>
      <c r="AF81" s="6">
        <f>[1]Results!AI1551</f>
        <v>3040991.0210000002</v>
      </c>
      <c r="AG81" s="6">
        <f>[1]Results!AJ1551</f>
        <v>3083223.8769999999</v>
      </c>
      <c r="AH81" s="6">
        <f>[1]Results!AK1551</f>
        <v>3126069.2740000002</v>
      </c>
      <c r="AI81" s="6">
        <f>[1]Results!AL1551</f>
        <v>3169557.128</v>
      </c>
      <c r="AJ81" s="6">
        <f>[1]Results!AM1551</f>
        <v>3213703.3280000002</v>
      </c>
      <c r="AK81" s="6">
        <f>[1]Results!AN1551</f>
        <v>3258513.9890000001</v>
      </c>
      <c r="AL81" s="6">
        <f>[1]Results!AO1551</f>
        <v>3303989.219</v>
      </c>
      <c r="AM81" s="6">
        <f>[1]Results!AP1551</f>
        <v>3348785.355</v>
      </c>
      <c r="AN81" s="6">
        <f>[1]Results!AQ1551</f>
        <v>3393886.6170000001</v>
      </c>
      <c r="AO81" s="6">
        <f>[1]Results!AR1551</f>
        <v>3439346.0929999999</v>
      </c>
      <c r="AP81" s="6">
        <f>[1]Results!AS1551</f>
        <v>3485223.463</v>
      </c>
      <c r="AQ81" s="6">
        <f>[1]Results!AT1551</f>
        <v>3531574.017</v>
      </c>
      <c r="AR81" s="6">
        <f>[1]Results!AU1551</f>
        <v>3578445.4419999998</v>
      </c>
      <c r="AS81" s="6">
        <f>[1]Results!AV1551</f>
        <v>3625876.5780000002</v>
      </c>
      <c r="AT81" s="6">
        <f>[1]Results!AW1551</f>
        <v>3673897.4980000001</v>
      </c>
      <c r="AU81" s="6">
        <f>[1]Results!AX1551</f>
        <v>3722530.5559999999</v>
      </c>
      <c r="AV81" s="6">
        <f>[1]Results!AY1551</f>
        <v>3771792.0430000001</v>
      </c>
      <c r="AW81" s="6">
        <f>[1]Results!AZ1551</f>
        <v>3821815.9789999998</v>
      </c>
      <c r="AX81" s="6">
        <f>[1]Results!BA1551</f>
        <v>3872521.5959999999</v>
      </c>
      <c r="AY81" s="6">
        <f>[1]Results!BB1551</f>
        <v>3923912.3969999999</v>
      </c>
      <c r="AZ81" s="6">
        <f>[1]Results!BC1551</f>
        <v>3975989.0070000002</v>
      </c>
      <c r="BA81" s="6">
        <f>[1]Results!BD1551</f>
        <v>4028752.8330000001</v>
      </c>
      <c r="BB81" s="6">
        <f>[1]Results!BE1551</f>
        <v>4443934.8679999998</v>
      </c>
      <c r="BC81" s="6">
        <f>[1]Results!BF1551</f>
        <v>4518812.6409999998</v>
      </c>
      <c r="BD81" s="6">
        <f>[1]Results!BG1551</f>
        <v>4594869.43</v>
      </c>
      <c r="BE81" s="6">
        <f>[1]Results!BH1551</f>
        <v>4672125.4069999997</v>
      </c>
      <c r="BF81" s="6">
        <f>[1]Results!BI1551</f>
        <v>4750601.8959999997</v>
      </c>
    </row>
    <row r="82" spans="1:58" x14ac:dyDescent="0.35">
      <c r="A82" t="s">
        <v>38</v>
      </c>
      <c r="B82" t="s">
        <v>7</v>
      </c>
      <c r="C82" s="6">
        <f>[1]Results!F1552</f>
        <v>36136.789320000003</v>
      </c>
      <c r="D82" s="6">
        <f>[1]Results!G1552</f>
        <v>36370.171040000001</v>
      </c>
      <c r="E82" s="6">
        <f>[1]Results!H1552</f>
        <v>36676.61982</v>
      </c>
      <c r="F82" s="6">
        <f>[1]Results!I1552</f>
        <v>37037.658790000001</v>
      </c>
      <c r="G82" s="6">
        <f>[1]Results!J1552</f>
        <v>37448.082130000003</v>
      </c>
      <c r="H82" s="6">
        <f>[1]Results!K1552</f>
        <v>37903.64273</v>
      </c>
      <c r="I82" s="6">
        <f>[1]Results!L1552</f>
        <v>38374.08582</v>
      </c>
      <c r="J82" s="6">
        <f>[1]Results!M1552</f>
        <v>38869.8338</v>
      </c>
      <c r="K82" s="6">
        <f>[1]Results!N1552</f>
        <v>39386.631560000002</v>
      </c>
      <c r="L82" s="6">
        <f>[1]Results!O1552</f>
        <v>39921.072679999997</v>
      </c>
      <c r="M82" s="6">
        <f>[1]Results!P1552</f>
        <v>40512.812409999999</v>
      </c>
      <c r="N82" s="6">
        <f>[1]Results!Q1552</f>
        <v>41088.014230000001</v>
      </c>
      <c r="O82" s="6">
        <f>[1]Results!R1552</f>
        <v>41671.936750000001</v>
      </c>
      <c r="P82" s="6">
        <f>[1]Results!S1552</f>
        <v>42263.200120000001</v>
      </c>
      <c r="Q82" s="6">
        <f>[1]Results!T1552</f>
        <v>42861.130899999996</v>
      </c>
      <c r="R82" s="6">
        <f>[1]Results!U1552</f>
        <v>43465.496169999999</v>
      </c>
      <c r="S82" s="6">
        <f>[1]Results!V1552</f>
        <v>44076.359750000003</v>
      </c>
      <c r="T82" s="6">
        <f>[1]Results!W1552</f>
        <v>44693.977780000001</v>
      </c>
      <c r="U82" s="6">
        <f>[1]Results!X1552</f>
        <v>45318.718659999999</v>
      </c>
      <c r="V82" s="6">
        <f>[1]Results!Y1552</f>
        <v>45951.005770000003</v>
      </c>
      <c r="W82" s="6">
        <f>[1]Results!Z1552</f>
        <v>46560.019480000003</v>
      </c>
      <c r="X82" s="6">
        <f>[1]Results!AA1552</f>
        <v>47199.146540000002</v>
      </c>
      <c r="Y82" s="6">
        <f>[1]Results!AB1552</f>
        <v>47849.032859999999</v>
      </c>
      <c r="Z82" s="6">
        <f>[1]Results!AC1552</f>
        <v>48510.222569999998</v>
      </c>
      <c r="AA82" s="6">
        <f>[1]Results!AD1552</f>
        <v>49182.920579999998</v>
      </c>
      <c r="AB82" s="6">
        <f>[1]Results!AE1552</f>
        <v>49777.0504</v>
      </c>
      <c r="AC82" s="6">
        <f>[1]Results!AF1552</f>
        <v>50402.413419999997</v>
      </c>
      <c r="AD82" s="6">
        <f>[1]Results!AG1552</f>
        <v>51031.139439999999</v>
      </c>
      <c r="AE82" s="6">
        <f>[1]Results!AH1552</f>
        <v>51666.10067</v>
      </c>
      <c r="AF82" s="6">
        <f>[1]Results!AI1552</f>
        <v>52309.482660000001</v>
      </c>
      <c r="AG82" s="6">
        <f>[1]Results!AJ1552</f>
        <v>52962.897709999997</v>
      </c>
      <c r="AH82" s="6">
        <f>[1]Results!AK1552</f>
        <v>53627.459260000003</v>
      </c>
      <c r="AI82" s="6">
        <f>[1]Results!AL1552</f>
        <v>54303.870199999998</v>
      </c>
      <c r="AJ82" s="6">
        <f>[1]Results!AM1552</f>
        <v>54992.521159999997</v>
      </c>
      <c r="AK82" s="6">
        <f>[1]Results!AN1552</f>
        <v>55693.585220000001</v>
      </c>
      <c r="AL82" s="6">
        <f>[1]Results!AO1552</f>
        <v>56407.098879999998</v>
      </c>
      <c r="AM82" s="6">
        <f>[1]Results!AP1552</f>
        <v>57111.258549999999</v>
      </c>
      <c r="AN82" s="6">
        <f>[1]Results!AQ1552</f>
        <v>57820.870499999997</v>
      </c>
      <c r="AO82" s="6">
        <f>[1]Results!AR1552</f>
        <v>58537.104090000001</v>
      </c>
      <c r="AP82" s="6">
        <f>[1]Results!AS1552</f>
        <v>59261.272140000001</v>
      </c>
      <c r="AQ82" s="6">
        <f>[1]Results!AT1552</f>
        <v>59994.601900000001</v>
      </c>
      <c r="AR82" s="6">
        <f>[1]Results!AU1552</f>
        <v>60738.139089999997</v>
      </c>
      <c r="AS82" s="6">
        <f>[1]Results!AV1552</f>
        <v>61492.713629999998</v>
      </c>
      <c r="AT82" s="6">
        <f>[1]Results!AW1552</f>
        <v>62258.93881</v>
      </c>
      <c r="AU82" s="6">
        <f>[1]Results!AX1552</f>
        <v>63037.228410000003</v>
      </c>
      <c r="AV82" s="6">
        <f>[1]Results!AY1552</f>
        <v>63827.804239999998</v>
      </c>
      <c r="AW82" s="6">
        <f>[1]Results!AZ1552</f>
        <v>64632.531929999997</v>
      </c>
      <c r="AX82" s="6">
        <f>[1]Results!BA1552</f>
        <v>65450.165650000003</v>
      </c>
      <c r="AY82" s="6">
        <f>[1]Results!BB1552</f>
        <v>66280.791060000003</v>
      </c>
      <c r="AZ82" s="6">
        <f>[1]Results!BC1552</f>
        <v>67124.418229999996</v>
      </c>
      <c r="BA82" s="6">
        <f>[1]Results!BD1552</f>
        <v>67981.054459999999</v>
      </c>
      <c r="BB82" s="6">
        <f>[1]Results!BE1552</f>
        <v>73673.009269999995</v>
      </c>
      <c r="BC82" s="6">
        <f>[1]Results!BF1552</f>
        <v>74830.096340000004</v>
      </c>
      <c r="BD82" s="6">
        <f>[1]Results!BG1552</f>
        <v>76006.871119999996</v>
      </c>
      <c r="BE82" s="6">
        <f>[1]Results!BH1552</f>
        <v>77203.811189999993</v>
      </c>
      <c r="BF82" s="6">
        <f>[1]Results!BI1552</f>
        <v>78421.397010000001</v>
      </c>
    </row>
    <row r="83" spans="1:58" x14ac:dyDescent="0.35">
      <c r="B83" t="s">
        <v>30</v>
      </c>
      <c r="C83" s="6">
        <f>[1]Results!F1555</f>
        <v>332226.51280000003</v>
      </c>
      <c r="D83" s="6">
        <f>[1]Results!G1555</f>
        <v>336606.99489999999</v>
      </c>
      <c r="E83" s="6">
        <f>[1]Results!H1555</f>
        <v>341544.85859999998</v>
      </c>
      <c r="F83" s="6">
        <f>[1]Results!I1555</f>
        <v>346740.18339999998</v>
      </c>
      <c r="G83" s="6">
        <f>[1]Results!J1555</f>
        <v>352165.58</v>
      </c>
      <c r="H83" s="6">
        <f>[1]Results!K1555</f>
        <v>357796.63419999997</v>
      </c>
      <c r="I83" s="6">
        <f>[1]Results!L1555</f>
        <v>363368.59950000001</v>
      </c>
      <c r="J83" s="6">
        <f>[1]Results!M1555</f>
        <v>369072.96120000002</v>
      </c>
      <c r="K83" s="6">
        <f>[1]Results!N1555</f>
        <v>374895.6557</v>
      </c>
      <c r="L83" s="6">
        <f>[1]Results!O1555</f>
        <v>380835.71769999998</v>
      </c>
      <c r="M83" s="6">
        <f>[1]Results!P1555</f>
        <v>387326.41119999997</v>
      </c>
      <c r="N83" s="6">
        <f>[1]Results!Q1555</f>
        <v>393574.64669999998</v>
      </c>
      <c r="O83" s="6">
        <f>[1]Results!R1555</f>
        <v>399948.45549999998</v>
      </c>
      <c r="P83" s="6">
        <f>[1]Results!S1555</f>
        <v>406425.71789999999</v>
      </c>
      <c r="Q83" s="6">
        <f>[1]Results!T1555</f>
        <v>413005.64539999998</v>
      </c>
      <c r="R83" s="6">
        <f>[1]Results!U1555</f>
        <v>419691.25290000002</v>
      </c>
      <c r="S83" s="6">
        <f>[1]Results!V1555</f>
        <v>426486.68239999999</v>
      </c>
      <c r="T83" s="6">
        <f>[1]Results!W1555</f>
        <v>433396.538</v>
      </c>
      <c r="U83" s="6">
        <f>[1]Results!X1555</f>
        <v>440425.4804</v>
      </c>
      <c r="V83" s="6">
        <f>[1]Results!Y1555</f>
        <v>447577.91080000001</v>
      </c>
      <c r="W83" s="6">
        <f>[1]Results!Z1555</f>
        <v>454535.58990000002</v>
      </c>
      <c r="X83" s="6">
        <f>[1]Results!AA1555</f>
        <v>461889.86119999998</v>
      </c>
      <c r="Y83" s="6">
        <f>[1]Results!AB1555</f>
        <v>469371.174</v>
      </c>
      <c r="Z83" s="6">
        <f>[1]Results!AC1555</f>
        <v>476998.03169999999</v>
      </c>
      <c r="AA83" s="6">
        <f>[1]Results!AD1555</f>
        <v>484772.78639999998</v>
      </c>
      <c r="AB83" s="6">
        <f>[1]Results!AE1555</f>
        <v>491762.09639999998</v>
      </c>
      <c r="AC83" s="6">
        <f>[1]Results!AF1555</f>
        <v>499220.90980000002</v>
      </c>
      <c r="AD83" s="6">
        <f>[1]Results!AG1555</f>
        <v>506720.10590000002</v>
      </c>
      <c r="AE83" s="6">
        <f>[1]Results!AH1555</f>
        <v>514295.06510000001</v>
      </c>
      <c r="AF83" s="6">
        <f>[1]Results!AI1555</f>
        <v>521958.47859999997</v>
      </c>
      <c r="AG83" s="6">
        <f>[1]Results!AJ1555</f>
        <v>529717.30240000004</v>
      </c>
      <c r="AH83" s="6">
        <f>[1]Results!AK1555</f>
        <v>537575.30599999998</v>
      </c>
      <c r="AI83" s="6">
        <f>[1]Results!AL1555</f>
        <v>545533.7611</v>
      </c>
      <c r="AJ83" s="6">
        <f>[1]Results!AM1555</f>
        <v>553592.01529999997</v>
      </c>
      <c r="AK83" s="6">
        <f>[1]Results!AN1555</f>
        <v>561748.09380000003</v>
      </c>
      <c r="AL83" s="6">
        <f>[1]Results!AO1555</f>
        <v>569999.26410000003</v>
      </c>
      <c r="AM83" s="6">
        <f>[1]Results!AP1555</f>
        <v>578115.05310000002</v>
      </c>
      <c r="AN83" s="6">
        <f>[1]Results!AQ1555</f>
        <v>586276.22790000006</v>
      </c>
      <c r="AO83" s="6">
        <f>[1]Results!AR1555</f>
        <v>594475.22320000001</v>
      </c>
      <c r="AP83" s="6">
        <f>[1]Results!AS1555</f>
        <v>602716.46869999997</v>
      </c>
      <c r="AQ83" s="6">
        <f>[1]Results!AT1555</f>
        <v>611005.60129999998</v>
      </c>
      <c r="AR83" s="6">
        <f>[1]Results!AU1555</f>
        <v>619347.76569999999</v>
      </c>
      <c r="AS83" s="6">
        <f>[1]Results!AV1555</f>
        <v>627747.29590000003</v>
      </c>
      <c r="AT83" s="6">
        <f>[1]Results!AW1555</f>
        <v>636207.68759999995</v>
      </c>
      <c r="AU83" s="6">
        <f>[1]Results!AX1555</f>
        <v>644731.71030000004</v>
      </c>
      <c r="AV83" s="6">
        <f>[1]Results!AY1555</f>
        <v>653321.61120000004</v>
      </c>
      <c r="AW83" s="6">
        <f>[1]Results!AZ1555</f>
        <v>662000.13600000006</v>
      </c>
      <c r="AX83" s="6">
        <f>[1]Results!BA1555</f>
        <v>670752.51549999998</v>
      </c>
      <c r="AY83" s="6">
        <f>[1]Results!BB1555</f>
        <v>679581.17960000003</v>
      </c>
      <c r="AZ83" s="6">
        <f>[1]Results!BC1555</f>
        <v>688487.19259999995</v>
      </c>
      <c r="BA83" s="6">
        <f>[1]Results!BD1555</f>
        <v>697471.93530000001</v>
      </c>
      <c r="BB83" s="6">
        <f>[1]Results!BE1555</f>
        <v>781663.80500000005</v>
      </c>
      <c r="BC83" s="6">
        <f>[1]Results!BF1555</f>
        <v>795467.88820000004</v>
      </c>
      <c r="BD83" s="6">
        <f>[1]Results!BG1555</f>
        <v>809456.06830000004</v>
      </c>
      <c r="BE83" s="6">
        <f>[1]Results!BH1555</f>
        <v>823628.62589999998</v>
      </c>
      <c r="BF83" s="6">
        <f>[1]Results!BI1555</f>
        <v>837986.17110000004</v>
      </c>
    </row>
    <row r="84" spans="1:58" x14ac:dyDescent="0.35">
      <c r="B84" t="s">
        <v>9</v>
      </c>
      <c r="C84" s="6">
        <f>[1]Results!F1567</f>
        <v>48571.10615</v>
      </c>
      <c r="D84" s="6">
        <f>[1]Results!G1567</f>
        <v>49156.962379999997</v>
      </c>
      <c r="E84" s="6">
        <f>[1]Results!H1567</f>
        <v>49805.65191</v>
      </c>
      <c r="F84" s="6">
        <f>[1]Results!I1567</f>
        <v>50492.574139999997</v>
      </c>
      <c r="G84" s="6">
        <f>[1]Results!J1567</f>
        <v>51216.412409999997</v>
      </c>
      <c r="H84" s="6">
        <f>[1]Results!K1567</f>
        <v>51973.058449999997</v>
      </c>
      <c r="I84" s="6">
        <f>[1]Results!L1567</f>
        <v>52721.45463</v>
      </c>
      <c r="J84" s="6">
        <f>[1]Results!M1567</f>
        <v>53488.574180000003</v>
      </c>
      <c r="K84" s="6">
        <f>[1]Results!N1567</f>
        <v>54271.017509999998</v>
      </c>
      <c r="L84" s="6">
        <f>[1]Results!O1567</f>
        <v>55067.195820000001</v>
      </c>
      <c r="M84" s="6">
        <f>[1]Results!P1567</f>
        <v>55940.548580000002</v>
      </c>
      <c r="N84" s="6">
        <f>[1]Results!Q1567</f>
        <v>56771.173450000002</v>
      </c>
      <c r="O84" s="6">
        <f>[1]Results!R1567</f>
        <v>57612.814109999999</v>
      </c>
      <c r="P84" s="6">
        <f>[1]Results!S1567</f>
        <v>58462.266770000002</v>
      </c>
      <c r="Q84" s="6">
        <f>[1]Results!T1567</f>
        <v>59319.136709999999</v>
      </c>
      <c r="R84" s="6">
        <f>[1]Results!U1567</f>
        <v>60183.712800000001</v>
      </c>
      <c r="S84" s="6">
        <f>[1]Results!V1567</f>
        <v>61056.593869999997</v>
      </c>
      <c r="T84" s="6">
        <f>[1]Results!W1567</f>
        <v>61938.551489999998</v>
      </c>
      <c r="U84" s="6">
        <f>[1]Results!X1567</f>
        <v>62830.439599999998</v>
      </c>
      <c r="V84" s="6">
        <f>[1]Results!Y1567</f>
        <v>63733.131329999997</v>
      </c>
      <c r="W84" s="6">
        <f>[1]Results!Z1567</f>
        <v>64599.400459999997</v>
      </c>
      <c r="X84" s="6">
        <f>[1]Results!AA1567</f>
        <v>65518.390379999997</v>
      </c>
      <c r="Y84" s="6">
        <f>[1]Results!AB1567</f>
        <v>66450.51453</v>
      </c>
      <c r="Z84" s="6">
        <f>[1]Results!AC1567</f>
        <v>67398.457559999995</v>
      </c>
      <c r="AA84" s="6">
        <f>[1]Results!AD1567</f>
        <v>68362.920559999999</v>
      </c>
      <c r="AB84" s="6">
        <f>[1]Results!AE1567</f>
        <v>69205.133960000006</v>
      </c>
      <c r="AC84" s="6">
        <f>[1]Results!AF1567</f>
        <v>70114.507700000002</v>
      </c>
      <c r="AD84" s="6">
        <f>[1]Results!AG1567</f>
        <v>71029.039059999996</v>
      </c>
      <c r="AE84" s="6">
        <f>[1]Results!AH1567</f>
        <v>71954.308080000003</v>
      </c>
      <c r="AF84" s="6">
        <f>[1]Results!AI1567</f>
        <v>72893.040229999999</v>
      </c>
      <c r="AG84" s="6">
        <f>[1]Results!AJ1567</f>
        <v>73847.06482</v>
      </c>
      <c r="AH84" s="6">
        <f>[1]Results!AK1567</f>
        <v>74817.61378</v>
      </c>
      <c r="AI84" s="6">
        <f>[1]Results!AL1567</f>
        <v>75805.441330000001</v>
      </c>
      <c r="AJ84" s="6">
        <f>[1]Results!AM1567</f>
        <v>76810.936889999997</v>
      </c>
      <c r="AK84" s="6">
        <f>[1]Results!AN1567</f>
        <v>77834.234460000007</v>
      </c>
      <c r="AL84" s="6">
        <f>[1]Results!AO1567</f>
        <v>78875.307520000002</v>
      </c>
      <c r="AM84" s="6">
        <f>[1]Results!AP1567</f>
        <v>79900.191130000007</v>
      </c>
      <c r="AN84" s="6">
        <f>[1]Results!AQ1567</f>
        <v>80936.603140000007</v>
      </c>
      <c r="AO84" s="6">
        <f>[1]Results!AR1567</f>
        <v>81984.286789999998</v>
      </c>
      <c r="AP84" s="6">
        <f>[1]Results!AS1567</f>
        <v>83044.39688</v>
      </c>
      <c r="AQ84" s="6">
        <f>[1]Results!AT1567</f>
        <v>84118.169540000003</v>
      </c>
      <c r="AR84" s="6">
        <f>[1]Results!AU1567</f>
        <v>85206.681559999997</v>
      </c>
      <c r="AS84" s="6">
        <f>[1]Results!AV1567</f>
        <v>86310.792830000006</v>
      </c>
      <c r="AT84" s="6">
        <f>[1]Results!AW1567</f>
        <v>87431.144029999996</v>
      </c>
      <c r="AU84" s="6">
        <f>[1]Results!AX1567</f>
        <v>88568.183199999999</v>
      </c>
      <c r="AV84" s="6">
        <f>[1]Results!AY1567</f>
        <v>89722.207680000007</v>
      </c>
      <c r="AW84" s="6">
        <f>[1]Results!AZ1567</f>
        <v>90896.503979999994</v>
      </c>
      <c r="AX84" s="6">
        <f>[1]Results!BA1567</f>
        <v>92088.679359999995</v>
      </c>
      <c r="AY84" s="6">
        <f>[1]Results!BB1567</f>
        <v>93298.853449999995</v>
      </c>
      <c r="AZ84" s="6">
        <f>[1]Results!BC1567</f>
        <v>94526.9519</v>
      </c>
      <c r="BA84" s="6">
        <f>[1]Results!BD1567</f>
        <v>95772.900760000004</v>
      </c>
      <c r="BB84" s="6">
        <f>[1]Results!BE1567</f>
        <v>104551.2357</v>
      </c>
      <c r="BC84" s="6">
        <f>[1]Results!BF1567</f>
        <v>106267.7761</v>
      </c>
      <c r="BD84" s="6">
        <f>[1]Results!BG1567</f>
        <v>108015.0258</v>
      </c>
      <c r="BE84" s="6">
        <f>[1]Results!BH1567</f>
        <v>109793.6344</v>
      </c>
      <c r="BF84" s="6">
        <f>[1]Results!BI1567</f>
        <v>111604.26330000001</v>
      </c>
    </row>
    <row r="85" spans="1:58" x14ac:dyDescent="0.35">
      <c r="B85" t="s">
        <v>10</v>
      </c>
      <c r="C85" s="6">
        <f>[1]Results!F1572</f>
        <v>1513908.568</v>
      </c>
      <c r="D85" s="6">
        <f>[1]Results!G1572</f>
        <v>1533424.8459999999</v>
      </c>
      <c r="E85" s="6">
        <f>[1]Results!H1572</f>
        <v>1554985.311</v>
      </c>
      <c r="F85" s="6">
        <f>[1]Results!I1572</f>
        <v>1577934.7080000001</v>
      </c>
      <c r="G85" s="6">
        <f>[1]Results!J1572</f>
        <v>1602168.7050000001</v>
      </c>
      <c r="H85" s="6">
        <f>[1]Results!K1572</f>
        <v>1627543.084</v>
      </c>
      <c r="I85" s="6">
        <f>[1]Results!L1572</f>
        <v>1652794.8019999999</v>
      </c>
      <c r="J85" s="6">
        <f>[1]Results!M1572</f>
        <v>1678634.3419999999</v>
      </c>
      <c r="K85" s="6">
        <f>[1]Results!N1572</f>
        <v>1705033.0249999999</v>
      </c>
      <c r="L85" s="6">
        <f>[1]Results!O1572</f>
        <v>1731961.3259999999</v>
      </c>
      <c r="M85" s="6">
        <f>[1]Results!P1572</f>
        <v>1761370.497</v>
      </c>
      <c r="N85" s="6">
        <f>[1]Results!Q1572</f>
        <v>1789801.183</v>
      </c>
      <c r="O85" s="6">
        <f>[1]Results!R1572</f>
        <v>1818562.7949999999</v>
      </c>
      <c r="P85" s="6">
        <f>[1]Results!S1572</f>
        <v>1847650.8489999999</v>
      </c>
      <c r="Q85" s="6">
        <f>[1]Results!T1572</f>
        <v>1877062.3430000001</v>
      </c>
      <c r="R85" s="6">
        <f>[1]Results!U1572</f>
        <v>1906801.4439999999</v>
      </c>
      <c r="S85" s="6">
        <f>[1]Results!V1572</f>
        <v>1936878.977</v>
      </c>
      <c r="T85" s="6">
        <f>[1]Results!W1572</f>
        <v>1967310.2450000001</v>
      </c>
      <c r="U85" s="6">
        <f>[1]Results!X1572</f>
        <v>1998112.82</v>
      </c>
      <c r="V85" s="6">
        <f>[1]Results!Y1572</f>
        <v>2029304.8870000001</v>
      </c>
      <c r="W85" s="6">
        <f>[1]Results!Z1572</f>
        <v>2059429.1640000001</v>
      </c>
      <c r="X85" s="6">
        <f>[1]Results!AA1572</f>
        <v>2091056.0009999999</v>
      </c>
      <c r="Y85" s="6">
        <f>[1]Results!AB1572</f>
        <v>2123211.2420000001</v>
      </c>
      <c r="Z85" s="6">
        <f>[1]Results!AC1572</f>
        <v>2155898.4589999998</v>
      </c>
      <c r="AA85" s="6">
        <f>[1]Results!AD1572</f>
        <v>2189122.0630000001</v>
      </c>
      <c r="AB85" s="6">
        <f>[1]Results!AE1572</f>
        <v>2218614.2749999999</v>
      </c>
      <c r="AC85" s="6">
        <f>[1]Results!AF1572</f>
        <v>2249735.5299999998</v>
      </c>
      <c r="AD85" s="6">
        <f>[1]Results!AG1572</f>
        <v>2281077.2149999999</v>
      </c>
      <c r="AE85" s="6">
        <f>[1]Results!AH1572</f>
        <v>2312721.5490000001</v>
      </c>
      <c r="AF85" s="6">
        <f>[1]Results!AI1572</f>
        <v>2344742.344</v>
      </c>
      <c r="AG85" s="6">
        <f>[1]Results!AJ1572</f>
        <v>2377197.5240000002</v>
      </c>
      <c r="AH85" s="6">
        <f>[1]Results!AK1572</f>
        <v>2410128.3360000001</v>
      </c>
      <c r="AI85" s="6">
        <f>[1]Results!AL1572</f>
        <v>2443561.514</v>
      </c>
      <c r="AJ85" s="6">
        <f>[1]Results!AM1572</f>
        <v>2477512.5759999999</v>
      </c>
      <c r="AK85" s="6">
        <f>[1]Results!AN1572</f>
        <v>2511989.2379999999</v>
      </c>
      <c r="AL85" s="6">
        <f>[1]Results!AO1572</f>
        <v>2546994.3840000001</v>
      </c>
      <c r="AM85" s="6">
        <f>[1]Results!AP1572</f>
        <v>2581490.7859999998</v>
      </c>
      <c r="AN85" s="6">
        <f>[1]Results!AQ1572</f>
        <v>2616224.247</v>
      </c>
      <c r="AO85" s="6">
        <f>[1]Results!AR1572</f>
        <v>2651253.4509999999</v>
      </c>
      <c r="AP85" s="6">
        <f>[1]Results!AS1572</f>
        <v>2686630.4219999998</v>
      </c>
      <c r="AQ85" s="6">
        <f>[1]Results!AT1572</f>
        <v>2722401.7370000002</v>
      </c>
      <c r="AR85" s="6">
        <f>[1]Results!AU1572</f>
        <v>2758607.3330000001</v>
      </c>
      <c r="AS85" s="6">
        <f>[1]Results!AV1572</f>
        <v>2795279.6630000002</v>
      </c>
      <c r="AT85" s="6">
        <f>[1]Results!AW1572</f>
        <v>2832443.7710000002</v>
      </c>
      <c r="AU85" s="6">
        <f>[1]Results!AX1572</f>
        <v>2870118.199</v>
      </c>
      <c r="AV85" s="6">
        <f>[1]Results!AY1572</f>
        <v>2908316.429</v>
      </c>
      <c r="AW85" s="6">
        <f>[1]Results!AZ1572</f>
        <v>2947143.1979999999</v>
      </c>
      <c r="AX85" s="6">
        <f>[1]Results!BA1572</f>
        <v>2986539.7459999998</v>
      </c>
      <c r="AY85" s="6">
        <f>[1]Results!BB1572</f>
        <v>3026507.8509999998</v>
      </c>
      <c r="AZ85" s="6">
        <f>[1]Results!BC1572</f>
        <v>3067045.4619999998</v>
      </c>
      <c r="BA85" s="6">
        <f>[1]Results!BD1572</f>
        <v>3108151.2510000002</v>
      </c>
      <c r="BB85" s="6">
        <f>[1]Results!BE1572</f>
        <v>3421146.1329999999</v>
      </c>
      <c r="BC85" s="6">
        <f>[1]Results!BF1572</f>
        <v>3478549.7910000002</v>
      </c>
      <c r="BD85" s="6">
        <f>[1]Results!BG1572</f>
        <v>3536883.7719999999</v>
      </c>
      <c r="BE85" s="6">
        <f>[1]Results!BH1572</f>
        <v>3596166.577</v>
      </c>
      <c r="BF85" s="6">
        <f>[1]Results!BI1572</f>
        <v>3656417.5589999999</v>
      </c>
    </row>
    <row r="86" spans="1:58" x14ac:dyDescent="0.35">
      <c r="B86" t="s">
        <v>29</v>
      </c>
      <c r="C86" s="6">
        <f>C91-C87</f>
        <v>-1911.7610999000001</v>
      </c>
      <c r="D86" s="6">
        <f t="shared" ref="D86:AL86" si="50">D91-D87</f>
        <v>-1937.8083095000002</v>
      </c>
      <c r="E86" s="6">
        <f t="shared" si="50"/>
        <v>-1945.1410826999997</v>
      </c>
      <c r="F86" s="6">
        <f t="shared" si="50"/>
        <v>-1949.3072787999999</v>
      </c>
      <c r="G86" s="6">
        <f t="shared" si="50"/>
        <v>-1956.0428760000002</v>
      </c>
      <c r="H86" s="6">
        <f t="shared" si="50"/>
        <v>-1966.5749421999999</v>
      </c>
      <c r="I86" s="6">
        <f t="shared" si="50"/>
        <v>-1981.7048734999998</v>
      </c>
      <c r="J86" s="6">
        <f t="shared" si="50"/>
        <v>-1997.8767921000003</v>
      </c>
      <c r="K86" s="6">
        <f t="shared" si="50"/>
        <v>-2015.5925565</v>
      </c>
      <c r="L86" s="6">
        <f t="shared" si="50"/>
        <v>-2034.5046959000001</v>
      </c>
      <c r="M86" s="6">
        <f t="shared" si="50"/>
        <v>-2052.4776631000004</v>
      </c>
      <c r="N86" s="6">
        <f t="shared" si="50"/>
        <v>-2075.8932877000002</v>
      </c>
      <c r="O86" s="6">
        <f t="shared" si="50"/>
        <v>-2097.3377077</v>
      </c>
      <c r="P86" s="6">
        <f t="shared" si="50"/>
        <v>-2118.4962137000002</v>
      </c>
      <c r="Q86" s="6">
        <f t="shared" si="50"/>
        <v>-2139.7212132999998</v>
      </c>
      <c r="R86" s="6">
        <f t="shared" si="50"/>
        <v>-2161.0689766999999</v>
      </c>
      <c r="S86" s="6">
        <f t="shared" si="50"/>
        <v>-2182.5472885999998</v>
      </c>
      <c r="T86" s="6">
        <f t="shared" si="50"/>
        <v>-2204.1634043999998</v>
      </c>
      <c r="U86" s="6">
        <f t="shared" si="50"/>
        <v>-2225.9298851000003</v>
      </c>
      <c r="V86" s="6">
        <f t="shared" si="50"/>
        <v>-2247.8629556999999</v>
      </c>
      <c r="W86" s="6">
        <f t="shared" si="50"/>
        <v>-2271.2612884999999</v>
      </c>
      <c r="X86" s="6">
        <f t="shared" si="50"/>
        <v>-2291.2304704999997</v>
      </c>
      <c r="Y86" s="6">
        <f t="shared" si="50"/>
        <v>-2313.1511215</v>
      </c>
      <c r="Z86" s="6">
        <f t="shared" si="50"/>
        <v>-2335.7112800999998</v>
      </c>
      <c r="AA86" s="6">
        <f t="shared" si="50"/>
        <v>-2358.6263258999998</v>
      </c>
      <c r="AB86" s="6">
        <f t="shared" si="50"/>
        <v>-2385.5330575999997</v>
      </c>
      <c r="AC86" s="6">
        <f t="shared" si="50"/>
        <v>-2404.0295343000003</v>
      </c>
      <c r="AD86" s="6">
        <f t="shared" si="50"/>
        <v>-2424.6471016999999</v>
      </c>
      <c r="AE86" s="6">
        <f t="shared" si="50"/>
        <v>-2445.8830155000001</v>
      </c>
      <c r="AF86" s="6">
        <f t="shared" si="50"/>
        <v>-2467.4228898000001</v>
      </c>
      <c r="AG86" s="6">
        <f t="shared" si="50"/>
        <v>-2489.2351630000003</v>
      </c>
      <c r="AH86" s="6">
        <f t="shared" si="50"/>
        <v>-2511.3415462000003</v>
      </c>
      <c r="AI86" s="6">
        <f t="shared" si="50"/>
        <v>-2533.7667670000001</v>
      </c>
      <c r="AJ86" s="6">
        <f t="shared" si="50"/>
        <v>-2556.5280872000003</v>
      </c>
      <c r="AK86" s="6">
        <f t="shared" si="50"/>
        <v>-2579.6345761000002</v>
      </c>
      <c r="AL86" s="6">
        <f t="shared" si="50"/>
        <v>-2603.0888281999996</v>
      </c>
      <c r="AM86" s="6">
        <f t="shared" ref="AM86:BC86" si="51">AM91-AM87</f>
        <v>-2627.7749451</v>
      </c>
      <c r="AN86" s="6">
        <f t="shared" si="51"/>
        <v>-2651.1726794000001</v>
      </c>
      <c r="AO86" s="6">
        <f t="shared" si="51"/>
        <v>-2674.4750687000001</v>
      </c>
      <c r="AP86" s="6">
        <f t="shared" si="51"/>
        <v>-2697.9539105000003</v>
      </c>
      <c r="AQ86" s="6">
        <f t="shared" si="51"/>
        <v>-2721.6758424</v>
      </c>
      <c r="AR86" s="6">
        <f t="shared" si="51"/>
        <v>-2745.6675023999996</v>
      </c>
      <c r="AS86" s="6">
        <f t="shared" si="51"/>
        <v>-2769.9475275</v>
      </c>
      <c r="AT86" s="6">
        <f t="shared" si="51"/>
        <v>-2794.5311203000001</v>
      </c>
      <c r="AU86" s="6">
        <f t="shared" si="51"/>
        <v>-2819.4301708000003</v>
      </c>
      <c r="AV86" s="6">
        <f t="shared" si="51"/>
        <v>-2844.6536298999999</v>
      </c>
      <c r="AW86" s="6">
        <f t="shared" si="51"/>
        <v>-2870.1309847000002</v>
      </c>
      <c r="AX86" s="6">
        <f t="shared" si="51"/>
        <v>-2896.0948557000002</v>
      </c>
      <c r="AY86" s="6">
        <f t="shared" si="51"/>
        <v>-2922.4614947</v>
      </c>
      <c r="AZ86" s="6">
        <f t="shared" si="51"/>
        <v>-2949.1352876999999</v>
      </c>
      <c r="BA86" s="6">
        <f t="shared" si="51"/>
        <v>-2976.1138367000003</v>
      </c>
      <c r="BB86" s="6">
        <f t="shared" si="51"/>
        <v>-3212.6162486999997</v>
      </c>
      <c r="BC86" s="6">
        <f t="shared" si="51"/>
        <v>-3251.7048096999997</v>
      </c>
      <c r="BD86" s="6">
        <f t="shared" ref="BD86:BF86" si="52">BD91-BD87</f>
        <v>-3291.4015046999998</v>
      </c>
      <c r="BE86" s="6">
        <f t="shared" si="52"/>
        <v>-3331.7245877</v>
      </c>
      <c r="BF86" s="6">
        <f t="shared" si="52"/>
        <v>-3372.6920687000002</v>
      </c>
    </row>
    <row r="87" spans="1:58" x14ac:dyDescent="0.35">
      <c r="B87" t="s">
        <v>36</v>
      </c>
      <c r="C87" s="6">
        <f>C89+C90</f>
        <v>-117.46611710000002</v>
      </c>
      <c r="D87" s="6">
        <f t="shared" ref="D87:AL87" si="53">D89+D90</f>
        <v>-123.54243150000002</v>
      </c>
      <c r="E87" s="6">
        <f t="shared" si="53"/>
        <v>-126.42182230000003</v>
      </c>
      <c r="F87" s="6">
        <f t="shared" si="53"/>
        <v>-129.25291319999997</v>
      </c>
      <c r="G87" s="6">
        <f t="shared" si="53"/>
        <v>-133.22138199999995</v>
      </c>
      <c r="H87" s="6">
        <f t="shared" si="53"/>
        <v>-138.51487580000003</v>
      </c>
      <c r="I87" s="6">
        <f t="shared" si="53"/>
        <v>-144.81515449999995</v>
      </c>
      <c r="J87" s="6">
        <f t="shared" si="53"/>
        <v>-151.72354989999997</v>
      </c>
      <c r="K87" s="6">
        <f t="shared" si="53"/>
        <v>-159.16201049999995</v>
      </c>
      <c r="L87" s="6">
        <f t="shared" si="53"/>
        <v>-166.9915671</v>
      </c>
      <c r="M87" s="6">
        <f t="shared" si="53"/>
        <v>-175.32329589999995</v>
      </c>
      <c r="N87" s="6">
        <f t="shared" si="53"/>
        <v>-184.0928973</v>
      </c>
      <c r="O87" s="6">
        <f t="shared" si="53"/>
        <v>-192.74878330000001</v>
      </c>
      <c r="P87" s="6">
        <f t="shared" si="53"/>
        <v>-201.47301730000004</v>
      </c>
      <c r="Q87" s="6">
        <f t="shared" si="53"/>
        <v>-210.28292469999997</v>
      </c>
      <c r="R87" s="6">
        <f t="shared" si="53"/>
        <v>-219.17169230000002</v>
      </c>
      <c r="S87" s="6">
        <f t="shared" si="53"/>
        <v>-228.13293039999996</v>
      </c>
      <c r="T87" s="6">
        <f t="shared" si="53"/>
        <v>-237.16366559999994</v>
      </c>
      <c r="U87" s="6">
        <f t="shared" si="53"/>
        <v>-246.26372289999995</v>
      </c>
      <c r="V87" s="6">
        <f t="shared" si="53"/>
        <v>-255.4348013</v>
      </c>
      <c r="W87" s="6">
        <f t="shared" si="53"/>
        <v>-264.51644650000003</v>
      </c>
      <c r="X87" s="6">
        <f t="shared" si="53"/>
        <v>-273.50760749999995</v>
      </c>
      <c r="Y87" s="6">
        <f t="shared" si="53"/>
        <v>-282.78706049999994</v>
      </c>
      <c r="Z87" s="6">
        <f t="shared" si="53"/>
        <v>-292.20031589999996</v>
      </c>
      <c r="AA87" s="6">
        <f t="shared" si="53"/>
        <v>-301.72368510000001</v>
      </c>
      <c r="AB87" s="6">
        <f t="shared" si="53"/>
        <v>-310.88442839999993</v>
      </c>
      <c r="AC87" s="6">
        <f t="shared" si="53"/>
        <v>-319.44954469999993</v>
      </c>
      <c r="AD87" s="6">
        <f t="shared" si="53"/>
        <v>-328.27121030000001</v>
      </c>
      <c r="AE87" s="6">
        <f t="shared" si="53"/>
        <v>-337.17015149999997</v>
      </c>
      <c r="AF87" s="6">
        <f t="shared" si="53"/>
        <v>-346.13092519999998</v>
      </c>
      <c r="AG87" s="6">
        <f t="shared" si="53"/>
        <v>-355.16673800000001</v>
      </c>
      <c r="AH87" s="6">
        <f t="shared" si="53"/>
        <v>-364.29295679999996</v>
      </c>
      <c r="AI87" s="6">
        <f t="shared" si="53"/>
        <v>-373.52210000000002</v>
      </c>
      <c r="AJ87" s="6">
        <f t="shared" si="53"/>
        <v>-382.86329979999994</v>
      </c>
      <c r="AK87" s="6">
        <f t="shared" si="53"/>
        <v>-392.32277790000001</v>
      </c>
      <c r="AL87" s="6">
        <f t="shared" si="53"/>
        <v>-401.90453279999997</v>
      </c>
      <c r="AM87" s="6">
        <f t="shared" ref="AM87:BC87" si="54">AM89+AM90</f>
        <v>-411.49695889999998</v>
      </c>
      <c r="AN87" s="6">
        <f t="shared" si="54"/>
        <v>-420.9840236</v>
      </c>
      <c r="AO87" s="6">
        <f t="shared" si="54"/>
        <v>-430.50996329999998</v>
      </c>
      <c r="AP87" s="6">
        <f t="shared" si="54"/>
        <v>-440.10821250000004</v>
      </c>
      <c r="AQ87" s="6">
        <f t="shared" si="54"/>
        <v>-449.79252759999997</v>
      </c>
      <c r="AR87" s="6">
        <f t="shared" si="54"/>
        <v>-459.57308360000002</v>
      </c>
      <c r="AS87" s="6">
        <f t="shared" si="54"/>
        <v>-469.45869149999999</v>
      </c>
      <c r="AT87" s="6">
        <f t="shared" si="54"/>
        <v>-479.45678469999996</v>
      </c>
      <c r="AU87" s="6">
        <f t="shared" si="54"/>
        <v>-489.57329119999997</v>
      </c>
      <c r="AV87" s="6">
        <f t="shared" si="54"/>
        <v>-499.81268109999996</v>
      </c>
      <c r="AW87" s="6">
        <f t="shared" si="54"/>
        <v>-510.18842429999995</v>
      </c>
      <c r="AX87" s="6">
        <f t="shared" si="54"/>
        <v>-520.71324329999993</v>
      </c>
      <c r="AY87" s="6">
        <f t="shared" si="54"/>
        <v>-531.37564129999998</v>
      </c>
      <c r="AZ87" s="6">
        <f t="shared" si="54"/>
        <v>-542.17391029999987</v>
      </c>
      <c r="BA87" s="6">
        <f t="shared" si="54"/>
        <v>-553.10809729999994</v>
      </c>
      <c r="BB87" s="6">
        <f t="shared" si="54"/>
        <v>-648.6256333</v>
      </c>
      <c r="BC87" s="6">
        <f t="shared" si="54"/>
        <v>-664.39585629999999</v>
      </c>
      <c r="BD87" s="6">
        <f t="shared" ref="BD87:BF87" si="55">BD89+BD90</f>
        <v>-680.40729529999987</v>
      </c>
      <c r="BE87" s="6">
        <f t="shared" si="55"/>
        <v>-696.66694530000007</v>
      </c>
      <c r="BF87" s="6">
        <f t="shared" si="55"/>
        <v>-713.18230830000005</v>
      </c>
    </row>
    <row r="88" spans="1:58" x14ac:dyDescent="0.35">
      <c r="B88" t="s">
        <v>33</v>
      </c>
      <c r="C88" s="6">
        <f>[1]Results!F1580</f>
        <v>40630.107230000001</v>
      </c>
      <c r="D88" s="6">
        <f>[1]Results!G1580</f>
        <v>40928.329579999998</v>
      </c>
      <c r="E88" s="6">
        <f>[1]Results!H1580</f>
        <v>41196.521780000003</v>
      </c>
      <c r="F88" s="6">
        <f>[1]Results!I1580</f>
        <v>41474.059379999999</v>
      </c>
      <c r="G88" s="6">
        <f>[1]Results!J1580</f>
        <v>41773.76354</v>
      </c>
      <c r="H88" s="6">
        <f>[1]Results!K1580</f>
        <v>42102.435969999999</v>
      </c>
      <c r="I88" s="6">
        <f>[1]Results!L1580</f>
        <v>42437.970840000002</v>
      </c>
      <c r="J88" s="6">
        <f>[1]Results!M1580</f>
        <v>42791.233240000001</v>
      </c>
      <c r="K88" s="6">
        <f>[1]Results!N1580</f>
        <v>43159.62932</v>
      </c>
      <c r="L88" s="6">
        <f>[1]Results!O1580</f>
        <v>43539.238140000001</v>
      </c>
      <c r="M88" s="6">
        <f>[1]Results!P1580</f>
        <v>43966.565119999999</v>
      </c>
      <c r="N88" s="6">
        <f>[1]Results!Q1580</f>
        <v>44373.523150000001</v>
      </c>
      <c r="O88" s="6">
        <f>[1]Results!R1580</f>
        <v>44779.395360000002</v>
      </c>
      <c r="P88" s="6">
        <f>[1]Results!S1580</f>
        <v>45186.3655</v>
      </c>
      <c r="Q88" s="6">
        <f>[1]Results!T1580</f>
        <v>45594.950629999999</v>
      </c>
      <c r="R88" s="6">
        <f>[1]Results!U1580</f>
        <v>46005.497349999998</v>
      </c>
      <c r="S88" s="6">
        <f>[1]Results!V1580</f>
        <v>46418.44225</v>
      </c>
      <c r="T88" s="6">
        <f>[1]Results!W1580</f>
        <v>46834.344279999998</v>
      </c>
      <c r="U88" s="6">
        <f>[1]Results!X1580</f>
        <v>47253.863369999999</v>
      </c>
      <c r="V88" s="6">
        <f>[1]Results!Y1580</f>
        <v>47677.725339999997</v>
      </c>
      <c r="W88" s="6">
        <f>[1]Results!Z1580</f>
        <v>48078.027710000002</v>
      </c>
      <c r="X88" s="6">
        <f>[1]Results!AA1580</f>
        <v>48503.287920000002</v>
      </c>
      <c r="Y88" s="6">
        <f>[1]Results!AB1580</f>
        <v>48939.208939999997</v>
      </c>
      <c r="Z88" s="6">
        <f>[1]Results!AC1580</f>
        <v>49384.386780000001</v>
      </c>
      <c r="AA88" s="6">
        <f>[1]Results!AD1580</f>
        <v>49838.823779999999</v>
      </c>
      <c r="AB88" s="6">
        <f>[1]Results!AE1580</f>
        <v>50221.084609999998</v>
      </c>
      <c r="AC88" s="6">
        <f>[1]Results!AF1580</f>
        <v>50628.874150000003</v>
      </c>
      <c r="AD88" s="6">
        <f>[1]Results!AG1580</f>
        <v>51044.867740000002</v>
      </c>
      <c r="AE88" s="6">
        <f>[1]Results!AH1580</f>
        <v>51468.672700000003</v>
      </c>
      <c r="AF88" s="6">
        <f>[1]Results!AI1580</f>
        <v>51901.228569999999</v>
      </c>
      <c r="AG88" s="6">
        <f>[1]Results!AJ1580</f>
        <v>52343.489860000001</v>
      </c>
      <c r="AH88" s="6">
        <f>[1]Results!AK1580</f>
        <v>52796.193809999997</v>
      </c>
      <c r="AI88" s="6">
        <f>[1]Results!AL1580</f>
        <v>53259.831109999999</v>
      </c>
      <c r="AJ88" s="6">
        <f>[1]Results!AM1580</f>
        <v>53734.669249999999</v>
      </c>
      <c r="AK88" s="6">
        <f>[1]Results!AN1580</f>
        <v>54220.794349999996</v>
      </c>
      <c r="AL88" s="6">
        <f>[1]Results!AO1580</f>
        <v>54718.15797</v>
      </c>
      <c r="AM88" s="6">
        <f>[1]Results!AP1580</f>
        <v>55207.337979999997</v>
      </c>
      <c r="AN88" s="6">
        <f>[1]Results!AQ1580</f>
        <v>55700.825049999999</v>
      </c>
      <c r="AO88" s="6">
        <f>[1]Results!AR1580</f>
        <v>56201.013050000001</v>
      </c>
      <c r="AP88" s="6">
        <f>[1]Results!AS1580</f>
        <v>56708.965300000003</v>
      </c>
      <c r="AQ88" s="6">
        <f>[1]Results!AT1580</f>
        <v>57225.375840000001</v>
      </c>
      <c r="AR88" s="6">
        <f>[1]Results!AU1580</f>
        <v>57750.762790000001</v>
      </c>
      <c r="AS88" s="6">
        <f>[1]Results!AV1580</f>
        <v>58285.519829999997</v>
      </c>
      <c r="AT88" s="6">
        <f>[1]Results!AW1580</f>
        <v>58829.945010000003</v>
      </c>
      <c r="AU88" s="6">
        <f>[1]Results!AX1580</f>
        <v>59384.238409999998</v>
      </c>
      <c r="AV88" s="6">
        <f>[1]Results!AY1580</f>
        <v>59948.457190000001</v>
      </c>
      <c r="AW88" s="6">
        <f>[1]Results!AZ1580</f>
        <v>60523.92871</v>
      </c>
      <c r="AX88" s="6">
        <f>[1]Results!BA1580</f>
        <v>61107.297590000002</v>
      </c>
      <c r="AY88" s="6">
        <f>[1]Results!BB1580</f>
        <v>61697.558429999997</v>
      </c>
      <c r="AZ88" s="6">
        <f>[1]Results!BC1580</f>
        <v>62296.291539999998</v>
      </c>
      <c r="BA88" s="6">
        <f>[1]Results!BD1580</f>
        <v>62904.913789999999</v>
      </c>
      <c r="BB88" s="6">
        <f>[1]Results!BE1580</f>
        <v>66761.92697</v>
      </c>
      <c r="BC88" s="6">
        <f>[1]Results!BF1580</f>
        <v>67613.189150000006</v>
      </c>
      <c r="BD88" s="6">
        <f>[1]Results!BG1580</f>
        <v>68479.501260000005</v>
      </c>
      <c r="BE88" s="6">
        <f>[1]Results!BH1580</f>
        <v>69361.150169999994</v>
      </c>
      <c r="BF88" s="6">
        <f>[1]Results!BI1580</f>
        <v>70258.379430000001</v>
      </c>
    </row>
    <row r="89" spans="1:58" x14ac:dyDescent="0.35">
      <c r="B89" t="s">
        <v>35</v>
      </c>
      <c r="C89" s="6">
        <f>[1]Results!F1577</f>
        <v>-613.16616880000004</v>
      </c>
      <c r="D89" s="6">
        <f>[1]Results!G1577</f>
        <v>-619.24248320000004</v>
      </c>
      <c r="E89" s="6">
        <f>[1]Results!H1577</f>
        <v>-622.12187400000005</v>
      </c>
      <c r="F89" s="6">
        <f>[1]Results!I1577</f>
        <v>-624.95296489999998</v>
      </c>
      <c r="G89" s="6">
        <f>[1]Results!J1577</f>
        <v>-628.92143369999997</v>
      </c>
      <c r="H89" s="6">
        <f>[1]Results!K1577</f>
        <v>-634.21492750000004</v>
      </c>
      <c r="I89" s="6">
        <f>[1]Results!L1577</f>
        <v>-640.51520619999997</v>
      </c>
      <c r="J89" s="6">
        <f>[1]Results!M1577</f>
        <v>-647.42360159999998</v>
      </c>
      <c r="K89" s="6">
        <f>[1]Results!N1577</f>
        <v>-654.86206219999997</v>
      </c>
      <c r="L89" s="6">
        <f>[1]Results!O1577</f>
        <v>-662.69161880000001</v>
      </c>
      <c r="M89" s="6">
        <f>[1]Results!P1577</f>
        <v>-671.02334759999997</v>
      </c>
      <c r="N89" s="6">
        <f>[1]Results!Q1577</f>
        <v>-679.79294900000002</v>
      </c>
      <c r="O89" s="6">
        <f>[1]Results!R1577</f>
        <v>-688.44883500000003</v>
      </c>
      <c r="P89" s="6">
        <f>[1]Results!S1577</f>
        <v>-697.17306900000005</v>
      </c>
      <c r="Q89" s="6">
        <f>[1]Results!T1577</f>
        <v>-705.98297639999998</v>
      </c>
      <c r="R89" s="6">
        <f>[1]Results!U1577</f>
        <v>-714.87174400000004</v>
      </c>
      <c r="S89" s="6">
        <f>[1]Results!V1577</f>
        <v>-723.83298209999998</v>
      </c>
      <c r="T89" s="6">
        <f>[1]Results!W1577</f>
        <v>-732.86371729999996</v>
      </c>
      <c r="U89" s="6">
        <f>[1]Results!X1577</f>
        <v>-741.96377459999997</v>
      </c>
      <c r="V89" s="6">
        <f>[1]Results!Y1577</f>
        <v>-751.13485300000002</v>
      </c>
      <c r="W89" s="6">
        <f>[1]Results!Z1577</f>
        <v>-760.21649820000005</v>
      </c>
      <c r="X89" s="6">
        <f>[1]Results!AA1577</f>
        <v>-769.20765919999997</v>
      </c>
      <c r="Y89" s="6">
        <f>[1]Results!AB1577</f>
        <v>-778.48711219999996</v>
      </c>
      <c r="Z89" s="6">
        <f>[1]Results!AC1577</f>
        <v>-787.90036759999998</v>
      </c>
      <c r="AA89" s="6">
        <f>[1]Results!AD1577</f>
        <v>-797.42373680000003</v>
      </c>
      <c r="AB89" s="6">
        <f>[1]Results!AE1577</f>
        <v>-806.58448009999995</v>
      </c>
      <c r="AC89" s="6">
        <f>[1]Results!AF1577</f>
        <v>-815.14959639999995</v>
      </c>
      <c r="AD89" s="6">
        <f>[1]Results!AG1577</f>
        <v>-823.97126200000002</v>
      </c>
      <c r="AE89" s="6">
        <f>[1]Results!AH1577</f>
        <v>-832.87020319999999</v>
      </c>
      <c r="AF89" s="6">
        <f>[1]Results!AI1577</f>
        <v>-841.8309769</v>
      </c>
      <c r="AG89" s="6">
        <f>[1]Results!AJ1577</f>
        <v>-850.86678970000003</v>
      </c>
      <c r="AH89" s="6">
        <f>[1]Results!AK1577</f>
        <v>-859.99300849999997</v>
      </c>
      <c r="AI89" s="6">
        <f>[1]Results!AL1577</f>
        <v>-869.22215170000004</v>
      </c>
      <c r="AJ89" s="6">
        <f>[1]Results!AM1577</f>
        <v>-878.56335149999995</v>
      </c>
      <c r="AK89" s="6">
        <f>[1]Results!AN1577</f>
        <v>-888.02282960000002</v>
      </c>
      <c r="AL89" s="6">
        <f>[1]Results!AO1577</f>
        <v>-897.60458449999999</v>
      </c>
      <c r="AM89" s="6">
        <f>[1]Results!AP1577</f>
        <v>-907.1970106</v>
      </c>
      <c r="AN89" s="6">
        <f>[1]Results!AQ1577</f>
        <v>-916.68407530000002</v>
      </c>
      <c r="AO89" s="6">
        <f>[1]Results!AR1577</f>
        <v>-926.210015</v>
      </c>
      <c r="AP89" s="6">
        <f>[1]Results!AS1577</f>
        <v>-935.80826420000005</v>
      </c>
      <c r="AQ89" s="6">
        <f>[1]Results!AT1577</f>
        <v>-945.49257929999999</v>
      </c>
      <c r="AR89" s="6">
        <f>[1]Results!AU1577</f>
        <v>-955.27313530000004</v>
      </c>
      <c r="AS89" s="6">
        <f>[1]Results!AV1577</f>
        <v>-965.1587432</v>
      </c>
      <c r="AT89" s="6">
        <f>[1]Results!AW1577</f>
        <v>-975.15683639999997</v>
      </c>
      <c r="AU89" s="6">
        <f>[1]Results!AX1577</f>
        <v>-985.27334289999999</v>
      </c>
      <c r="AV89" s="6">
        <f>[1]Results!AY1577</f>
        <v>-995.51273279999998</v>
      </c>
      <c r="AW89" s="6">
        <f>[1]Results!AZ1577</f>
        <v>-1005.888476</v>
      </c>
      <c r="AX89" s="6">
        <f>[1]Results!BA1577</f>
        <v>-1016.4132949999999</v>
      </c>
      <c r="AY89" s="6">
        <f>[1]Results!BB1577</f>
        <v>-1027.075693</v>
      </c>
      <c r="AZ89" s="6">
        <f>[1]Results!BC1577</f>
        <v>-1037.8739619999999</v>
      </c>
      <c r="BA89" s="6">
        <f>[1]Results!BD1577</f>
        <v>-1048.808149</v>
      </c>
      <c r="BB89" s="6">
        <f>[1]Results!BE1577</f>
        <v>-1144.325685</v>
      </c>
      <c r="BC89" s="6">
        <f>[1]Results!BF1577</f>
        <v>-1160.095908</v>
      </c>
      <c r="BD89" s="6">
        <f>[1]Results!BG1577</f>
        <v>-1176.1073469999999</v>
      </c>
      <c r="BE89" s="6">
        <f>[1]Results!BH1577</f>
        <v>-1192.3669970000001</v>
      </c>
      <c r="BF89" s="6">
        <f>[1]Results!BI1577</f>
        <v>-1208.8823600000001</v>
      </c>
    </row>
    <row r="90" spans="1:58" x14ac:dyDescent="0.35">
      <c r="B90" t="s">
        <v>34</v>
      </c>
      <c r="C90" s="6">
        <f>[1]Results!$F1579</f>
        <v>495.70005170000002</v>
      </c>
      <c r="D90" s="6">
        <f>[1]Results!$F1579</f>
        <v>495.70005170000002</v>
      </c>
      <c r="E90" s="6">
        <f>[1]Results!$F1579</f>
        <v>495.70005170000002</v>
      </c>
      <c r="F90" s="6">
        <f>[1]Results!$F1579</f>
        <v>495.70005170000002</v>
      </c>
      <c r="G90" s="6">
        <f>[1]Results!$F1579</f>
        <v>495.70005170000002</v>
      </c>
      <c r="H90" s="6">
        <f>[1]Results!$F1579</f>
        <v>495.70005170000002</v>
      </c>
      <c r="I90" s="6">
        <f>[1]Results!$F1579</f>
        <v>495.70005170000002</v>
      </c>
      <c r="J90" s="6">
        <f>[1]Results!$F1579</f>
        <v>495.70005170000002</v>
      </c>
      <c r="K90" s="6">
        <f>[1]Results!$F1579</f>
        <v>495.70005170000002</v>
      </c>
      <c r="L90" s="6">
        <f>[1]Results!$F1579</f>
        <v>495.70005170000002</v>
      </c>
      <c r="M90" s="6">
        <f>[1]Results!$F1579</f>
        <v>495.70005170000002</v>
      </c>
      <c r="N90" s="6">
        <f>[1]Results!$F1579</f>
        <v>495.70005170000002</v>
      </c>
      <c r="O90" s="6">
        <f>[1]Results!$F1579</f>
        <v>495.70005170000002</v>
      </c>
      <c r="P90" s="6">
        <f>[1]Results!$F1579</f>
        <v>495.70005170000002</v>
      </c>
      <c r="Q90" s="6">
        <f>[1]Results!$F1579</f>
        <v>495.70005170000002</v>
      </c>
      <c r="R90" s="6">
        <f>[1]Results!$F1579</f>
        <v>495.70005170000002</v>
      </c>
      <c r="S90" s="6">
        <f>[1]Results!$F1579</f>
        <v>495.70005170000002</v>
      </c>
      <c r="T90" s="6">
        <f>[1]Results!$F1579</f>
        <v>495.70005170000002</v>
      </c>
      <c r="U90" s="6">
        <f>[1]Results!$F1579</f>
        <v>495.70005170000002</v>
      </c>
      <c r="V90" s="6">
        <f>[1]Results!$F1579</f>
        <v>495.70005170000002</v>
      </c>
      <c r="W90" s="6">
        <f>[1]Results!$F1579</f>
        <v>495.70005170000002</v>
      </c>
      <c r="X90" s="6">
        <f>[1]Results!$F1579</f>
        <v>495.70005170000002</v>
      </c>
      <c r="Y90" s="6">
        <f>[1]Results!$F1579</f>
        <v>495.70005170000002</v>
      </c>
      <c r="Z90" s="6">
        <f>[1]Results!$F1579</f>
        <v>495.70005170000002</v>
      </c>
      <c r="AA90" s="6">
        <f>[1]Results!$F1579</f>
        <v>495.70005170000002</v>
      </c>
      <c r="AB90" s="6">
        <f>[1]Results!$F1579</f>
        <v>495.70005170000002</v>
      </c>
      <c r="AC90" s="6">
        <f>[1]Results!$F1579</f>
        <v>495.70005170000002</v>
      </c>
      <c r="AD90" s="6">
        <f>[1]Results!$F1579</f>
        <v>495.70005170000002</v>
      </c>
      <c r="AE90" s="6">
        <f>[1]Results!$F1579</f>
        <v>495.70005170000002</v>
      </c>
      <c r="AF90" s="6">
        <f>[1]Results!$F1579</f>
        <v>495.70005170000002</v>
      </c>
      <c r="AG90" s="6">
        <f>[1]Results!$F1579</f>
        <v>495.70005170000002</v>
      </c>
      <c r="AH90" s="6">
        <f>[1]Results!$F1579</f>
        <v>495.70005170000002</v>
      </c>
      <c r="AI90" s="6">
        <f>[1]Results!$F1579</f>
        <v>495.70005170000002</v>
      </c>
      <c r="AJ90" s="6">
        <f>[1]Results!$F1579</f>
        <v>495.70005170000002</v>
      </c>
      <c r="AK90" s="6">
        <f>[1]Results!$F1579</f>
        <v>495.70005170000002</v>
      </c>
      <c r="AL90" s="6">
        <f>[1]Results!$F1579</f>
        <v>495.70005170000002</v>
      </c>
      <c r="AM90" s="6">
        <f>[1]Results!$F1579</f>
        <v>495.70005170000002</v>
      </c>
      <c r="AN90" s="6">
        <f>[1]Results!$F1579</f>
        <v>495.70005170000002</v>
      </c>
      <c r="AO90" s="6">
        <f>[1]Results!$F1579</f>
        <v>495.70005170000002</v>
      </c>
      <c r="AP90" s="6">
        <f>[1]Results!$F1579</f>
        <v>495.70005170000002</v>
      </c>
      <c r="AQ90" s="6">
        <f>[1]Results!$F1579</f>
        <v>495.70005170000002</v>
      </c>
      <c r="AR90" s="6">
        <f>[1]Results!$F1579</f>
        <v>495.70005170000002</v>
      </c>
      <c r="AS90" s="6">
        <f>[1]Results!$F1579</f>
        <v>495.70005170000002</v>
      </c>
      <c r="AT90" s="6">
        <f>[1]Results!$F1579</f>
        <v>495.70005170000002</v>
      </c>
      <c r="AU90" s="6">
        <f>[1]Results!$F1579</f>
        <v>495.70005170000002</v>
      </c>
      <c r="AV90" s="6">
        <f>[1]Results!$F1579</f>
        <v>495.70005170000002</v>
      </c>
      <c r="AW90" s="6">
        <f>[1]Results!$F1579</f>
        <v>495.70005170000002</v>
      </c>
      <c r="AX90" s="6">
        <f>[1]Results!$F1579</f>
        <v>495.70005170000002</v>
      </c>
      <c r="AY90" s="6">
        <f>[1]Results!$F1579</f>
        <v>495.70005170000002</v>
      </c>
      <c r="AZ90" s="6">
        <f>[1]Results!$F1579</f>
        <v>495.70005170000002</v>
      </c>
      <c r="BA90" s="6">
        <f>[1]Results!$F1579</f>
        <v>495.70005170000002</v>
      </c>
      <c r="BB90" s="6">
        <f>[1]Results!$F1579</f>
        <v>495.70005170000002</v>
      </c>
      <c r="BC90" s="6">
        <f>[1]Results!$F1579</f>
        <v>495.70005170000002</v>
      </c>
      <c r="BD90" s="6">
        <f>[1]Results!$F1579</f>
        <v>495.70005170000002</v>
      </c>
      <c r="BE90" s="6">
        <f>[1]Results!$F1579</f>
        <v>495.70005170000002</v>
      </c>
      <c r="BF90" s="6">
        <f>[1]Results!$F1579</f>
        <v>495.70005170000002</v>
      </c>
    </row>
    <row r="91" spans="1:58" x14ac:dyDescent="0.35">
      <c r="B91" t="s">
        <v>37</v>
      </c>
      <c r="C91" s="6">
        <f>[1]Results!F1575</f>
        <v>-2029.2272170000001</v>
      </c>
      <c r="D91" s="6">
        <f>[1]Results!G1575</f>
        <v>-2061.3507410000002</v>
      </c>
      <c r="E91" s="6">
        <f>[1]Results!H1575</f>
        <v>-2071.5629049999998</v>
      </c>
      <c r="F91" s="6">
        <f>[1]Results!I1575</f>
        <v>-2078.5601919999999</v>
      </c>
      <c r="G91" s="6">
        <f>[1]Results!J1575</f>
        <v>-2089.2642580000002</v>
      </c>
      <c r="H91" s="6">
        <f>[1]Results!K1575</f>
        <v>-2105.0898179999999</v>
      </c>
      <c r="I91" s="6">
        <f>[1]Results!L1575</f>
        <v>-2126.5200279999999</v>
      </c>
      <c r="J91" s="6">
        <f>[1]Results!M1575</f>
        <v>-2149.6003420000002</v>
      </c>
      <c r="K91" s="6">
        <f>[1]Results!N1575</f>
        <v>-2174.754567</v>
      </c>
      <c r="L91" s="6">
        <f>[1]Results!O1575</f>
        <v>-2201.496263</v>
      </c>
      <c r="M91" s="6">
        <f>[1]Results!P1575</f>
        <v>-2227.8009590000001</v>
      </c>
      <c r="N91" s="6">
        <f>[1]Results!Q1575</f>
        <v>-2259.9861850000002</v>
      </c>
      <c r="O91" s="6">
        <f>[1]Results!R1575</f>
        <v>-2290.086491</v>
      </c>
      <c r="P91" s="6">
        <f>[1]Results!S1575</f>
        <v>-2319.969231</v>
      </c>
      <c r="Q91" s="6">
        <f>[1]Results!T1575</f>
        <v>-2350.0041379999998</v>
      </c>
      <c r="R91" s="6">
        <f>[1]Results!U1575</f>
        <v>-2380.2406689999998</v>
      </c>
      <c r="S91" s="6">
        <f>[1]Results!V1575</f>
        <v>-2410.6802189999999</v>
      </c>
      <c r="T91" s="6">
        <f>[1]Results!W1575</f>
        <v>-2441.3270699999998</v>
      </c>
      <c r="U91" s="6">
        <f>[1]Results!X1575</f>
        <v>-2472.193608</v>
      </c>
      <c r="V91" s="6">
        <f>[1]Results!Y1575</f>
        <v>-2503.2977569999998</v>
      </c>
      <c r="W91" s="6">
        <f>[1]Results!Z1575</f>
        <v>-2535.7777350000001</v>
      </c>
      <c r="X91" s="6">
        <f>[1]Results!AA1575</f>
        <v>-2564.7380779999999</v>
      </c>
      <c r="Y91" s="6">
        <f>[1]Results!AB1575</f>
        <v>-2595.9381819999999</v>
      </c>
      <c r="Z91" s="6">
        <f>[1]Results!AC1575</f>
        <v>-2627.9115959999999</v>
      </c>
      <c r="AA91" s="6">
        <f>[1]Results!AD1575</f>
        <v>-2660.350011</v>
      </c>
      <c r="AB91" s="6">
        <f>[1]Results!AE1575</f>
        <v>-2696.4174859999998</v>
      </c>
      <c r="AC91" s="6">
        <f>[1]Results!AF1575</f>
        <v>-2723.4790790000002</v>
      </c>
      <c r="AD91" s="6">
        <f>[1]Results!AG1575</f>
        <v>-2752.9183119999998</v>
      </c>
      <c r="AE91" s="6">
        <f>[1]Results!AH1575</f>
        <v>-2783.053167</v>
      </c>
      <c r="AF91" s="6">
        <f>[1]Results!AI1575</f>
        <v>-2813.5538150000002</v>
      </c>
      <c r="AG91" s="6">
        <f>[1]Results!AJ1575</f>
        <v>-2844.4019010000002</v>
      </c>
      <c r="AH91" s="6">
        <f>[1]Results!AK1575</f>
        <v>-2875.6345030000002</v>
      </c>
      <c r="AI91" s="6">
        <f>[1]Results!AL1575</f>
        <v>-2907.2888670000002</v>
      </c>
      <c r="AJ91" s="6">
        <f>[1]Results!AM1575</f>
        <v>-2939.3913870000001</v>
      </c>
      <c r="AK91" s="6">
        <f>[1]Results!AN1575</f>
        <v>-2971.9573540000001</v>
      </c>
      <c r="AL91" s="6">
        <f>[1]Results!AO1575</f>
        <v>-3004.9933609999998</v>
      </c>
      <c r="AM91" s="6">
        <f>[1]Results!AP1575</f>
        <v>-3039.2719040000002</v>
      </c>
      <c r="AN91" s="6">
        <f>[1]Results!AQ1575</f>
        <v>-3072.1567030000001</v>
      </c>
      <c r="AO91" s="6">
        <f>[1]Results!AR1575</f>
        <v>-3104.985032</v>
      </c>
      <c r="AP91" s="6">
        <f>[1]Results!AS1575</f>
        <v>-3138.0621230000002</v>
      </c>
      <c r="AQ91" s="6">
        <f>[1]Results!AT1575</f>
        <v>-3171.46837</v>
      </c>
      <c r="AR91" s="6">
        <f>[1]Results!AU1575</f>
        <v>-3205.2405859999999</v>
      </c>
      <c r="AS91" s="6">
        <f>[1]Results!AV1575</f>
        <v>-3239.406219</v>
      </c>
      <c r="AT91" s="6">
        <f>[1]Results!AW1575</f>
        <v>-3273.987905</v>
      </c>
      <c r="AU91" s="6">
        <f>[1]Results!AX1575</f>
        <v>-3309.0034620000001</v>
      </c>
      <c r="AV91" s="6">
        <f>[1]Results!AY1575</f>
        <v>-3344.4663110000001</v>
      </c>
      <c r="AW91" s="6">
        <f>[1]Results!AZ1575</f>
        <v>-3380.3194090000002</v>
      </c>
      <c r="AX91" s="6">
        <f>[1]Results!BA1575</f>
        <v>-3416.8080989999999</v>
      </c>
      <c r="AY91" s="6">
        <f>[1]Results!BB1575</f>
        <v>-3453.8371360000001</v>
      </c>
      <c r="AZ91" s="6">
        <f>[1]Results!BC1575</f>
        <v>-3491.3091979999999</v>
      </c>
      <c r="BA91" s="6">
        <f>[1]Results!BD1575</f>
        <v>-3529.2219340000001</v>
      </c>
      <c r="BB91" s="6">
        <f>[1]Results!BE1575</f>
        <v>-3861.2418819999998</v>
      </c>
      <c r="BC91" s="6">
        <f>[1]Results!BF1575</f>
        <v>-3916.1006659999998</v>
      </c>
      <c r="BD91" s="6">
        <f>[1]Results!BG1575</f>
        <v>-3971.8087999999998</v>
      </c>
      <c r="BE91" s="6">
        <f>[1]Results!BH1575</f>
        <v>-4028.391533</v>
      </c>
      <c r="BF91" s="6">
        <f>[1]Results!BI1575</f>
        <v>-4085.8743770000001</v>
      </c>
    </row>
    <row r="93" spans="1:58" x14ac:dyDescent="0.35">
      <c r="A93" t="s">
        <v>39</v>
      </c>
      <c r="B93" t="s">
        <v>13</v>
      </c>
      <c r="C93" s="6">
        <f>[1]Results!F1512</f>
        <v>1941126.118</v>
      </c>
      <c r="D93" s="6">
        <f>[1]Results!G1512</f>
        <v>1958839.399</v>
      </c>
      <c r="E93" s="6">
        <f>[1]Results!H1512</f>
        <v>1979507.642</v>
      </c>
      <c r="F93" s="6">
        <f>[1]Results!I1512</f>
        <v>2002600.9110000001</v>
      </c>
      <c r="G93" s="6">
        <f>[1]Results!J1512</f>
        <v>2027866.148</v>
      </c>
      <c r="H93" s="6">
        <f>[1]Results!K1512</f>
        <v>2054975.4920000001</v>
      </c>
      <c r="I93" s="6">
        <f>[1]Results!L1512</f>
        <v>2082172.71</v>
      </c>
      <c r="J93" s="6">
        <f>[1]Results!M1512</f>
        <v>2110328.5819999999</v>
      </c>
      <c r="K93" s="6">
        <f>[1]Results!N1512</f>
        <v>2139313.2710000002</v>
      </c>
      <c r="L93" s="6">
        <f>[1]Results!O1512</f>
        <v>2169023.3870000001</v>
      </c>
      <c r="M93" s="6">
        <f>[1]Results!P1512</f>
        <v>2199585.4049999998</v>
      </c>
      <c r="N93" s="6">
        <f>[1]Results!Q1512</f>
        <v>2232190.5630000001</v>
      </c>
      <c r="O93" s="6">
        <f>[1]Results!R1512</f>
        <v>2265409.139</v>
      </c>
      <c r="P93" s="6">
        <f>[1]Results!S1512</f>
        <v>2299221.94</v>
      </c>
      <c r="Q93" s="6">
        <f>[1]Results!T1512</f>
        <v>2333568.5819999999</v>
      </c>
      <c r="R93" s="6">
        <f>[1]Results!U1512</f>
        <v>2368400.6209999998</v>
      </c>
      <c r="S93" s="6">
        <f>[1]Results!V1512</f>
        <v>2403562.2540000002</v>
      </c>
      <c r="T93" s="6">
        <f>[1]Results!W1512</f>
        <v>2439126.094</v>
      </c>
      <c r="U93" s="6">
        <f>[1]Results!X1512</f>
        <v>2475081.3280000002</v>
      </c>
      <c r="V93" s="6">
        <f>[1]Results!Y1512</f>
        <v>2511426.46</v>
      </c>
      <c r="W93" s="6">
        <f>[1]Results!Z1512</f>
        <v>2546341.7119999998</v>
      </c>
      <c r="X93" s="6">
        <f>[1]Results!AA1512</f>
        <v>2583034.5060000001</v>
      </c>
      <c r="Y93" s="6">
        <f>[1]Results!AB1512</f>
        <v>2620227.4130000002</v>
      </c>
      <c r="Z93" s="6">
        <f>[1]Results!AC1512</f>
        <v>2657938.8709999998</v>
      </c>
      <c r="AA93" s="6">
        <f>[1]Results!AD1512</f>
        <v>2696176.2850000001</v>
      </c>
      <c r="AB93" s="6">
        <f>[1]Results!AE1512</f>
        <v>2729697.7</v>
      </c>
      <c r="AC93" s="6">
        <f>[1]Results!AF1512</f>
        <v>2765272.4270000001</v>
      </c>
      <c r="AD93" s="6">
        <f>[1]Results!AG1512</f>
        <v>2800997.375</v>
      </c>
      <c r="AE93" s="6">
        <f>[1]Results!AH1512</f>
        <v>2836996.05</v>
      </c>
      <c r="AF93" s="6">
        <f>[1]Results!AI1512</f>
        <v>2873359.1349999998</v>
      </c>
      <c r="AG93" s="6">
        <f>[1]Results!AJ1512</f>
        <v>2910156.0720000002</v>
      </c>
      <c r="AH93" s="6">
        <f>[1]Results!AK1512</f>
        <v>2947473.2820000001</v>
      </c>
      <c r="AI93" s="6">
        <f>[1]Results!AL1512</f>
        <v>2985315.51</v>
      </c>
      <c r="AJ93" s="6">
        <f>[1]Results!AM1512</f>
        <v>3023700.7519999999</v>
      </c>
      <c r="AK93" s="6">
        <f>[1]Results!AN1512</f>
        <v>3062636.4589999998</v>
      </c>
      <c r="AL93" s="6">
        <f>[1]Results!AO1512</f>
        <v>3102123.8480000002</v>
      </c>
      <c r="AM93" s="6">
        <f>[1]Results!AP1512</f>
        <v>3141247.949</v>
      </c>
      <c r="AN93" s="6">
        <f>[1]Results!AQ1512</f>
        <v>3180667.8670000001</v>
      </c>
      <c r="AO93" s="6">
        <f>[1]Results!AR1512</f>
        <v>3220424.0490000001</v>
      </c>
      <c r="AP93" s="6">
        <f>[1]Results!AS1512</f>
        <v>3260554.37</v>
      </c>
      <c r="AQ93" s="6">
        <f>[1]Results!AT1512</f>
        <v>3301094.7</v>
      </c>
      <c r="AR93" s="6">
        <f>[1]Results!AU1512</f>
        <v>3342136.4</v>
      </c>
      <c r="AS93" s="6">
        <f>[1]Results!AV1512</f>
        <v>3383660.9139999999</v>
      </c>
      <c r="AT93" s="6">
        <f>[1]Results!AW1512</f>
        <v>3425686.156</v>
      </c>
      <c r="AU93" s="6">
        <f>[1]Results!AX1512</f>
        <v>3468222.6120000002</v>
      </c>
      <c r="AV93" s="6">
        <f>[1]Results!AY1512</f>
        <v>3511276.0559999999</v>
      </c>
      <c r="AW93" s="6">
        <f>[1]Results!AZ1512</f>
        <v>3555174.6209999998</v>
      </c>
      <c r="AX93" s="6">
        <f>[1]Results!BA1512</f>
        <v>3599673.213</v>
      </c>
      <c r="AY93" s="6">
        <f>[1]Results!BB1512</f>
        <v>3644759.1430000002</v>
      </c>
      <c r="AZ93" s="6">
        <f>[1]Results!BC1512</f>
        <v>3690416.3810000001</v>
      </c>
      <c r="BA93" s="6">
        <f>[1]Results!BD1512</f>
        <v>3736632.8330000001</v>
      </c>
      <c r="BB93" s="6">
        <f>[1]Results!BE1512</f>
        <v>4435341.7680000002</v>
      </c>
      <c r="BC93" s="6">
        <f>[1]Results!BF1512</f>
        <v>4509946.5190000003</v>
      </c>
      <c r="BD93" s="6">
        <f>[1]Results!BG1512</f>
        <v>4585737.1710000001</v>
      </c>
      <c r="BE93" s="6">
        <f>[1]Results!BH1512</f>
        <v>4662731.2929999996</v>
      </c>
      <c r="BF93" s="6">
        <f>[1]Results!BI1512</f>
        <v>4740947.9249999998</v>
      </c>
    </row>
    <row r="94" spans="1:58" x14ac:dyDescent="0.35">
      <c r="B94" t="s">
        <v>7</v>
      </c>
      <c r="C94" s="6">
        <f>[1]Results!F1513</f>
        <v>35200.713430000003</v>
      </c>
      <c r="D94" s="6">
        <f>[1]Results!G1513</f>
        <v>35171.026180000001</v>
      </c>
      <c r="E94" s="6">
        <f>[1]Results!H1513</f>
        <v>35228.440340000001</v>
      </c>
      <c r="F94" s="6">
        <f>[1]Results!I1513</f>
        <v>35359.729760000002</v>
      </c>
      <c r="G94" s="6">
        <f>[1]Results!J1513</f>
        <v>35556.147669999998</v>
      </c>
      <c r="H94" s="6">
        <f>[1]Results!K1513</f>
        <v>35806.128879999997</v>
      </c>
      <c r="I94" s="6">
        <f>[1]Results!L1513</f>
        <v>36073.522040000003</v>
      </c>
      <c r="J94" s="6">
        <f>[1]Results!M1513</f>
        <v>36366.779470000001</v>
      </c>
      <c r="K94" s="6">
        <f>[1]Results!N1513</f>
        <v>36679.30932</v>
      </c>
      <c r="L94" s="6">
        <f>[1]Results!O1513</f>
        <v>37005.833809999996</v>
      </c>
      <c r="M94" s="6">
        <f>[1]Results!P1513</f>
        <v>37330.639380000001</v>
      </c>
      <c r="N94" s="6">
        <f>[1]Results!Q1513</f>
        <v>37711.748379999997</v>
      </c>
      <c r="O94" s="6">
        <f>[1]Results!R1513</f>
        <v>38096.737390000002</v>
      </c>
      <c r="P94" s="6">
        <f>[1]Results!S1513</f>
        <v>38488.120410000003</v>
      </c>
      <c r="Q94" s="6">
        <f>[1]Results!T1513</f>
        <v>38884.825779999999</v>
      </c>
      <c r="R94" s="6">
        <f>[1]Results!U1513</f>
        <v>39285.46488</v>
      </c>
      <c r="S94" s="6">
        <f>[1]Results!V1513</f>
        <v>39679.754419999997</v>
      </c>
      <c r="T94" s="6">
        <f>[1]Results!W1513</f>
        <v>40074.132899999997</v>
      </c>
      <c r="U94" s="6">
        <f>[1]Results!X1513</f>
        <v>40468.72582</v>
      </c>
      <c r="V94" s="6">
        <f>[1]Results!Y1513</f>
        <v>40863.402549999999</v>
      </c>
      <c r="W94" s="6">
        <f>[1]Results!Z1513</f>
        <v>41230.362150000001</v>
      </c>
      <c r="X94" s="6">
        <f>[1]Results!AA1513</f>
        <v>41617.26453</v>
      </c>
      <c r="Y94" s="6">
        <f>[1]Results!AB1513</f>
        <v>42006.193619999998</v>
      </c>
      <c r="Z94" s="6">
        <f>[1]Results!AC1513</f>
        <v>42397.40019</v>
      </c>
      <c r="AA94" s="6">
        <f>[1]Results!AD1513</f>
        <v>42790.946179999999</v>
      </c>
      <c r="AB94" s="6">
        <f>[1]Results!AE1513</f>
        <v>43108.618179999998</v>
      </c>
      <c r="AC94" s="6">
        <f>[1]Results!AF1513</f>
        <v>43452.000639999998</v>
      </c>
      <c r="AD94" s="6">
        <f>[1]Results!AG1513</f>
        <v>43792.34721</v>
      </c>
      <c r="AE94" s="6">
        <f>[1]Results!AH1513</f>
        <v>44131.768830000001</v>
      </c>
      <c r="AF94" s="6">
        <f>[1]Results!AI1513</f>
        <v>44472.04636</v>
      </c>
      <c r="AG94" s="6">
        <f>[1]Results!AJ1513</f>
        <v>44814.509169999998</v>
      </c>
      <c r="AH94" s="6">
        <f>[1]Results!AK1513</f>
        <v>45162.788189999999</v>
      </c>
      <c r="AI94" s="6">
        <f>[1]Results!AL1513</f>
        <v>45515.258199999997</v>
      </c>
      <c r="AJ94" s="6">
        <f>[1]Results!AM1513</f>
        <v>45871.989379999999</v>
      </c>
      <c r="AK94" s="6">
        <f>[1]Results!AN1513</f>
        <v>46233.001109999997</v>
      </c>
      <c r="AL94" s="6">
        <f>[1]Results!AO1513</f>
        <v>46598.217259999998</v>
      </c>
      <c r="AM94" s="6">
        <f>[1]Results!AP1513</f>
        <v>46975.169260000002</v>
      </c>
      <c r="AN94" s="6">
        <f>[1]Results!AQ1513</f>
        <v>47355.453099999999</v>
      </c>
      <c r="AO94" s="6">
        <f>[1]Results!AR1513</f>
        <v>47737.806490000003</v>
      </c>
      <c r="AP94" s="6">
        <f>[1]Results!AS1513</f>
        <v>48122.426480000002</v>
      </c>
      <c r="AQ94" s="6">
        <f>[1]Results!AT1513</f>
        <v>48509.738449999997</v>
      </c>
      <c r="AR94" s="6">
        <f>[1]Results!AU1513</f>
        <v>48904.530189999998</v>
      </c>
      <c r="AS94" s="6">
        <f>[1]Results!AV1513</f>
        <v>49303.624479999999</v>
      </c>
      <c r="AT94" s="6">
        <f>[1]Results!AW1513</f>
        <v>49706.900419999998</v>
      </c>
      <c r="AU94" s="6">
        <f>[1]Results!AX1513</f>
        <v>50114.355669999997</v>
      </c>
      <c r="AV94" s="6">
        <f>[1]Results!AY1513</f>
        <v>50525.944589999999</v>
      </c>
      <c r="AW94" s="6">
        <f>[1]Results!AZ1513</f>
        <v>50958.726629999997</v>
      </c>
      <c r="AX94" s="6">
        <f>[1]Results!BA1513</f>
        <v>51398.834269999999</v>
      </c>
      <c r="AY94" s="6">
        <f>[1]Results!BB1513</f>
        <v>51844.742299999998</v>
      </c>
      <c r="AZ94" s="6">
        <f>[1]Results!BC1513</f>
        <v>52295.75245</v>
      </c>
      <c r="BA94" s="6">
        <f>[1]Results!BD1513</f>
        <v>52751.38495</v>
      </c>
      <c r="BB94" s="6">
        <f>[1]Results!BE1513</f>
        <v>73046.369460000002</v>
      </c>
      <c r="BC94" s="6">
        <f>[1]Results!BF1513</f>
        <v>74178.173190000001</v>
      </c>
      <c r="BD94" s="6">
        <f>[1]Results!BG1513</f>
        <v>75329.311960000006</v>
      </c>
      <c r="BE94" s="6">
        <f>[1]Results!BH1513</f>
        <v>76500.127600000007</v>
      </c>
      <c r="BF94" s="6">
        <f>[1]Results!BI1513</f>
        <v>77691.000880000007</v>
      </c>
    </row>
    <row r="95" spans="1:58" x14ac:dyDescent="0.35">
      <c r="B95" t="s">
        <v>30</v>
      </c>
      <c r="C95" s="6">
        <f>[1]Results!F1516</f>
        <v>324329.33279999997</v>
      </c>
      <c r="D95" s="6">
        <f>[1]Results!G1516</f>
        <v>328068.1985</v>
      </c>
      <c r="E95" s="6">
        <f>[1]Results!H1516</f>
        <v>331758.3689</v>
      </c>
      <c r="F95" s="6">
        <f>[1]Results!I1516</f>
        <v>335719.58189999999</v>
      </c>
      <c r="G95" s="6">
        <f>[1]Results!J1516</f>
        <v>339961.16869999998</v>
      </c>
      <c r="H95" s="6">
        <f>[1]Results!K1516</f>
        <v>344434.3602</v>
      </c>
      <c r="I95" s="6">
        <f>[1]Results!L1516</f>
        <v>348849.63870000001</v>
      </c>
      <c r="J95" s="6">
        <f>[1]Results!M1516</f>
        <v>353387.09259999997</v>
      </c>
      <c r="K95" s="6">
        <f>[1]Results!N1516</f>
        <v>358021.89539999998</v>
      </c>
      <c r="L95" s="6">
        <f>[1]Results!O1516</f>
        <v>362744.88170000003</v>
      </c>
      <c r="M95" s="6">
        <f>[1]Results!P1516</f>
        <v>367311.91810000001</v>
      </c>
      <c r="N95" s="6">
        <f>[1]Results!Q1516</f>
        <v>372689.83279999997</v>
      </c>
      <c r="O95" s="6">
        <f>[1]Results!R1516</f>
        <v>378082.16619999998</v>
      </c>
      <c r="P95" s="6">
        <f>[1]Results!S1516</f>
        <v>383556.03610000003</v>
      </c>
      <c r="Q95" s="6">
        <f>[1]Results!T1516</f>
        <v>389113.64230000001</v>
      </c>
      <c r="R95" s="6">
        <f>[1]Results!U1516</f>
        <v>394753.01750000002</v>
      </c>
      <c r="S95" s="6">
        <f>[1]Results!V1516</f>
        <v>400442.02529999998</v>
      </c>
      <c r="T95" s="6">
        <f>[1]Results!W1516</f>
        <v>406213.022</v>
      </c>
      <c r="U95" s="6">
        <f>[1]Results!X1516</f>
        <v>412065.95990000002</v>
      </c>
      <c r="V95" s="6">
        <f>[1]Results!Y1516</f>
        <v>418004.27549999999</v>
      </c>
      <c r="W95" s="6">
        <f>[1]Results!Z1516</f>
        <v>423732.36040000001</v>
      </c>
      <c r="X95" s="6">
        <f>[1]Results!AA1516</f>
        <v>429800.8665</v>
      </c>
      <c r="Y95" s="6">
        <f>[1]Results!AB1516</f>
        <v>435962.04330000002</v>
      </c>
      <c r="Z95" s="6">
        <f>[1]Results!AC1516</f>
        <v>442233.83600000001</v>
      </c>
      <c r="AA95" s="6">
        <f>[1]Results!AD1516</f>
        <v>448620.19530000002</v>
      </c>
      <c r="AB95" s="6">
        <f>[1]Results!AE1516</f>
        <v>454264.60930000001</v>
      </c>
      <c r="AC95" s="6">
        <f>[1]Results!AF1516</f>
        <v>460338.69919999997</v>
      </c>
      <c r="AD95" s="6">
        <f>[1]Results!AG1516</f>
        <v>466439.49719999998</v>
      </c>
      <c r="AE95" s="6">
        <f>[1]Results!AH1516</f>
        <v>472602.04149999999</v>
      </c>
      <c r="AF95" s="6">
        <f>[1]Results!AI1516</f>
        <v>478839.41759999999</v>
      </c>
      <c r="AG95" s="6">
        <f>[1]Results!AJ1516</f>
        <v>485159.22659999999</v>
      </c>
      <c r="AH95" s="6">
        <f>[1]Results!AK1516</f>
        <v>491575.63299999997</v>
      </c>
      <c r="AI95" s="6">
        <f>[1]Results!AL1516</f>
        <v>498081.67700000003</v>
      </c>
      <c r="AJ95" s="6">
        <f>[1]Results!AM1516</f>
        <v>504678.13990000001</v>
      </c>
      <c r="AK95" s="6">
        <f>[1]Results!AN1516</f>
        <v>511363.42800000001</v>
      </c>
      <c r="AL95" s="6">
        <f>[1]Results!AO1516</f>
        <v>518134.93479999999</v>
      </c>
      <c r="AM95" s="6">
        <f>[1]Results!AP1516</f>
        <v>524876.21640000003</v>
      </c>
      <c r="AN95" s="6">
        <f>[1]Results!AQ1516</f>
        <v>531662.01740000001</v>
      </c>
      <c r="AO95" s="6">
        <f>[1]Results!AR1516</f>
        <v>538492.70750000002</v>
      </c>
      <c r="AP95" s="6">
        <f>[1]Results!AS1516</f>
        <v>545369.73750000005</v>
      </c>
      <c r="AQ95" s="6">
        <f>[1]Results!AT1516</f>
        <v>552294.93130000005</v>
      </c>
      <c r="AR95" s="6">
        <f>[1]Results!AU1516</f>
        <v>559285.8003</v>
      </c>
      <c r="AS95" s="6">
        <f>[1]Results!AV1516</f>
        <v>566329.45739999996</v>
      </c>
      <c r="AT95" s="6">
        <f>[1]Results!AW1516</f>
        <v>573428.18330000003</v>
      </c>
      <c r="AU95" s="6">
        <f>[1]Results!AX1516</f>
        <v>580582.28390000004</v>
      </c>
      <c r="AV95" s="6">
        <f>[1]Results!AY1516</f>
        <v>587791.56669999997</v>
      </c>
      <c r="AW95" s="6">
        <f>[1]Results!AZ1516</f>
        <v>595130.18079999997</v>
      </c>
      <c r="AX95" s="6">
        <f>[1]Results!BA1516</f>
        <v>602530.93779999996</v>
      </c>
      <c r="AY95" s="6">
        <f>[1]Results!BB1516</f>
        <v>609997.61620000005</v>
      </c>
      <c r="AZ95" s="6">
        <f>[1]Results!BC1516</f>
        <v>617528.21479999996</v>
      </c>
      <c r="BA95" s="6">
        <f>[1]Results!BD1516</f>
        <v>625120.88580000005</v>
      </c>
      <c r="BB95" s="6">
        <f>[1]Results!BE1516</f>
        <v>779782.38390000002</v>
      </c>
      <c r="BC95" s="6">
        <f>[1]Results!BF1516</f>
        <v>793578.7855</v>
      </c>
      <c r="BD95" s="6">
        <f>[1]Results!BG1516</f>
        <v>807567.57739999995</v>
      </c>
      <c r="BE95" s="6">
        <f>[1]Results!BH1516</f>
        <v>821748.6128</v>
      </c>
      <c r="BF95" s="6">
        <f>[1]Results!BI1516</f>
        <v>836122.06779999996</v>
      </c>
    </row>
    <row r="96" spans="1:58" x14ac:dyDescent="0.35">
      <c r="B96" t="s">
        <v>9</v>
      </c>
      <c r="C96" s="6">
        <f>[1]Results!F1528</f>
        <v>47549.798320000002</v>
      </c>
      <c r="D96" s="6">
        <f>[1]Results!G1528</f>
        <v>48046.583279999999</v>
      </c>
      <c r="E96" s="6">
        <f>[1]Results!H1528</f>
        <v>48527.521359999999</v>
      </c>
      <c r="F96" s="6">
        <f>[1]Results!I1528</f>
        <v>49050.879119999998</v>
      </c>
      <c r="G96" s="6">
        <f>[1]Results!J1528</f>
        <v>49623.458409999999</v>
      </c>
      <c r="H96" s="6">
        <f>[1]Results!K1528</f>
        <v>50239.566250000003</v>
      </c>
      <c r="I96" s="6">
        <f>[1]Results!L1528</f>
        <v>50855.095079999999</v>
      </c>
      <c r="J96" s="6">
        <f>[1]Results!M1528</f>
        <v>51494.891280000003</v>
      </c>
      <c r="K96" s="6">
        <f>[1]Results!N1528</f>
        <v>52153.176890000002</v>
      </c>
      <c r="L96" s="6">
        <f>[1]Results!O1528</f>
        <v>52826.279929999997</v>
      </c>
      <c r="M96" s="6">
        <f>[1]Results!P1528</f>
        <v>53485.803769999999</v>
      </c>
      <c r="N96" s="6">
        <f>[1]Results!Q1528</f>
        <v>54245.818319999998</v>
      </c>
      <c r="O96" s="6">
        <f>[1]Results!R1528</f>
        <v>55007.144050000003</v>
      </c>
      <c r="P96" s="6">
        <f>[1]Results!S1528</f>
        <v>55777.041140000001</v>
      </c>
      <c r="Q96" s="6">
        <f>[1]Results!T1528</f>
        <v>56554.833630000001</v>
      </c>
      <c r="R96" s="6">
        <f>[1]Results!U1528</f>
        <v>57339.353190000002</v>
      </c>
      <c r="S96" s="6">
        <f>[1]Results!V1528</f>
        <v>58125.420989999999</v>
      </c>
      <c r="T96" s="6">
        <f>[1]Results!W1528</f>
        <v>58916.677609999999</v>
      </c>
      <c r="U96" s="6">
        <f>[1]Results!X1528</f>
        <v>59712.636480000001</v>
      </c>
      <c r="V96" s="6">
        <f>[1]Results!Y1528</f>
        <v>60513.430200000003</v>
      </c>
      <c r="W96" s="6">
        <f>[1]Results!Z1528</f>
        <v>61274.219689999998</v>
      </c>
      <c r="X96" s="6">
        <f>[1]Results!AA1528</f>
        <v>62078.533560000003</v>
      </c>
      <c r="Y96" s="6">
        <f>[1]Results!AB1528</f>
        <v>62889.344040000004</v>
      </c>
      <c r="Z96" s="6">
        <f>[1]Results!AC1528</f>
        <v>63709.100570000002</v>
      </c>
      <c r="AA96" s="6">
        <f>[1]Results!AD1528</f>
        <v>64538.59201</v>
      </c>
      <c r="AB96" s="6">
        <f>[1]Results!AE1528</f>
        <v>65248.651059999997</v>
      </c>
      <c r="AC96" s="6">
        <f>[1]Results!AF1528</f>
        <v>66017.949989999994</v>
      </c>
      <c r="AD96" s="6">
        <f>[1]Results!AG1528</f>
        <v>66787.690520000004</v>
      </c>
      <c r="AE96" s="6">
        <f>[1]Results!AH1528</f>
        <v>67563.391770000002</v>
      </c>
      <c r="AF96" s="6">
        <f>[1]Results!AI1528</f>
        <v>68347.823390000005</v>
      </c>
      <c r="AG96" s="6">
        <f>[1]Results!AJ1528</f>
        <v>69142.906499999997</v>
      </c>
      <c r="AH96" s="6">
        <f>[1]Results!AK1528</f>
        <v>69951.285610000006</v>
      </c>
      <c r="AI96" s="6">
        <f>[1]Results!AL1528</f>
        <v>70772.627139999997</v>
      </c>
      <c r="AJ96" s="6">
        <f>[1]Results!AM1528</f>
        <v>71607.525070000003</v>
      </c>
      <c r="AK96" s="6">
        <f>[1]Results!AN1528</f>
        <v>72456.194699999993</v>
      </c>
      <c r="AL96" s="6">
        <f>[1]Results!AO1528</f>
        <v>73318.663449999993</v>
      </c>
      <c r="AM96" s="6">
        <f>[1]Results!AP1528</f>
        <v>74176.164409999998</v>
      </c>
      <c r="AN96" s="6">
        <f>[1]Results!AQ1528</f>
        <v>75042.24381</v>
      </c>
      <c r="AO96" s="6">
        <f>[1]Results!AR1528</f>
        <v>75917.590899999996</v>
      </c>
      <c r="AP96" s="6">
        <f>[1]Results!AS1528</f>
        <v>76803.006680000006</v>
      </c>
      <c r="AQ96" s="6">
        <f>[1]Results!AT1528</f>
        <v>77699.281839999996</v>
      </c>
      <c r="AR96" s="6">
        <f>[1]Results!AU1528</f>
        <v>78609.210949999993</v>
      </c>
      <c r="AS96" s="6">
        <f>[1]Results!AV1528</f>
        <v>79531.386129999999</v>
      </c>
      <c r="AT96" s="6">
        <f>[1]Results!AW1528</f>
        <v>80466.313869999998</v>
      </c>
      <c r="AU96" s="6">
        <f>[1]Results!AX1528</f>
        <v>81414.170060000004</v>
      </c>
      <c r="AV96" s="6">
        <f>[1]Results!AY1528</f>
        <v>82374.999219999998</v>
      </c>
      <c r="AW96" s="6">
        <f>[1]Results!AZ1528</f>
        <v>83359.085229999997</v>
      </c>
      <c r="AX96" s="6">
        <f>[1]Results!BA1528</f>
        <v>84357.064899999998</v>
      </c>
      <c r="AY96" s="6">
        <f>[1]Results!BB1528</f>
        <v>85369.280889999995</v>
      </c>
      <c r="AZ96" s="6">
        <f>[1]Results!BC1528</f>
        <v>86395.373540000001</v>
      </c>
      <c r="BA96" s="6">
        <f>[1]Results!BD1528</f>
        <v>87434.998130000007</v>
      </c>
      <c r="BB96" s="6">
        <f>[1]Results!BE1528</f>
        <v>104246.85159999999</v>
      </c>
      <c r="BC96" s="6">
        <f>[1]Results!BF1528</f>
        <v>105947.7721</v>
      </c>
      <c r="BD96" s="6">
        <f>[1]Results!BG1528</f>
        <v>107679.07919999999</v>
      </c>
      <c r="BE96" s="6">
        <f>[1]Results!BH1528</f>
        <v>109441.3615</v>
      </c>
      <c r="BF96" s="6">
        <f>[1]Results!BI1528</f>
        <v>111235.22809999999</v>
      </c>
    </row>
    <row r="97" spans="1:58" x14ac:dyDescent="0.35">
      <c r="B97" t="s">
        <v>10</v>
      </c>
      <c r="C97" s="6">
        <f>[1]Results!F1533</f>
        <v>1496123.1259999999</v>
      </c>
      <c r="D97" s="6">
        <f>[1]Results!G1533</f>
        <v>1509488.064</v>
      </c>
      <c r="E97" s="6">
        <f>[1]Results!H1533</f>
        <v>1525842.0649999999</v>
      </c>
      <c r="F97" s="6">
        <f>[1]Results!I1533</f>
        <v>1544216.061</v>
      </c>
      <c r="G97" s="6">
        <f>[1]Results!J1533</f>
        <v>1564325.2339999999</v>
      </c>
      <c r="H97" s="6">
        <f>[1]Results!K1533</f>
        <v>1585906.423</v>
      </c>
      <c r="I97" s="6">
        <f>[1]Results!L1533</f>
        <v>1607604.3459999999</v>
      </c>
      <c r="J97" s="6">
        <f>[1]Results!M1533</f>
        <v>1630068.1229999999</v>
      </c>
      <c r="K97" s="6">
        <f>[1]Results!N1533</f>
        <v>1653213.196</v>
      </c>
      <c r="L97" s="6">
        <f>[1]Results!O1533</f>
        <v>1676962.618</v>
      </c>
      <c r="M97" s="6">
        <f>[1]Results!P1533</f>
        <v>1701743.7830000001</v>
      </c>
      <c r="N97" s="6">
        <f>[1]Results!Q1533</f>
        <v>1727569.166</v>
      </c>
      <c r="O97" s="6">
        <f>[1]Results!R1533</f>
        <v>1753996.6029999999</v>
      </c>
      <c r="P97" s="6">
        <f>[1]Results!S1533</f>
        <v>1780924.2050000001</v>
      </c>
      <c r="Q97" s="6">
        <f>[1]Results!T1533</f>
        <v>1808289.7220000001</v>
      </c>
      <c r="R97" s="6">
        <f>[1]Results!U1533</f>
        <v>1836049.0630000001</v>
      </c>
      <c r="S97" s="6">
        <f>[1]Results!V1533</f>
        <v>1864098.8770000001</v>
      </c>
      <c r="T97" s="6">
        <f>[1]Results!W1533</f>
        <v>1892466.0049999999</v>
      </c>
      <c r="U97" s="6">
        <f>[1]Results!X1533</f>
        <v>1921139.4739999999</v>
      </c>
      <c r="V97" s="6">
        <f>[1]Results!Y1533</f>
        <v>1950113.777</v>
      </c>
      <c r="W97" s="6">
        <f>[1]Results!Z1533</f>
        <v>1977964.2180000001</v>
      </c>
      <c r="X97" s="6">
        <f>[1]Results!AA1533</f>
        <v>2007166.862</v>
      </c>
      <c r="Y97" s="6">
        <f>[1]Results!AB1533</f>
        <v>2036765.4010000001</v>
      </c>
      <c r="Z97" s="6">
        <f>[1]Results!AC1533</f>
        <v>2066757.5160000001</v>
      </c>
      <c r="AA97" s="6">
        <f>[1]Results!AD1533</f>
        <v>2097145.3489999999</v>
      </c>
      <c r="AB97" s="6">
        <f>[1]Results!AE1533</f>
        <v>2123827.5109999999</v>
      </c>
      <c r="AC97" s="6">
        <f>[1]Results!AF1533</f>
        <v>2152018.1379999998</v>
      </c>
      <c r="AD97" s="6">
        <f>[1]Results!AG1533</f>
        <v>2180331.9909999999</v>
      </c>
      <c r="AE97" s="6">
        <f>[1]Results!AH1533</f>
        <v>2208848.7620000001</v>
      </c>
      <c r="AF97" s="6">
        <f>[1]Results!AI1533</f>
        <v>2237640.264</v>
      </c>
      <c r="AG97" s="6">
        <f>[1]Results!AJ1533</f>
        <v>2266764.1349999998</v>
      </c>
      <c r="AH97" s="6">
        <f>[1]Results!AK1533</f>
        <v>2296284.4019999998</v>
      </c>
      <c r="AI97" s="6">
        <f>[1]Results!AL1533</f>
        <v>2326215.159</v>
      </c>
      <c r="AJ97" s="6">
        <f>[1]Results!AM1533</f>
        <v>2356572.81</v>
      </c>
      <c r="AK97" s="6">
        <f>[1]Results!AN1533</f>
        <v>2387366.165</v>
      </c>
      <c r="AL97" s="6">
        <f>[1]Results!AO1533</f>
        <v>2418599.219</v>
      </c>
      <c r="AM97" s="6">
        <f>[1]Results!AP1533</f>
        <v>2449491.0410000002</v>
      </c>
      <c r="AN97" s="6">
        <f>[1]Results!AQ1533</f>
        <v>2480615.838</v>
      </c>
      <c r="AO97" s="6">
        <f>[1]Results!AR1533</f>
        <v>2512014.2889999999</v>
      </c>
      <c r="AP97" s="6">
        <f>[1]Results!AS1533</f>
        <v>2543721.9759999998</v>
      </c>
      <c r="AQ97" s="6">
        <f>[1]Results!AT1533</f>
        <v>2575771.926</v>
      </c>
      <c r="AR97" s="6">
        <f>[1]Results!AU1533</f>
        <v>2608228.7220000001</v>
      </c>
      <c r="AS97" s="6">
        <f>[1]Results!AV1533</f>
        <v>2641092.8450000002</v>
      </c>
      <c r="AT97" s="6">
        <f>[1]Results!AW1533</f>
        <v>2674379.898</v>
      </c>
      <c r="AU97" s="6">
        <f>[1]Results!AX1533</f>
        <v>2708100.2289999998</v>
      </c>
      <c r="AV97" s="6">
        <f>[1]Results!AY1533</f>
        <v>2742260.148</v>
      </c>
      <c r="AW97" s="6">
        <f>[1]Results!AZ1533</f>
        <v>2777078.486</v>
      </c>
      <c r="AX97" s="6">
        <f>[1]Results!BA1533</f>
        <v>2812406.7859999998</v>
      </c>
      <c r="AY97" s="6">
        <f>[1]Results!BB1533</f>
        <v>2848230.6230000001</v>
      </c>
      <c r="AZ97" s="6">
        <f>[1]Results!BC1533</f>
        <v>2884537.7659999998</v>
      </c>
      <c r="BA97" s="6">
        <f>[1]Results!BD1533</f>
        <v>2921319.426</v>
      </c>
      <c r="BB97" s="6">
        <f>[1]Results!BE1533</f>
        <v>3416677.1430000002</v>
      </c>
      <c r="BC97" s="6">
        <f>[1]Results!BF1533</f>
        <v>3473898.909</v>
      </c>
      <c r="BD97" s="6">
        <f>[1]Results!BG1533</f>
        <v>3532050.4369999999</v>
      </c>
      <c r="BE97" s="6">
        <f>[1]Results!BH1533</f>
        <v>3591148.4539999999</v>
      </c>
      <c r="BF97" s="6">
        <f>[1]Results!BI1533</f>
        <v>3651210.7570000002</v>
      </c>
    </row>
    <row r="98" spans="1:58" x14ac:dyDescent="0.35">
      <c r="B98" t="s">
        <v>29</v>
      </c>
      <c r="C98" s="6">
        <f>C103-C99</f>
        <v>-2017.8644887</v>
      </c>
      <c r="D98" s="6">
        <f t="shared" ref="D98:AL98" si="56">D103-D99</f>
        <v>-1988.7382393999999</v>
      </c>
      <c r="E98" s="6">
        <f t="shared" si="56"/>
        <v>-1991.5493780000002</v>
      </c>
      <c r="F98" s="6">
        <f t="shared" si="56"/>
        <v>-1999.1822397000001</v>
      </c>
      <c r="G98" s="6">
        <f t="shared" si="56"/>
        <v>-2009.5535871000002</v>
      </c>
      <c r="H98" s="6">
        <f t="shared" si="56"/>
        <v>-2023.3044737999999</v>
      </c>
      <c r="I98" s="6">
        <f t="shared" si="56"/>
        <v>-2040.6302889999999</v>
      </c>
      <c r="J98" s="6">
        <f t="shared" si="56"/>
        <v>-2058.8239321999999</v>
      </c>
      <c r="K98" s="6">
        <f t="shared" si="56"/>
        <v>-2078.4480184999998</v>
      </c>
      <c r="L98" s="6">
        <f t="shared" si="56"/>
        <v>-2099.1806544000001</v>
      </c>
      <c r="M98" s="6">
        <f t="shared" si="56"/>
        <v>-2121.1250210999997</v>
      </c>
      <c r="N98" s="6">
        <f t="shared" si="56"/>
        <v>-2139.6575231000002</v>
      </c>
      <c r="O98" s="6">
        <f t="shared" si="56"/>
        <v>-2164.1223835999999</v>
      </c>
      <c r="P98" s="6">
        <f t="shared" si="56"/>
        <v>-2189.6810690000002</v>
      </c>
      <c r="Q98" s="6">
        <f t="shared" si="56"/>
        <v>-2215.4448023999998</v>
      </c>
      <c r="R98" s="6">
        <f t="shared" si="56"/>
        <v>-2241.2950897000001</v>
      </c>
      <c r="S98" s="6">
        <f t="shared" si="56"/>
        <v>-2267.2922714000001</v>
      </c>
      <c r="T98" s="6">
        <f t="shared" si="56"/>
        <v>-2293.1644047999998</v>
      </c>
      <c r="U98" s="6">
        <f t="shared" si="56"/>
        <v>-2319.1120401000003</v>
      </c>
      <c r="V98" s="6">
        <f t="shared" si="56"/>
        <v>-2345.1816083000003</v>
      </c>
      <c r="W98" s="6">
        <f t="shared" si="56"/>
        <v>-2371.7414021</v>
      </c>
      <c r="X98" s="6">
        <f t="shared" si="56"/>
        <v>-2395.9775644000001</v>
      </c>
      <c r="Y98" s="6">
        <f t="shared" si="56"/>
        <v>-2421.8918170000002</v>
      </c>
      <c r="Z98" s="6">
        <f t="shared" si="56"/>
        <v>-2448.3886026999999</v>
      </c>
      <c r="AA98" s="6">
        <f t="shared" si="56"/>
        <v>-2475.2248108000003</v>
      </c>
      <c r="AB98" s="6">
        <f t="shared" si="56"/>
        <v>-2503.367326</v>
      </c>
      <c r="AC98" s="6">
        <f t="shared" si="56"/>
        <v>-2525.1978503999999</v>
      </c>
      <c r="AD98" s="6">
        <f t="shared" si="56"/>
        <v>-2548.8839364000005</v>
      </c>
      <c r="AE98" s="6">
        <f t="shared" si="56"/>
        <v>-2573.1539185000001</v>
      </c>
      <c r="AF98" s="6">
        <f t="shared" si="56"/>
        <v>-2597.7566143000004</v>
      </c>
      <c r="AG98" s="6">
        <f t="shared" si="56"/>
        <v>-2622.6883235999999</v>
      </c>
      <c r="AH98" s="6">
        <f t="shared" si="56"/>
        <v>-2647.9722332000001</v>
      </c>
      <c r="AI98" s="6">
        <f t="shared" si="56"/>
        <v>-2673.7291354999998</v>
      </c>
      <c r="AJ98" s="6">
        <f t="shared" si="56"/>
        <v>-2699.9301474000004</v>
      </c>
      <c r="AK98" s="6">
        <f t="shared" si="56"/>
        <v>-2726.5799959000001</v>
      </c>
      <c r="AL98" s="6">
        <f t="shared" si="56"/>
        <v>-2753.6824893999997</v>
      </c>
      <c r="AM98" s="6">
        <f t="shared" ref="AM98:BC98" si="57">AM103-AM99</f>
        <v>-2781.323934</v>
      </c>
      <c r="AN98" s="6">
        <f t="shared" si="57"/>
        <v>-2808.6233311999999</v>
      </c>
      <c r="AO98" s="6">
        <f t="shared" si="57"/>
        <v>-2836.0516640000001</v>
      </c>
      <c r="AP98" s="6">
        <f t="shared" si="57"/>
        <v>-2863.7676936999997</v>
      </c>
      <c r="AQ98" s="6">
        <f t="shared" si="57"/>
        <v>-2891.8317603</v>
      </c>
      <c r="AR98" s="6">
        <f t="shared" si="57"/>
        <v>-2920.2488263</v>
      </c>
      <c r="AS98" s="6">
        <f t="shared" si="57"/>
        <v>-2949.1723773000003</v>
      </c>
      <c r="AT98" s="6">
        <f t="shared" si="57"/>
        <v>-2978.5285018000004</v>
      </c>
      <c r="AU98" s="6">
        <f t="shared" si="57"/>
        <v>-3008.3103017000003</v>
      </c>
      <c r="AV98" s="6">
        <f t="shared" si="57"/>
        <v>-3038.5199503999997</v>
      </c>
      <c r="AW98" s="6">
        <f t="shared" si="57"/>
        <v>-3069.0434061999999</v>
      </c>
      <c r="AX98" s="6">
        <f t="shared" si="57"/>
        <v>-3100.5059292999999</v>
      </c>
      <c r="AY98" s="6">
        <f t="shared" si="57"/>
        <v>-3132.5077262999998</v>
      </c>
      <c r="AZ98" s="6">
        <f t="shared" si="57"/>
        <v>-3164.9717508000003</v>
      </c>
      <c r="BA98" s="6">
        <f t="shared" si="57"/>
        <v>-3197.8835457</v>
      </c>
      <c r="BB98" s="6">
        <f t="shared" si="57"/>
        <v>-3870.5352363000002</v>
      </c>
      <c r="BC98" s="6">
        <f t="shared" si="57"/>
        <v>-3927.7372703999999</v>
      </c>
      <c r="BD98" s="6">
        <f t="shared" ref="BD98:BF98" si="58">BD103-BD99</f>
        <v>-3985.8874222999993</v>
      </c>
      <c r="BE98" s="6">
        <f t="shared" si="58"/>
        <v>-4045.0042201999995</v>
      </c>
      <c r="BF98" s="6">
        <f t="shared" si="58"/>
        <v>-4105.1096029999999</v>
      </c>
    </row>
    <row r="99" spans="1:58" x14ac:dyDescent="0.35">
      <c r="B99" t="s">
        <v>36</v>
      </c>
      <c r="C99" s="6">
        <f>C101+C102</f>
        <v>-121.18769629999997</v>
      </c>
      <c r="D99" s="6">
        <f t="shared" ref="D99:AL99" si="59">D101+D102</f>
        <v>-115.52188459999996</v>
      </c>
      <c r="E99" s="6">
        <f t="shared" si="59"/>
        <v>-112.35345000000001</v>
      </c>
      <c r="F99" s="6">
        <f t="shared" si="59"/>
        <v>-109.67096729999997</v>
      </c>
      <c r="G99" s="6">
        <f t="shared" si="59"/>
        <v>-107.73397690000002</v>
      </c>
      <c r="H99" s="6">
        <f t="shared" si="59"/>
        <v>-106.62319819999999</v>
      </c>
      <c r="I99" s="6">
        <f t="shared" si="59"/>
        <v>-106.41476699999993</v>
      </c>
      <c r="J99" s="6">
        <f t="shared" si="59"/>
        <v>-106.5665868000001</v>
      </c>
      <c r="K99" s="6">
        <f t="shared" si="59"/>
        <v>-107.04525150000006</v>
      </c>
      <c r="L99" s="6">
        <f t="shared" si="59"/>
        <v>-107.78813860000002</v>
      </c>
      <c r="M99" s="6">
        <f t="shared" si="59"/>
        <v>-108.86588289999997</v>
      </c>
      <c r="N99" s="6">
        <f t="shared" si="59"/>
        <v>-109.43443789999992</v>
      </c>
      <c r="O99" s="6">
        <f t="shared" si="59"/>
        <v>-110.82737240000006</v>
      </c>
      <c r="P99" s="6">
        <f t="shared" si="59"/>
        <v>-112.41536599999995</v>
      </c>
      <c r="Q99" s="6">
        <f t="shared" si="59"/>
        <v>-114.07185960000004</v>
      </c>
      <c r="R99" s="6">
        <f t="shared" si="59"/>
        <v>-115.76232330000005</v>
      </c>
      <c r="S99" s="6">
        <f t="shared" si="59"/>
        <v>-117.48214559999997</v>
      </c>
      <c r="T99" s="6">
        <f t="shared" si="59"/>
        <v>-119.1887802</v>
      </c>
      <c r="U99" s="6">
        <f t="shared" si="59"/>
        <v>-120.8941959</v>
      </c>
      <c r="V99" s="6">
        <f t="shared" si="59"/>
        <v>-122.59375069999999</v>
      </c>
      <c r="W99" s="6">
        <f t="shared" si="59"/>
        <v>-124.53417290000004</v>
      </c>
      <c r="X99" s="6">
        <f t="shared" si="59"/>
        <v>-126.02614459999995</v>
      </c>
      <c r="Y99" s="6">
        <f t="shared" si="59"/>
        <v>-127.62849799999992</v>
      </c>
      <c r="Z99" s="6">
        <f t="shared" si="59"/>
        <v>-129.2260483</v>
      </c>
      <c r="AA99" s="6">
        <f t="shared" si="59"/>
        <v>-130.79832620000002</v>
      </c>
      <c r="AB99" s="6">
        <f t="shared" si="59"/>
        <v>-133.058989</v>
      </c>
      <c r="AC99" s="6">
        <f t="shared" si="59"/>
        <v>-134.39533659999995</v>
      </c>
      <c r="AD99" s="6">
        <f t="shared" si="59"/>
        <v>-135.85171259999993</v>
      </c>
      <c r="AE99" s="6">
        <f t="shared" si="59"/>
        <v>-137.27557350000006</v>
      </c>
      <c r="AF99" s="6">
        <f t="shared" si="59"/>
        <v>-138.64540769999996</v>
      </c>
      <c r="AG99" s="6">
        <f t="shared" si="59"/>
        <v>-139.96385439999995</v>
      </c>
      <c r="AH99" s="6">
        <f t="shared" si="59"/>
        <v>-141.23432980000007</v>
      </c>
      <c r="AI99" s="6">
        <f t="shared" si="59"/>
        <v>-142.47184149999998</v>
      </c>
      <c r="AJ99" s="6">
        <f t="shared" si="59"/>
        <v>-143.67577060000008</v>
      </c>
      <c r="AK99" s="6">
        <f t="shared" si="59"/>
        <v>-144.85009709999997</v>
      </c>
      <c r="AL99" s="6">
        <f t="shared" si="59"/>
        <v>-145.99837560000003</v>
      </c>
      <c r="AM99" s="6">
        <f t="shared" ref="AM99:BC99" si="60">AM101+AM102</f>
        <v>-147.267111</v>
      </c>
      <c r="AN99" s="6">
        <f t="shared" si="60"/>
        <v>-148.45907079999995</v>
      </c>
      <c r="AO99" s="6">
        <f t="shared" si="60"/>
        <v>-149.60884599999997</v>
      </c>
      <c r="AP99" s="6">
        <f t="shared" si="60"/>
        <v>-150.72853129999999</v>
      </c>
      <c r="AQ99" s="6">
        <f t="shared" si="60"/>
        <v>-151.82495770000003</v>
      </c>
      <c r="AR99" s="6">
        <f t="shared" si="60"/>
        <v>-152.90029370000002</v>
      </c>
      <c r="AS99" s="6">
        <f t="shared" si="60"/>
        <v>-153.97522370000002</v>
      </c>
      <c r="AT99" s="6">
        <f t="shared" si="60"/>
        <v>-155.04560719999995</v>
      </c>
      <c r="AU99" s="6">
        <f t="shared" si="60"/>
        <v>-156.11561929999993</v>
      </c>
      <c r="AV99" s="6">
        <f t="shared" si="60"/>
        <v>-157.18994860000009</v>
      </c>
      <c r="AW99" s="6">
        <f t="shared" si="60"/>
        <v>-158.24419179999995</v>
      </c>
      <c r="AX99" s="6">
        <f t="shared" si="60"/>
        <v>-159.35963670000001</v>
      </c>
      <c r="AY99" s="6">
        <f t="shared" si="60"/>
        <v>-160.49620770000001</v>
      </c>
      <c r="AZ99" s="6">
        <f t="shared" si="60"/>
        <v>-161.65209819999995</v>
      </c>
      <c r="BA99" s="6">
        <f t="shared" si="60"/>
        <v>-162.83037830000001</v>
      </c>
      <c r="BB99" s="6">
        <f t="shared" si="60"/>
        <v>-199.6492727000001</v>
      </c>
      <c r="BC99" s="6">
        <f t="shared" si="60"/>
        <v>-201.67183060000002</v>
      </c>
      <c r="BD99" s="6">
        <f t="shared" ref="BD99:BF99" si="61">BD101+BD102</f>
        <v>-203.70929770000009</v>
      </c>
      <c r="BE99" s="6">
        <f t="shared" si="61"/>
        <v>-205.76491780000015</v>
      </c>
      <c r="BF99" s="6">
        <f t="shared" si="61"/>
        <v>-207.84193600000003</v>
      </c>
    </row>
    <row r="100" spans="1:58" x14ac:dyDescent="0.35">
      <c r="B100" t="s">
        <v>33</v>
      </c>
      <c r="C100" s="6">
        <f>[1]Results!F1541</f>
        <v>39976.882259999998</v>
      </c>
      <c r="D100" s="6">
        <f>[1]Results!G1541</f>
        <v>40077.380270000001</v>
      </c>
      <c r="E100" s="6">
        <f>[1]Results!H1541</f>
        <v>40158.171679999999</v>
      </c>
      <c r="F100" s="6">
        <f>[1]Results!I1541</f>
        <v>40262.362070000003</v>
      </c>
      <c r="G100" s="6">
        <f>[1]Results!J1541</f>
        <v>40412.67164</v>
      </c>
      <c r="H100" s="6">
        <f>[1]Results!K1541</f>
        <v>40611.209410000003</v>
      </c>
      <c r="I100" s="6">
        <f>[1]Results!L1541</f>
        <v>40827.315139999999</v>
      </c>
      <c r="J100" s="6">
        <f>[1]Results!M1541</f>
        <v>41065.384550000002</v>
      </c>
      <c r="K100" s="6">
        <f>[1]Results!N1541</f>
        <v>41317.850350000001</v>
      </c>
      <c r="L100" s="6">
        <f>[1]Results!O1541</f>
        <v>41575.97395</v>
      </c>
      <c r="M100" s="6">
        <f>[1]Results!P1541</f>
        <v>41827.489159999997</v>
      </c>
      <c r="N100" s="6">
        <f>[1]Results!Q1541</f>
        <v>42105.440329999998</v>
      </c>
      <c r="O100" s="6">
        <f>[1]Results!R1541</f>
        <v>42382.697070000002</v>
      </c>
      <c r="P100" s="6">
        <f>[1]Results!S1541</f>
        <v>42658.96718</v>
      </c>
      <c r="Q100" s="6">
        <f>[1]Results!T1541</f>
        <v>42934.520570000001</v>
      </c>
      <c r="R100" s="6">
        <f>[1]Results!U1541</f>
        <v>43209.339399999997</v>
      </c>
      <c r="S100" s="6">
        <f>[1]Results!V1541</f>
        <v>43478.635329999997</v>
      </c>
      <c r="T100" s="6">
        <f>[1]Results!W1541</f>
        <v>43745.37803</v>
      </c>
      <c r="U100" s="6">
        <f>[1]Results!X1541</f>
        <v>44010.364459999997</v>
      </c>
      <c r="V100" s="6">
        <f>[1]Results!Y1541</f>
        <v>44274.202599999997</v>
      </c>
      <c r="W100" s="6">
        <f>[1]Results!Z1541</f>
        <v>44511.103929999997</v>
      </c>
      <c r="X100" s="6">
        <f>[1]Results!AA1541</f>
        <v>44766.071920000002</v>
      </c>
      <c r="Y100" s="6">
        <f>[1]Results!AB1541</f>
        <v>45025.918469999997</v>
      </c>
      <c r="Z100" s="6">
        <f>[1]Results!AC1541</f>
        <v>45289.437989999999</v>
      </c>
      <c r="AA100" s="6">
        <f>[1]Results!AD1541</f>
        <v>45556.806819999998</v>
      </c>
      <c r="AB100" s="6">
        <f>[1]Results!AE1541</f>
        <v>45754.259310000001</v>
      </c>
      <c r="AC100" s="6">
        <f>[1]Results!AF1541</f>
        <v>45973.580809999999</v>
      </c>
      <c r="AD100" s="6">
        <f>[1]Results!AG1541</f>
        <v>46197.852140000003</v>
      </c>
      <c r="AE100" s="6">
        <f>[1]Results!AH1541</f>
        <v>46426.644719999997</v>
      </c>
      <c r="AF100" s="6">
        <f>[1]Results!AI1541</f>
        <v>46660.890749999999</v>
      </c>
      <c r="AG100" s="6">
        <f>[1]Results!AJ1541</f>
        <v>46901.5409</v>
      </c>
      <c r="AH100" s="6">
        <f>[1]Results!AK1541</f>
        <v>47150.569210000001</v>
      </c>
      <c r="AI100" s="6">
        <f>[1]Results!AL1541</f>
        <v>47407.694990000004</v>
      </c>
      <c r="AJ100" s="6">
        <f>[1]Results!AM1541</f>
        <v>47673.03385</v>
      </c>
      <c r="AK100" s="6">
        <f>[1]Results!AN1541</f>
        <v>47946.597229999999</v>
      </c>
      <c r="AL100" s="6">
        <f>[1]Results!AO1541</f>
        <v>48228.271639999999</v>
      </c>
      <c r="AM100" s="6">
        <f>[1]Results!AP1541</f>
        <v>48512.165580000001</v>
      </c>
      <c r="AN100" s="6">
        <f>[1]Results!AQ1541</f>
        <v>48801.951289999997</v>
      </c>
      <c r="AO100" s="6">
        <f>[1]Results!AR1541</f>
        <v>49098.129359999999</v>
      </c>
      <c r="AP100" s="6">
        <f>[1]Results!AS1541</f>
        <v>49400.722959999999</v>
      </c>
      <c r="AQ100" s="6">
        <f>[1]Results!AT1541</f>
        <v>49709.605940000001</v>
      </c>
      <c r="AR100" s="6">
        <f>[1]Results!AU1541</f>
        <v>50026.465940000002</v>
      </c>
      <c r="AS100" s="6">
        <f>[1]Results!AV1541</f>
        <v>50349.935210000003</v>
      </c>
      <c r="AT100" s="6">
        <f>[1]Results!AW1541</f>
        <v>50679.57559</v>
      </c>
      <c r="AU100" s="6">
        <f>[1]Results!AX1541</f>
        <v>51015.046920000001</v>
      </c>
      <c r="AV100" s="6">
        <f>[1]Results!AY1541</f>
        <v>51356.019260000001</v>
      </c>
      <c r="AW100" s="6">
        <f>[1]Results!AZ1541</f>
        <v>51710.110500000003</v>
      </c>
      <c r="AX100" s="6">
        <f>[1]Results!BA1541</f>
        <v>52071.911310000003</v>
      </c>
      <c r="AY100" s="6">
        <f>[1]Results!BB1541</f>
        <v>52440.08526</v>
      </c>
      <c r="AZ100" s="6">
        <f>[1]Results!BC1541</f>
        <v>52813.81235</v>
      </c>
      <c r="BA100" s="6">
        <f>[1]Results!BD1541</f>
        <v>53192.453600000001</v>
      </c>
      <c r="BB100" s="6">
        <f>[1]Results!BE1541</f>
        <v>65457.206310000001</v>
      </c>
      <c r="BC100" s="6">
        <f>[1]Results!BF1541</f>
        <v>66266.410640000002</v>
      </c>
      <c r="BD100" s="6">
        <f>[1]Results!BG1541</f>
        <v>67090.519190000006</v>
      </c>
      <c r="BE100" s="6">
        <f>[1]Results!BH1541</f>
        <v>67929.616699999999</v>
      </c>
      <c r="BF100" s="6">
        <f>[1]Results!BI1541</f>
        <v>68783.803939999998</v>
      </c>
    </row>
    <row r="101" spans="1:58" x14ac:dyDescent="0.35">
      <c r="B101" t="s">
        <v>35</v>
      </c>
      <c r="C101" s="6">
        <f>[1]Results!F1538</f>
        <v>-608.62895709999998</v>
      </c>
      <c r="D101" s="6">
        <f>[1]Results!G1538</f>
        <v>-605.94152729999996</v>
      </c>
      <c r="E101" s="6">
        <f>[1]Results!H1538</f>
        <v>-606.00928820000001</v>
      </c>
      <c r="F101" s="6">
        <f>[1]Results!I1538</f>
        <v>-606.81943249999995</v>
      </c>
      <c r="G101" s="6">
        <f>[1]Results!J1538</f>
        <v>-608.79291660000001</v>
      </c>
      <c r="H101" s="6">
        <f>[1]Results!K1538</f>
        <v>-612.06220229999997</v>
      </c>
      <c r="I101" s="6">
        <f>[1]Results!L1538</f>
        <v>-616.33774659999995</v>
      </c>
      <c r="J101" s="6">
        <f>[1]Results!M1538</f>
        <v>-621.24227140000005</v>
      </c>
      <c r="K101" s="6">
        <f>[1]Results!N1538</f>
        <v>-626.70436310000002</v>
      </c>
      <c r="L101" s="6">
        <f>[1]Results!O1538</f>
        <v>-632.58095170000001</v>
      </c>
      <c r="M101" s="6">
        <f>[1]Results!P1538</f>
        <v>-638.57366730000001</v>
      </c>
      <c r="N101" s="6">
        <f>[1]Results!Q1538</f>
        <v>-644.89156579999997</v>
      </c>
      <c r="O101" s="6">
        <f>[1]Results!R1538</f>
        <v>-652.15042570000003</v>
      </c>
      <c r="P101" s="6">
        <f>[1]Results!S1538</f>
        <v>-659.67697999999996</v>
      </c>
      <c r="Q101" s="6">
        <f>[1]Results!T1538</f>
        <v>-667.34377930000005</v>
      </c>
      <c r="R101" s="6">
        <f>[1]Results!U1538</f>
        <v>-675.11731520000001</v>
      </c>
      <c r="S101" s="6">
        <f>[1]Results!V1538</f>
        <v>-682.9648353</v>
      </c>
      <c r="T101" s="6">
        <f>[1]Results!W1538</f>
        <v>-690.85906030000001</v>
      </c>
      <c r="U101" s="6">
        <f>[1]Results!X1538</f>
        <v>-698.8114554</v>
      </c>
      <c r="V101" s="6">
        <f>[1]Results!Y1538</f>
        <v>-706.81634989999998</v>
      </c>
      <c r="W101" s="6">
        <f>[1]Results!Z1538</f>
        <v>-714.71889590000001</v>
      </c>
      <c r="X101" s="6">
        <f>[1]Results!AA1538</f>
        <v>-722.5099017</v>
      </c>
      <c r="Y101" s="6">
        <f>[1]Results!AB1538</f>
        <v>-730.52860599999997</v>
      </c>
      <c r="Z101" s="6">
        <f>[1]Results!AC1538</f>
        <v>-738.63330199999996</v>
      </c>
      <c r="AA101" s="6">
        <f>[1]Results!AD1538</f>
        <v>-746.79995870000005</v>
      </c>
      <c r="AB101" s="6">
        <f>[1]Results!AE1538</f>
        <v>-754.60005560000002</v>
      </c>
      <c r="AC101" s="6">
        <f>[1]Results!AF1538</f>
        <v>-761.8267558</v>
      </c>
      <c r="AD101" s="6">
        <f>[1]Results!AG1538</f>
        <v>-769.25205419999998</v>
      </c>
      <c r="AE101" s="6">
        <f>[1]Results!AH1538</f>
        <v>-776.71063630000003</v>
      </c>
      <c r="AF101" s="6">
        <f>[1]Results!AI1538</f>
        <v>-784.19084759999998</v>
      </c>
      <c r="AG101" s="6">
        <f>[1]Results!AJ1538</f>
        <v>-791.70761049999999</v>
      </c>
      <c r="AH101" s="6">
        <f>[1]Results!AK1538</f>
        <v>-799.28226510000002</v>
      </c>
      <c r="AI101" s="6">
        <f>[1]Results!AL1538</f>
        <v>-806.93287329999998</v>
      </c>
      <c r="AJ101" s="6">
        <f>[1]Results!AM1538</f>
        <v>-814.66353860000004</v>
      </c>
      <c r="AK101" s="6">
        <f>[1]Results!AN1538</f>
        <v>-822.48133889999997</v>
      </c>
      <c r="AL101" s="6">
        <f>[1]Results!AO1538</f>
        <v>-830.39193520000003</v>
      </c>
      <c r="AM101" s="6">
        <f>[1]Results!AP1538</f>
        <v>-838.34188029999996</v>
      </c>
      <c r="AN101" s="6">
        <f>[1]Results!AQ1538</f>
        <v>-846.26728179999998</v>
      </c>
      <c r="AO101" s="6">
        <f>[1]Results!AR1538</f>
        <v>-854.23182980000001</v>
      </c>
      <c r="AP101" s="6">
        <f>[1]Results!AS1538</f>
        <v>-862.25961789999997</v>
      </c>
      <c r="AQ101" s="6">
        <f>[1]Results!AT1538</f>
        <v>-870.36437899999999</v>
      </c>
      <c r="AR101" s="6">
        <f>[1]Results!AU1538</f>
        <v>-878.56405040000004</v>
      </c>
      <c r="AS101" s="6">
        <f>[1]Results!AV1538</f>
        <v>-886.87403640000002</v>
      </c>
      <c r="AT101" s="6">
        <f>[1]Results!AW1538</f>
        <v>-895.29105719999995</v>
      </c>
      <c r="AU101" s="6">
        <f>[1]Results!AX1538</f>
        <v>-903.81973049999999</v>
      </c>
      <c r="AV101" s="6">
        <f>[1]Results!AY1538</f>
        <v>-912.46462110000004</v>
      </c>
      <c r="AW101" s="6">
        <f>[1]Results!AZ1538</f>
        <v>-921.26459339999997</v>
      </c>
      <c r="AX101" s="6">
        <f>[1]Results!BA1538</f>
        <v>-930.25528750000001</v>
      </c>
      <c r="AY101" s="6">
        <f>[1]Results!BB1538</f>
        <v>-939.39001450000001</v>
      </c>
      <c r="AZ101" s="6">
        <f>[1]Results!BC1538</f>
        <v>-948.66369229999998</v>
      </c>
      <c r="BA101" s="6">
        <f>[1]Results!BD1538</f>
        <v>-958.0771373</v>
      </c>
      <c r="BB101" s="6">
        <f>[1]Results!BE1538</f>
        <v>-1146.8100690000001</v>
      </c>
      <c r="BC101" s="6">
        <f>[1]Results!BF1538</f>
        <v>-1162.752213</v>
      </c>
      <c r="BD101" s="6">
        <f>[1]Results!BG1538</f>
        <v>-1178.9435550000001</v>
      </c>
      <c r="BE101" s="6">
        <f>[1]Results!BH1538</f>
        <v>-1195.3919310000001</v>
      </c>
      <c r="BF101" s="6">
        <f>[1]Results!BI1538</f>
        <v>-1212.105595</v>
      </c>
    </row>
    <row r="102" spans="1:58" x14ac:dyDescent="0.35">
      <c r="B102" t="s">
        <v>34</v>
      </c>
      <c r="C102" s="6">
        <f>[1]Results!F1540</f>
        <v>487.44126080000001</v>
      </c>
      <c r="D102" s="6">
        <f>[1]Results!G1540</f>
        <v>490.4196427</v>
      </c>
      <c r="E102" s="6">
        <f>[1]Results!H1540</f>
        <v>493.65583820000001</v>
      </c>
      <c r="F102" s="6">
        <f>[1]Results!I1540</f>
        <v>497.14846519999998</v>
      </c>
      <c r="G102" s="6">
        <f>[1]Results!J1540</f>
        <v>501.0589397</v>
      </c>
      <c r="H102" s="6">
        <f>[1]Results!K1540</f>
        <v>505.43900409999998</v>
      </c>
      <c r="I102" s="6">
        <f>[1]Results!L1540</f>
        <v>509.92297960000002</v>
      </c>
      <c r="J102" s="6">
        <f>[1]Results!M1540</f>
        <v>514.67568459999995</v>
      </c>
      <c r="K102" s="6">
        <f>[1]Results!N1540</f>
        <v>519.65911159999996</v>
      </c>
      <c r="L102" s="6">
        <f>[1]Results!O1540</f>
        <v>524.79281309999999</v>
      </c>
      <c r="M102" s="6">
        <f>[1]Results!P1540</f>
        <v>529.70778440000004</v>
      </c>
      <c r="N102" s="6">
        <f>[1]Results!Q1540</f>
        <v>535.45712790000005</v>
      </c>
      <c r="O102" s="6">
        <f>[1]Results!R1540</f>
        <v>541.32305329999997</v>
      </c>
      <c r="P102" s="6">
        <f>[1]Results!S1540</f>
        <v>547.26161400000001</v>
      </c>
      <c r="Q102" s="6">
        <f>[1]Results!T1540</f>
        <v>553.27191970000001</v>
      </c>
      <c r="R102" s="6">
        <f>[1]Results!U1540</f>
        <v>559.35499189999996</v>
      </c>
      <c r="S102" s="6">
        <f>[1]Results!V1540</f>
        <v>565.48268970000004</v>
      </c>
      <c r="T102" s="6">
        <f>[1]Results!W1540</f>
        <v>571.67028010000001</v>
      </c>
      <c r="U102" s="6">
        <f>[1]Results!X1540</f>
        <v>577.9172595</v>
      </c>
      <c r="V102" s="6">
        <f>[1]Results!Y1540</f>
        <v>584.22259919999999</v>
      </c>
      <c r="W102" s="6">
        <f>[1]Results!Z1540</f>
        <v>590.18472299999996</v>
      </c>
      <c r="X102" s="6">
        <f>[1]Results!AA1540</f>
        <v>596.48375710000005</v>
      </c>
      <c r="Y102" s="6">
        <f>[1]Results!AB1540</f>
        <v>602.90010800000005</v>
      </c>
      <c r="Z102" s="6">
        <f>[1]Results!AC1540</f>
        <v>609.40725369999996</v>
      </c>
      <c r="AA102" s="6">
        <f>[1]Results!AD1540</f>
        <v>616.00163250000003</v>
      </c>
      <c r="AB102" s="6">
        <f>[1]Results!AE1540</f>
        <v>621.54106660000002</v>
      </c>
      <c r="AC102" s="6">
        <f>[1]Results!AF1540</f>
        <v>627.43141920000005</v>
      </c>
      <c r="AD102" s="6">
        <f>[1]Results!AG1540</f>
        <v>633.40034160000005</v>
      </c>
      <c r="AE102" s="6">
        <f>[1]Results!AH1540</f>
        <v>639.43506279999997</v>
      </c>
      <c r="AF102" s="6">
        <f>[1]Results!AI1540</f>
        <v>645.54543990000002</v>
      </c>
      <c r="AG102" s="6">
        <f>[1]Results!AJ1540</f>
        <v>651.74375610000004</v>
      </c>
      <c r="AH102" s="6">
        <f>[1]Results!AK1540</f>
        <v>658.04793529999995</v>
      </c>
      <c r="AI102" s="6">
        <f>[1]Results!AL1540</f>
        <v>664.4610318</v>
      </c>
      <c r="AJ102" s="6">
        <f>[1]Results!AM1540</f>
        <v>670.98776799999996</v>
      </c>
      <c r="AK102" s="6">
        <f>[1]Results!AN1540</f>
        <v>677.6312418</v>
      </c>
      <c r="AL102" s="6">
        <f>[1]Results!AO1540</f>
        <v>684.3935596</v>
      </c>
      <c r="AM102" s="6">
        <f>[1]Results!AP1540</f>
        <v>691.07476929999996</v>
      </c>
      <c r="AN102" s="6">
        <f>[1]Results!AQ1540</f>
        <v>697.80821100000003</v>
      </c>
      <c r="AO102" s="6">
        <f>[1]Results!AR1540</f>
        <v>704.62298380000004</v>
      </c>
      <c r="AP102" s="6">
        <f>[1]Results!AS1540</f>
        <v>711.53108659999998</v>
      </c>
      <c r="AQ102" s="6">
        <f>[1]Results!AT1540</f>
        <v>718.53942129999996</v>
      </c>
      <c r="AR102" s="6">
        <f>[1]Results!AU1540</f>
        <v>725.66375670000002</v>
      </c>
      <c r="AS102" s="6">
        <f>[1]Results!AV1540</f>
        <v>732.89881270000001</v>
      </c>
      <c r="AT102" s="6">
        <f>[1]Results!AW1540</f>
        <v>740.24545000000001</v>
      </c>
      <c r="AU102" s="6">
        <f>[1]Results!AX1540</f>
        <v>747.70411120000006</v>
      </c>
      <c r="AV102" s="6">
        <f>[1]Results!AY1540</f>
        <v>755.27467249999995</v>
      </c>
      <c r="AW102" s="6">
        <f>[1]Results!AZ1540</f>
        <v>763.02040160000001</v>
      </c>
      <c r="AX102" s="6">
        <f>[1]Results!BA1540</f>
        <v>770.8956508</v>
      </c>
      <c r="AY102" s="6">
        <f>[1]Results!BB1540</f>
        <v>778.89380679999999</v>
      </c>
      <c r="AZ102" s="6">
        <f>[1]Results!BC1540</f>
        <v>787.01159410000002</v>
      </c>
      <c r="BA102" s="6">
        <f>[1]Results!BD1540</f>
        <v>795.246759</v>
      </c>
      <c r="BB102" s="6">
        <f>[1]Results!BE1540</f>
        <v>947.16079630000002</v>
      </c>
      <c r="BC102" s="6">
        <f>[1]Results!BF1540</f>
        <v>961.08038239999996</v>
      </c>
      <c r="BD102" s="6">
        <f>[1]Results!BG1540</f>
        <v>975.23425729999997</v>
      </c>
      <c r="BE102" s="6">
        <f>[1]Results!BH1540</f>
        <v>989.62701319999996</v>
      </c>
      <c r="BF102" s="6">
        <f>[1]Results!BI1540</f>
        <v>1004.263659</v>
      </c>
    </row>
    <row r="103" spans="1:58" x14ac:dyDescent="0.35">
      <c r="B103" t="s">
        <v>37</v>
      </c>
      <c r="C103" s="6">
        <f>[1]Results!F1537</f>
        <v>-2139.052185</v>
      </c>
      <c r="D103" s="6">
        <f>[1]Results!G1537</f>
        <v>-2104.2601239999999</v>
      </c>
      <c r="E103" s="6">
        <f>[1]Results!H1537</f>
        <v>-2103.9028280000002</v>
      </c>
      <c r="F103" s="6">
        <f>[1]Results!I1537</f>
        <v>-2108.8532070000001</v>
      </c>
      <c r="G103" s="6">
        <f>[1]Results!J1537</f>
        <v>-2117.2875640000002</v>
      </c>
      <c r="H103" s="6">
        <f>[1]Results!K1537</f>
        <v>-2129.9276719999998</v>
      </c>
      <c r="I103" s="6">
        <f>[1]Results!L1537</f>
        <v>-2147.0450559999999</v>
      </c>
      <c r="J103" s="6">
        <f>[1]Results!M1537</f>
        <v>-2165.390519</v>
      </c>
      <c r="K103" s="6">
        <f>[1]Results!N1537</f>
        <v>-2185.4932699999999</v>
      </c>
      <c r="L103" s="6">
        <f>[1]Results!O1537</f>
        <v>-2206.968793</v>
      </c>
      <c r="M103" s="6">
        <f>[1]Results!P1537</f>
        <v>-2229.9909039999998</v>
      </c>
      <c r="N103" s="6">
        <f>[1]Results!Q1537</f>
        <v>-2249.0919610000001</v>
      </c>
      <c r="O103" s="6">
        <f>[1]Results!R1537</f>
        <v>-2274.949756</v>
      </c>
      <c r="P103" s="6">
        <f>[1]Results!S1537</f>
        <v>-2302.0964349999999</v>
      </c>
      <c r="Q103" s="6">
        <f>[1]Results!T1537</f>
        <v>-2329.516662</v>
      </c>
      <c r="R103" s="6">
        <f>[1]Results!U1537</f>
        <v>-2357.057413</v>
      </c>
      <c r="S103" s="6">
        <f>[1]Results!V1537</f>
        <v>-2384.7744170000001</v>
      </c>
      <c r="T103" s="6">
        <f>[1]Results!W1537</f>
        <v>-2412.3531849999999</v>
      </c>
      <c r="U103" s="6">
        <f>[1]Results!X1537</f>
        <v>-2440.0062360000002</v>
      </c>
      <c r="V103" s="6">
        <f>[1]Results!Y1537</f>
        <v>-2467.7753590000002</v>
      </c>
      <c r="W103" s="6">
        <f>[1]Results!Z1537</f>
        <v>-2496.2755750000001</v>
      </c>
      <c r="X103" s="6">
        <f>[1]Results!AA1537</f>
        <v>-2522.0037090000001</v>
      </c>
      <c r="Y103" s="6">
        <f>[1]Results!AB1537</f>
        <v>-2549.5203150000002</v>
      </c>
      <c r="Z103" s="6">
        <f>[1]Results!AC1537</f>
        <v>-2577.6146509999999</v>
      </c>
      <c r="AA103" s="6">
        <f>[1]Results!AD1537</f>
        <v>-2606.0231370000001</v>
      </c>
      <c r="AB103" s="6">
        <f>[1]Results!AE1537</f>
        <v>-2636.4263150000002</v>
      </c>
      <c r="AC103" s="6">
        <f>[1]Results!AF1537</f>
        <v>-2659.5931869999999</v>
      </c>
      <c r="AD103" s="6">
        <f>[1]Results!AG1537</f>
        <v>-2684.7356490000002</v>
      </c>
      <c r="AE103" s="6">
        <f>[1]Results!AH1537</f>
        <v>-2710.4294920000002</v>
      </c>
      <c r="AF103" s="6">
        <f>[1]Results!AI1537</f>
        <v>-2736.4020220000002</v>
      </c>
      <c r="AG103" s="6">
        <f>[1]Results!AJ1537</f>
        <v>-2762.6521779999998</v>
      </c>
      <c r="AH103" s="6">
        <f>[1]Results!AK1537</f>
        <v>-2789.2065630000002</v>
      </c>
      <c r="AI103" s="6">
        <f>[1]Results!AL1537</f>
        <v>-2816.200977</v>
      </c>
      <c r="AJ103" s="6">
        <f>[1]Results!AM1537</f>
        <v>-2843.6059180000002</v>
      </c>
      <c r="AK103" s="6">
        <f>[1]Results!AN1537</f>
        <v>-2871.4300929999999</v>
      </c>
      <c r="AL103" s="6">
        <f>[1]Results!AO1537</f>
        <v>-2899.6808649999998</v>
      </c>
      <c r="AM103" s="6">
        <f>[1]Results!AP1537</f>
        <v>-2928.5910450000001</v>
      </c>
      <c r="AN103" s="6">
        <f>[1]Results!AQ1537</f>
        <v>-2957.082402</v>
      </c>
      <c r="AO103" s="6">
        <f>[1]Results!AR1537</f>
        <v>-2985.6605100000002</v>
      </c>
      <c r="AP103" s="6">
        <f>[1]Results!AS1537</f>
        <v>-3014.4962249999999</v>
      </c>
      <c r="AQ103" s="6">
        <f>[1]Results!AT1537</f>
        <v>-3043.6567180000002</v>
      </c>
      <c r="AR103" s="6">
        <f>[1]Results!AU1537</f>
        <v>-3073.14912</v>
      </c>
      <c r="AS103" s="6">
        <f>[1]Results!AV1537</f>
        <v>-3103.1476010000001</v>
      </c>
      <c r="AT103" s="6">
        <f>[1]Results!AW1537</f>
        <v>-3133.5741090000001</v>
      </c>
      <c r="AU103" s="6">
        <f>[1]Results!AX1537</f>
        <v>-3164.425921</v>
      </c>
      <c r="AV103" s="6">
        <f>[1]Results!AY1537</f>
        <v>-3195.709899</v>
      </c>
      <c r="AW103" s="6">
        <f>[1]Results!AZ1537</f>
        <v>-3227.2875979999999</v>
      </c>
      <c r="AX103" s="6">
        <f>[1]Results!BA1537</f>
        <v>-3259.8655659999999</v>
      </c>
      <c r="AY103" s="6">
        <f>[1]Results!BB1537</f>
        <v>-3293.0039339999998</v>
      </c>
      <c r="AZ103" s="6">
        <f>[1]Results!BC1537</f>
        <v>-3326.6238490000001</v>
      </c>
      <c r="BA103" s="6">
        <f>[1]Results!BD1537</f>
        <v>-3360.7139240000001</v>
      </c>
      <c r="BB103" s="6">
        <f>[1]Results!BE1537</f>
        <v>-4070.1845090000002</v>
      </c>
      <c r="BC103" s="6">
        <f>[1]Results!BF1537</f>
        <v>-4129.4091010000002</v>
      </c>
      <c r="BD103" s="6">
        <f>[1]Results!BG1537</f>
        <v>-4189.5967199999996</v>
      </c>
      <c r="BE103" s="6">
        <f>[1]Results!BH1537</f>
        <v>-4250.7691379999997</v>
      </c>
      <c r="BF103" s="6">
        <f>[1]Results!BI1537</f>
        <v>-4312.9515389999997</v>
      </c>
    </row>
    <row r="104" spans="1:58" x14ac:dyDescent="0.35"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6"/>
      <c r="BB104" s="6"/>
      <c r="BC104" s="6"/>
      <c r="BD104" s="6"/>
      <c r="BE104" s="6"/>
      <c r="BF104" s="6"/>
    </row>
    <row r="106" spans="1:58" x14ac:dyDescent="0.35">
      <c r="A106" s="12" t="s">
        <v>79</v>
      </c>
      <c r="B106" t="s">
        <v>14</v>
      </c>
      <c r="C106" s="7" t="s">
        <v>15</v>
      </c>
      <c r="D106" s="7" t="s">
        <v>16</v>
      </c>
      <c r="E106" s="7" t="s">
        <v>17</v>
      </c>
    </row>
    <row r="107" spans="1:58" x14ac:dyDescent="0.35">
      <c r="A107" t="s">
        <v>80</v>
      </c>
      <c r="B107" t="s">
        <v>27</v>
      </c>
      <c r="C107" s="4">
        <f>(R93-R79)/R79</f>
        <v>-4.2593556345380978E-2</v>
      </c>
      <c r="D107" s="10">
        <f>(AB93-AB79)/AB79</f>
        <v>-5.1161451696908632E-2</v>
      </c>
      <c r="E107" s="10">
        <f>(AL93-AL79)/AL79</f>
        <v>-6.1097466613737099E-2</v>
      </c>
    </row>
    <row r="108" spans="1:58" x14ac:dyDescent="0.35">
      <c r="B108" t="s">
        <v>7</v>
      </c>
      <c r="C108" s="4">
        <f t="shared" ref="C108:C114" si="62">(R94-R82)/R82</f>
        <v>-9.6168953729442702E-2</v>
      </c>
      <c r="D108" s="4">
        <f t="shared" ref="D108:D114" si="63">(AB94-AB82)/AB82</f>
        <v>-0.13396599771207018</v>
      </c>
      <c r="E108" s="4">
        <f t="shared" ref="E108:E114" si="64">(AL94-AL82)/AL82</f>
        <v>-0.17389445326495756</v>
      </c>
      <c r="Q108" s="5"/>
      <c r="U108" s="5"/>
      <c r="V108" s="5"/>
      <c r="Y108" s="5"/>
      <c r="Z108" s="5"/>
      <c r="AA108" s="5"/>
    </row>
    <row r="109" spans="1:58" x14ac:dyDescent="0.35">
      <c r="B109" t="s">
        <v>30</v>
      </c>
      <c r="C109" s="4">
        <f t="shared" si="62"/>
        <v>-5.9420431633208343E-2</v>
      </c>
      <c r="D109" s="4">
        <f t="shared" si="63"/>
        <v>-7.6251275514124736E-2</v>
      </c>
      <c r="E109" s="4">
        <f t="shared" si="64"/>
        <v>-9.0990168876605812E-2</v>
      </c>
      <c r="Q109" s="5"/>
      <c r="U109" s="5"/>
      <c r="V109" s="5"/>
      <c r="Y109" s="5"/>
      <c r="Z109" s="5"/>
      <c r="AA109" s="5"/>
    </row>
    <row r="110" spans="1:58" x14ac:dyDescent="0.35">
      <c r="B110" t="s">
        <v>9</v>
      </c>
      <c r="C110" s="4">
        <f t="shared" si="62"/>
        <v>-4.726128511632801E-2</v>
      </c>
      <c r="D110" s="4">
        <f t="shared" si="63"/>
        <v>-5.7170366902068628E-2</v>
      </c>
      <c r="E110" s="4">
        <f t="shared" si="64"/>
        <v>-7.0448461561827061E-2</v>
      </c>
      <c r="Q110" s="5"/>
      <c r="U110" s="5"/>
      <c r="V110" s="5"/>
      <c r="Y110" s="5"/>
      <c r="Z110" s="5"/>
      <c r="AA110" s="5"/>
    </row>
    <row r="111" spans="1:58" x14ac:dyDescent="0.35">
      <c r="B111" t="s">
        <v>10</v>
      </c>
      <c r="C111" s="4">
        <f t="shared" si="62"/>
        <v>-3.7105269257389877E-2</v>
      </c>
      <c r="D111" s="4">
        <f t="shared" si="63"/>
        <v>-4.2723408511378111E-2</v>
      </c>
      <c r="E111" s="4">
        <f t="shared" si="64"/>
        <v>-5.041046254619462E-2</v>
      </c>
      <c r="Q111" s="5"/>
      <c r="U111" s="5"/>
      <c r="V111" s="5"/>
      <c r="Y111" s="5"/>
      <c r="Z111" s="5"/>
      <c r="AA111" s="5"/>
    </row>
    <row r="112" spans="1:58" x14ac:dyDescent="0.35">
      <c r="B112" t="s">
        <v>29</v>
      </c>
      <c r="C112" s="4">
        <f t="shared" si="62"/>
        <v>3.7123346762631897E-2</v>
      </c>
      <c r="D112" s="4">
        <f t="shared" si="63"/>
        <v>4.9395361772328263E-2</v>
      </c>
      <c r="E112" s="4">
        <f t="shared" si="64"/>
        <v>5.7851910226257436E-2</v>
      </c>
      <c r="Q112" s="5"/>
      <c r="U112" s="5"/>
      <c r="V112" s="5"/>
      <c r="Y112" s="5"/>
      <c r="Z112" s="5"/>
      <c r="AA112" s="5"/>
    </row>
    <row r="113" spans="1:58" x14ac:dyDescent="0.35">
      <c r="B113" t="s">
        <v>36</v>
      </c>
      <c r="C113" s="4">
        <f t="shared" si="62"/>
        <v>-0.47181900141763866</v>
      </c>
      <c r="D113" s="4">
        <f t="shared" si="63"/>
        <v>-0.571998540792788</v>
      </c>
      <c r="E113" s="4">
        <f t="shared" si="64"/>
        <v>-0.63673369249444789</v>
      </c>
      <c r="Q113" s="5"/>
      <c r="U113" s="5"/>
      <c r="V113" s="5"/>
      <c r="Y113" s="5"/>
      <c r="Z113" s="5"/>
      <c r="AA113" s="5"/>
    </row>
    <row r="114" spans="1:58" x14ac:dyDescent="0.35">
      <c r="B114" t="s">
        <v>33</v>
      </c>
      <c r="C114" s="4">
        <f t="shared" si="62"/>
        <v>-6.0778778864782793E-2</v>
      </c>
      <c r="D114" s="4">
        <f t="shared" si="63"/>
        <v>-8.8943226429453986E-2</v>
      </c>
      <c r="E114" s="4">
        <f t="shared" si="64"/>
        <v>-0.11860571647090483</v>
      </c>
      <c r="Q114" s="5"/>
      <c r="U114" s="5"/>
      <c r="V114" s="5"/>
      <c r="Y114" s="5"/>
      <c r="Z114" s="5"/>
      <c r="AA114" s="5"/>
    </row>
    <row r="115" spans="1:58" x14ac:dyDescent="0.35"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</row>
    <row r="116" spans="1:58" x14ac:dyDescent="0.35">
      <c r="A116" s="12" t="s">
        <v>79</v>
      </c>
      <c r="B116" t="s">
        <v>14</v>
      </c>
      <c r="C116" s="7" t="s">
        <v>15</v>
      </c>
      <c r="D116" s="7" t="s">
        <v>16</v>
      </c>
      <c r="E116" s="7" t="s">
        <v>17</v>
      </c>
    </row>
    <row r="117" spans="1:58" x14ac:dyDescent="0.35">
      <c r="A117" t="s">
        <v>81</v>
      </c>
      <c r="B117" t="s">
        <v>7</v>
      </c>
      <c r="C117" s="4">
        <f>R94/R82-1</f>
        <v>-9.6168953729442674E-2</v>
      </c>
      <c r="D117" s="4">
        <f>AB94/AB82-1</f>
        <v>-0.13396599771207018</v>
      </c>
      <c r="E117" s="4">
        <f>AL94/AL82-1</f>
        <v>-0.17389445326495756</v>
      </c>
    </row>
    <row r="118" spans="1:58" x14ac:dyDescent="0.35">
      <c r="B118" t="s">
        <v>30</v>
      </c>
      <c r="C118" s="4">
        <f>R95/R83-1</f>
        <v>-5.9420431633208315E-2</v>
      </c>
      <c r="D118" s="4">
        <f>AB95/AB83-1</f>
        <v>-7.6251275514124695E-2</v>
      </c>
      <c r="E118" s="4">
        <f>AL95/AL83-1</f>
        <v>-9.0990168876605826E-2</v>
      </c>
    </row>
    <row r="119" spans="1:58" x14ac:dyDescent="0.35">
      <c r="B119" t="s">
        <v>9</v>
      </c>
      <c r="C119" s="4">
        <f>R96/R84-1</f>
        <v>-4.7261285116327989E-2</v>
      </c>
      <c r="D119" s="4">
        <f>AB96/AB84-1</f>
        <v>-5.717036690206867E-2</v>
      </c>
      <c r="E119" s="4">
        <f>AL96/AL84-1</f>
        <v>-7.0448461561827047E-2</v>
      </c>
    </row>
    <row r="120" spans="1:58" x14ac:dyDescent="0.35">
      <c r="B120" t="s">
        <v>10</v>
      </c>
      <c r="C120" s="4">
        <f>R97/R85-1</f>
        <v>-3.7105269257389883E-2</v>
      </c>
      <c r="D120" s="4">
        <f>AB97/AB85-1</f>
        <v>-4.2723408511378125E-2</v>
      </c>
      <c r="E120" s="4">
        <f>AL97/AL85-1</f>
        <v>-5.0410462546194634E-2</v>
      </c>
    </row>
    <row r="121" spans="1:58" x14ac:dyDescent="0.35">
      <c r="B121" t="s">
        <v>29</v>
      </c>
      <c r="C121" s="4">
        <f>R98/R86-1</f>
        <v>3.7123346762631959E-2</v>
      </c>
      <c r="D121" s="4">
        <f>AB98/AB86-1</f>
        <v>4.9395361772328172E-2</v>
      </c>
      <c r="E121" s="4">
        <f>AL98/AL86-1</f>
        <v>5.7851910226257353E-2</v>
      </c>
    </row>
    <row r="122" spans="1:58" x14ac:dyDescent="0.35">
      <c r="B122" t="s">
        <v>33</v>
      </c>
      <c r="C122" s="4">
        <f>R100/R88-1</f>
        <v>-6.0778778864782779E-2</v>
      </c>
      <c r="D122" s="4">
        <f>AB100/AB88-1</f>
        <v>-8.8943226429453959E-2</v>
      </c>
      <c r="E122" s="4">
        <f>AL100/AL88-1</f>
        <v>-0.11860571647090479</v>
      </c>
    </row>
    <row r="124" spans="1:58" x14ac:dyDescent="0.35">
      <c r="A124" s="12" t="s">
        <v>82</v>
      </c>
      <c r="C124" s="2">
        <v>42005</v>
      </c>
      <c r="D124" s="2">
        <v>42370</v>
      </c>
      <c r="E124" s="2">
        <v>42736</v>
      </c>
      <c r="F124" s="2">
        <v>43101</v>
      </c>
      <c r="G124" s="2">
        <v>43466</v>
      </c>
      <c r="H124" s="2">
        <v>43831</v>
      </c>
      <c r="I124" s="2">
        <v>44197</v>
      </c>
      <c r="J124" s="2">
        <v>44562</v>
      </c>
      <c r="K124" s="2">
        <v>44927</v>
      </c>
      <c r="L124" s="2">
        <v>45292</v>
      </c>
      <c r="M124" s="2">
        <v>45658</v>
      </c>
      <c r="N124" s="2">
        <v>46023</v>
      </c>
      <c r="O124" s="2">
        <v>46388</v>
      </c>
      <c r="P124" s="2">
        <v>46753</v>
      </c>
      <c r="Q124" s="2">
        <v>47119</v>
      </c>
      <c r="R124" s="2">
        <v>47484</v>
      </c>
      <c r="S124" s="2">
        <v>47849</v>
      </c>
      <c r="T124" s="2">
        <v>48214</v>
      </c>
      <c r="U124" s="2">
        <v>48580</v>
      </c>
      <c r="V124" s="2">
        <v>48945</v>
      </c>
      <c r="W124" s="2">
        <v>49310</v>
      </c>
      <c r="X124" s="2">
        <v>49675</v>
      </c>
      <c r="Y124" s="2">
        <v>50041</v>
      </c>
      <c r="Z124" s="2">
        <v>50406</v>
      </c>
      <c r="AA124" s="2">
        <v>50771</v>
      </c>
      <c r="AB124" s="2">
        <v>51136</v>
      </c>
      <c r="AC124" s="2">
        <v>51502</v>
      </c>
      <c r="AD124" s="2">
        <v>51867</v>
      </c>
      <c r="AE124" s="2">
        <v>52232</v>
      </c>
      <c r="AF124" s="2">
        <v>52597</v>
      </c>
      <c r="AG124" s="2">
        <v>52963</v>
      </c>
      <c r="AH124" s="2">
        <v>53328</v>
      </c>
      <c r="AI124" s="2">
        <v>53693</v>
      </c>
      <c r="AJ124" s="2">
        <v>54058</v>
      </c>
      <c r="AK124" s="2">
        <v>54424</v>
      </c>
      <c r="AL124" s="2">
        <v>54789</v>
      </c>
      <c r="AM124" s="2">
        <v>54790</v>
      </c>
      <c r="AN124" s="2">
        <v>54791</v>
      </c>
      <c r="AO124" s="2">
        <v>54792</v>
      </c>
      <c r="AP124" s="2">
        <v>54793</v>
      </c>
      <c r="AQ124" s="2">
        <v>54794</v>
      </c>
      <c r="AR124" s="2">
        <v>54795</v>
      </c>
      <c r="AS124" s="2">
        <v>54796</v>
      </c>
      <c r="AT124" s="2">
        <v>54797</v>
      </c>
      <c r="AU124" s="2">
        <v>54798</v>
      </c>
      <c r="AV124" s="2">
        <v>54799</v>
      </c>
      <c r="AW124" s="2">
        <v>54800</v>
      </c>
      <c r="AX124" s="2">
        <v>54801</v>
      </c>
      <c r="AY124" s="2">
        <v>54802</v>
      </c>
      <c r="AZ124" s="2">
        <v>54803</v>
      </c>
      <c r="BA124" s="2">
        <v>54804</v>
      </c>
      <c r="BB124" s="2">
        <v>54805</v>
      </c>
      <c r="BC124" s="2">
        <v>54806</v>
      </c>
      <c r="BD124" s="2">
        <v>54807</v>
      </c>
      <c r="BE124" s="2">
        <v>54808</v>
      </c>
      <c r="BF124" s="2">
        <v>54809</v>
      </c>
    </row>
    <row r="125" spans="1:58" x14ac:dyDescent="0.35">
      <c r="A125" t="s">
        <v>38</v>
      </c>
      <c r="B125" t="s">
        <v>27</v>
      </c>
      <c r="C125" s="6">
        <f>[1]Production!B3</f>
        <v>3859362.8769999999</v>
      </c>
      <c r="D125" s="6">
        <f>[1]Production!C3</f>
        <v>3908270.1009999998</v>
      </c>
      <c r="E125" s="6">
        <f>[1]Production!D3</f>
        <v>3962069.2280000001</v>
      </c>
      <c r="F125" s="6">
        <f>[1]Production!E3</f>
        <v>4019511.3670000001</v>
      </c>
      <c r="G125" s="6">
        <f>[1]Production!F3</f>
        <v>4080255.4750000001</v>
      </c>
      <c r="H125" s="6">
        <f>[1]Production!G3</f>
        <v>4143927.4419999998</v>
      </c>
      <c r="I125" s="6">
        <f>[1]Production!H3</f>
        <v>4207559.4890000001</v>
      </c>
      <c r="J125" s="6">
        <f>[1]Production!I3</f>
        <v>4272581.2709999997</v>
      </c>
      <c r="K125" s="6">
        <f>[1]Production!J3</f>
        <v>4339001.517</v>
      </c>
      <c r="L125" s="6">
        <f>[1]Production!K3</f>
        <v>4406764.1679999996</v>
      </c>
      <c r="M125" s="6">
        <f>[1]Production!L3</f>
        <v>4480406.0329999998</v>
      </c>
      <c r="N125" s="6">
        <f>[1]Production!M3</f>
        <v>4552217.8289999999</v>
      </c>
      <c r="O125" s="6">
        <f>[1]Production!N3</f>
        <v>4624727.4239999996</v>
      </c>
      <c r="P125" s="6">
        <f>[1]Production!O3</f>
        <v>4698046.068</v>
      </c>
      <c r="Q125" s="6">
        <f>[1]Production!P3</f>
        <v>4772200.3480000002</v>
      </c>
      <c r="R125" s="6">
        <f>[1]Production!Q3</f>
        <v>4847214.2019999996</v>
      </c>
      <c r="S125" s="6">
        <f>[1]Production!R3</f>
        <v>4923123.2309999997</v>
      </c>
      <c r="T125" s="6">
        <f>[1]Production!S3</f>
        <v>4999973.1310000001</v>
      </c>
      <c r="U125" s="6">
        <f>[1]Production!T3</f>
        <v>5077814.9989999998</v>
      </c>
      <c r="V125" s="6">
        <f>[1]Production!U3</f>
        <v>5156701.102</v>
      </c>
      <c r="W125" s="6">
        <f>[1]Production!V3</f>
        <v>5233255.7680000002</v>
      </c>
      <c r="X125" s="6">
        <f>[1]Production!W3</f>
        <v>5313205.6320000002</v>
      </c>
      <c r="Y125" s="6">
        <f>[1]Production!X3</f>
        <v>5394678.6030000001</v>
      </c>
      <c r="Z125" s="6">
        <f>[1]Production!Y3</f>
        <v>5477598.7450000001</v>
      </c>
      <c r="AA125" s="6">
        <f>[1]Production!Z3</f>
        <v>5561956.7220000001</v>
      </c>
      <c r="AB125" s="6">
        <f>[1]Production!AA3</f>
        <v>5637837.6509999996</v>
      </c>
      <c r="AC125" s="6">
        <f>[1]Production!AB3</f>
        <v>5716951.4349999996</v>
      </c>
      <c r="AD125" s="6">
        <f>[1]Production!AC3</f>
        <v>5796788.8870000001</v>
      </c>
      <c r="AE125" s="6">
        <f>[1]Production!AD3</f>
        <v>5877455.5650000004</v>
      </c>
      <c r="AF125" s="6">
        <f>[1]Production!AE3</f>
        <v>5959108.4539999999</v>
      </c>
      <c r="AG125" s="6">
        <f>[1]Production!AF3</f>
        <v>6041880.5729999999</v>
      </c>
      <c r="AH125" s="6">
        <f>[1]Production!AG3</f>
        <v>6125866.5250000004</v>
      </c>
      <c r="AI125" s="6">
        <f>[1]Production!AH3</f>
        <v>6211124.6909999996</v>
      </c>
      <c r="AJ125" s="6">
        <f>[1]Production!AI3</f>
        <v>6297684.6050000004</v>
      </c>
      <c r="AK125" s="6">
        <f>[1]Production!AJ3</f>
        <v>6385555.3959999997</v>
      </c>
      <c r="AL125" s="6">
        <f>[1]Production!AK3</f>
        <v>6474733.5049999999</v>
      </c>
      <c r="AM125" s="6">
        <f>[1]Production!AL3</f>
        <v>6562799.7130000005</v>
      </c>
      <c r="AN125" s="6">
        <f>[1]Production!AM3</f>
        <v>6651295.6140000001</v>
      </c>
      <c r="AO125" s="6">
        <f>[1]Production!AN3</f>
        <v>6740437.574</v>
      </c>
      <c r="AP125" s="6">
        <f>[1]Production!AO3</f>
        <v>6830366.6540000001</v>
      </c>
      <c r="AQ125" s="6">
        <f>[1]Production!AP3</f>
        <v>6921197.2130000005</v>
      </c>
      <c r="AR125" s="6">
        <f>[1]Production!AQ3</f>
        <v>7013024.5619999999</v>
      </c>
      <c r="AS125" s="6">
        <f>[1]Production!AR3</f>
        <v>7105925.4689999996</v>
      </c>
      <c r="AT125" s="6">
        <f>[1]Production!AS3</f>
        <v>7199958.9230000004</v>
      </c>
      <c r="AU125" s="6">
        <f>[1]Production!AT3</f>
        <v>7295168.3439999996</v>
      </c>
      <c r="AV125" s="6">
        <f>[1]Production!AU3</f>
        <v>7391584.9139999999</v>
      </c>
      <c r="AW125" s="6">
        <f>[1]Production!AV3</f>
        <v>7489450.551</v>
      </c>
      <c r="AX125" s="6">
        <f>[1]Production!AW3</f>
        <v>7588641.1490000002</v>
      </c>
      <c r="AY125" s="6">
        <f>[1]Production!AX3</f>
        <v>7689151.8480000002</v>
      </c>
      <c r="AZ125" s="6">
        <f>[1]Production!AY3</f>
        <v>7790980.6100000003</v>
      </c>
      <c r="BA125" s="6">
        <f>[1]Production!AZ3</f>
        <v>7894128.3990000002</v>
      </c>
      <c r="BB125" s="6">
        <f>[1]Production!BA3</f>
        <v>8712181.8599999994</v>
      </c>
      <c r="BC125" s="6">
        <f>[1]Production!BB3</f>
        <v>8859098.2300000004</v>
      </c>
      <c r="BD125" s="6">
        <f>[1]Production!BC3</f>
        <v>9008308.0109999999</v>
      </c>
      <c r="BE125" s="6">
        <f>[1]Production!BD3</f>
        <v>9159849.0710000005</v>
      </c>
      <c r="BF125" s="6">
        <f>[1]Production!BE3</f>
        <v>9313761.7990000006</v>
      </c>
    </row>
    <row r="126" spans="1:58" x14ac:dyDescent="0.35">
      <c r="B126" t="s">
        <v>7</v>
      </c>
      <c r="C126" s="6">
        <f>[1]Production!B5+[1]Production!B7</f>
        <v>88399.361327999999</v>
      </c>
      <c r="D126" s="6">
        <f>[1]Production!C5+[1]Production!C7</f>
        <v>89086.882841000013</v>
      </c>
      <c r="E126" s="6">
        <f>[1]Production!D5+[1]Production!D7</f>
        <v>89901.650263000003</v>
      </c>
      <c r="F126" s="6">
        <f>[1]Production!E5+[1]Production!E7</f>
        <v>90860.683334999994</v>
      </c>
      <c r="G126" s="6">
        <f>[1]Production!F5+[1]Production!F7</f>
        <v>91956.934019000008</v>
      </c>
      <c r="H126" s="6">
        <f>[1]Production!G5+[1]Production!G7</f>
        <v>93174.719890999986</v>
      </c>
      <c r="I126" s="6">
        <f>[1]Production!H5+[1]Production!H7</f>
        <v>94440.778916999989</v>
      </c>
      <c r="J126" s="6">
        <f>[1]Production!I5+[1]Production!I7</f>
        <v>95767.211999000006</v>
      </c>
      <c r="K126" s="6">
        <f>[1]Production!J5+[1]Production!J7</f>
        <v>97145.316172999999</v>
      </c>
      <c r="L126" s="6">
        <f>[1]Production!K5+[1]Production!K7</f>
        <v>98567.024098000009</v>
      </c>
      <c r="M126" s="6">
        <f>[1]Production!L5+[1]Production!L7</f>
        <v>100120.72704700001</v>
      </c>
      <c r="N126" s="6">
        <f>[1]Production!M5+[1]Production!M7</f>
        <v>101653.342534</v>
      </c>
      <c r="O126" s="6">
        <f>[1]Production!N5+[1]Production!N7</f>
        <v>103202.054005</v>
      </c>
      <c r="P126" s="6">
        <f>[1]Production!O5+[1]Production!O7</f>
        <v>104767.053997</v>
      </c>
      <c r="Q126" s="6">
        <f>[1]Production!P5+[1]Production!P7</f>
        <v>106347.41856399999</v>
      </c>
      <c r="R126" s="6">
        <f>[1]Production!Q5+[1]Production!Q7</f>
        <v>107942.747093</v>
      </c>
      <c r="S126" s="6">
        <f>[1]Production!R5+[1]Production!R7</f>
        <v>109553.312909</v>
      </c>
      <c r="T126" s="6">
        <f>[1]Production!S5+[1]Production!S7</f>
        <v>111179.89242800001</v>
      </c>
      <c r="U126" s="6">
        <f>[1]Production!T5+[1]Production!T7</f>
        <v>112823.56642700001</v>
      </c>
      <c r="V126" s="6">
        <f>[1]Production!U5+[1]Production!U7</f>
        <v>114485.564134</v>
      </c>
      <c r="W126" s="6">
        <f>[1]Production!V5+[1]Production!V7</f>
        <v>116096.807424</v>
      </c>
      <c r="X126" s="6">
        <f>[1]Production!W5+[1]Production!W7</f>
        <v>117768.01044500001</v>
      </c>
      <c r="Y126" s="6">
        <f>[1]Production!X5+[1]Production!X7</f>
        <v>119470.072292</v>
      </c>
      <c r="Z126" s="6">
        <f>[1]Production!Y5+[1]Production!Y7</f>
        <v>121201.76819100001</v>
      </c>
      <c r="AA126" s="6">
        <f>[1]Production!Z5+[1]Production!Z7</f>
        <v>122963.148751</v>
      </c>
      <c r="AB126" s="6">
        <f>[1]Production!AA5+[1]Production!AA7</f>
        <v>124551.21457299999</v>
      </c>
      <c r="AC126" s="6">
        <f>[1]Production!AB5+[1]Production!AB7</f>
        <v>126185.31455299999</v>
      </c>
      <c r="AD126" s="6">
        <f>[1]Production!AC5+[1]Production!AC7</f>
        <v>127830.37254</v>
      </c>
      <c r="AE126" s="6">
        <f>[1]Production!AD5+[1]Production!AD7</f>
        <v>129491.06475200001</v>
      </c>
      <c r="AF126" s="6">
        <f>[1]Production!AE5+[1]Production!AE7</f>
        <v>131172.84804899999</v>
      </c>
      <c r="AG126" s="6">
        <f>[1]Production!AF5+[1]Production!AF7</f>
        <v>132880.201046</v>
      </c>
      <c r="AH126" s="6">
        <f>[1]Production!AG5+[1]Production!AG7</f>
        <v>134616.326672</v>
      </c>
      <c r="AI126" s="6">
        <f>[1]Production!AH5+[1]Production!AH7</f>
        <v>136383.279156</v>
      </c>
      <c r="AJ126" s="6">
        <f>[1]Production!AI5+[1]Production!AI7</f>
        <v>138182.21333599999</v>
      </c>
      <c r="AK126" s="6">
        <f>[1]Production!AJ5+[1]Production!AJ7</f>
        <v>140013.64704899999</v>
      </c>
      <c r="AL126" s="6">
        <f>[1]Production!AK5+[1]Production!AK7</f>
        <v>141877.690283</v>
      </c>
      <c r="AM126" s="6">
        <f>[1]Production!AL5+[1]Production!AL7</f>
        <v>143725.069869</v>
      </c>
      <c r="AN126" s="6">
        <f>[1]Production!AM5+[1]Production!AM7</f>
        <v>145582.33983300001</v>
      </c>
      <c r="AO126" s="6">
        <f>[1]Production!AN5+[1]Production!AN7</f>
        <v>147455.16813499999</v>
      </c>
      <c r="AP126" s="6">
        <f>[1]Production!AO5+[1]Production!AO7</f>
        <v>149347.67308399998</v>
      </c>
      <c r="AQ126" s="6">
        <f>[1]Production!AP5+[1]Production!AP7</f>
        <v>151263.342122</v>
      </c>
      <c r="AR126" s="6">
        <f>[1]Production!AQ5+[1]Production!AQ7</f>
        <v>153205.09816199998</v>
      </c>
      <c r="AS126" s="6">
        <f>[1]Production!AR5+[1]Production!AR7</f>
        <v>155175.260824</v>
      </c>
      <c r="AT126" s="6">
        <f>[1]Production!AS5+[1]Production!AS7</f>
        <v>157175.553269</v>
      </c>
      <c r="AU126" s="6">
        <f>[1]Production!AT5+[1]Production!AT7</f>
        <v>159207.16059099999</v>
      </c>
      <c r="AV126" s="6">
        <f>[1]Production!AU5+[1]Production!AU7</f>
        <v>161270.80058899999</v>
      </c>
      <c r="AW126" s="6">
        <f>[1]Production!AV5+[1]Production!AV7</f>
        <v>163371.10903300002</v>
      </c>
      <c r="AX126" s="6">
        <f>[1]Production!AW5+[1]Production!AW7</f>
        <v>165506.00807700001</v>
      </c>
      <c r="AY126" s="6">
        <f>[1]Production!AX5+[1]Production!AX7</f>
        <v>167675.35427700001</v>
      </c>
      <c r="AZ126" s="6">
        <f>[1]Production!AY5+[1]Production!AY7</f>
        <v>169878.873322</v>
      </c>
      <c r="BA126" s="6">
        <f>[1]Production!AZ5+[1]Production!AZ7</f>
        <v>172116.29786799999</v>
      </c>
      <c r="BB126" s="6">
        <f>[1]Production!BA5+[1]Production!BA7</f>
        <v>187349.718796</v>
      </c>
      <c r="BC126" s="6">
        <f>[1]Production!BB5+[1]Production!BB7</f>
        <v>190365.57513399998</v>
      </c>
      <c r="BD126" s="6">
        <f>[1]Production!BC5+[1]Production!BC7</f>
        <v>193432.17496200002</v>
      </c>
      <c r="BE126" s="6">
        <f>[1]Production!BD5+[1]Production!BD7</f>
        <v>196550.74918099999</v>
      </c>
      <c r="BF126" s="6">
        <f>[1]Production!BE5+[1]Production!BE7</f>
        <v>199722.56682400001</v>
      </c>
    </row>
    <row r="127" spans="1:58" x14ac:dyDescent="0.35">
      <c r="B127" t="s">
        <v>30</v>
      </c>
      <c r="C127" s="6">
        <f>[1]Production!B9+[1]Production!B11+[1]Production!B13+[1]Production!B15+[1]Production!B17+[1]Production!B19+[1]Production!B21+[1]Production!B23+[1]Production!B25+[1]Production!B27+[1]Production!B41</f>
        <v>980668.46073000005</v>
      </c>
      <c r="D127" s="6">
        <f>[1]Production!C9+[1]Production!C11+[1]Production!C13+[1]Production!C15+[1]Production!C17+[1]Production!C19+[1]Production!C21+[1]Production!C23+[1]Production!C25+[1]Production!C27+[1]Production!C41</f>
        <v>993738.33286500024</v>
      </c>
      <c r="E127" s="6">
        <f>[1]Production!D9+[1]Production!D11+[1]Production!D13+[1]Production!D15+[1]Production!D17+[1]Production!D19+[1]Production!D21+[1]Production!D23+[1]Production!D25+[1]Production!D27+[1]Production!D41</f>
        <v>1008305.610664</v>
      </c>
      <c r="F127" s="6">
        <f>[1]Production!E9+[1]Production!E11+[1]Production!E13+[1]Production!E15+[1]Production!E17+[1]Production!E19+[1]Production!E21+[1]Production!E23+[1]Production!E25+[1]Production!E27+[1]Production!E41</f>
        <v>1023739.5022969999</v>
      </c>
      <c r="G127" s="6">
        <f>[1]Production!F9+[1]Production!F11+[1]Production!F13+[1]Production!F15+[1]Production!F17+[1]Production!F19+[1]Production!F21+[1]Production!F23+[1]Production!F25+[1]Production!F27+[1]Production!F41</f>
        <v>1039865.8879720001</v>
      </c>
      <c r="H127" s="6">
        <f>[1]Production!G9+[1]Production!G11+[1]Production!G13+[1]Production!G15+[1]Production!G17+[1]Production!G19+[1]Production!G21+[1]Production!G23+[1]Production!G25+[1]Production!G27+[1]Production!G41</f>
        <v>1056587.3339210001</v>
      </c>
      <c r="I127" s="6">
        <f>[1]Production!H9+[1]Production!H11+[1]Production!H13+[1]Production!H15+[1]Production!H17+[1]Production!H19+[1]Production!H21+[1]Production!H23+[1]Production!H25+[1]Production!H27+[1]Production!H41</f>
        <v>1073194.7001189997</v>
      </c>
      <c r="J127" s="6">
        <f>[1]Production!I9+[1]Production!I11+[1]Production!I13+[1]Production!I15+[1]Production!I17+[1]Production!I19+[1]Production!I21+[1]Production!I23+[1]Production!I25+[1]Production!I27+[1]Production!I41</f>
        <v>1090088.1233570001</v>
      </c>
      <c r="K127" s="6">
        <f>[1]Production!J9+[1]Production!J11+[1]Production!J13+[1]Production!J15+[1]Production!J17+[1]Production!J19+[1]Production!J21+[1]Production!J23+[1]Production!J25+[1]Production!J27+[1]Production!J41</f>
        <v>1107297.1688280001</v>
      </c>
      <c r="L127" s="6">
        <f>[1]Production!K9+[1]Production!K11+[1]Production!K13+[1]Production!K15+[1]Production!K17+[1]Production!K19+[1]Production!K21+[1]Production!K23+[1]Production!K25+[1]Production!K27+[1]Production!K41</f>
        <v>1124832.0247529999</v>
      </c>
      <c r="M127" s="6">
        <f>[1]Production!L9+[1]Production!L11+[1]Production!L13+[1]Production!L15+[1]Production!L17+[1]Production!L19+[1]Production!L21+[1]Production!L23+[1]Production!L25+[1]Production!L27+[1]Production!L41</f>
        <v>1143837.218632</v>
      </c>
      <c r="N127" s="6">
        <f>[1]Production!M9+[1]Production!M11+[1]Production!M13+[1]Production!M15+[1]Production!M17+[1]Production!M19+[1]Production!M21+[1]Production!M23+[1]Production!M25+[1]Production!M27+[1]Production!M41</f>
        <v>1162394.564053</v>
      </c>
      <c r="O127" s="6">
        <f>[1]Production!N9+[1]Production!N11+[1]Production!N13+[1]Production!N15+[1]Production!N17+[1]Production!N19+[1]Production!N21+[1]Production!N23+[1]Production!N25+[1]Production!N27+[1]Production!N41</f>
        <v>1181172.4018349999</v>
      </c>
      <c r="P127" s="6">
        <f>[1]Production!O9+[1]Production!O11+[1]Production!O13+[1]Production!O15+[1]Production!O17+[1]Production!O19+[1]Production!O21+[1]Production!O23+[1]Production!O25+[1]Production!O27+[1]Production!O41</f>
        <v>1200204.9907449998</v>
      </c>
      <c r="Q127" s="6">
        <f>[1]Production!P9+[1]Production!P11+[1]Production!P13+[1]Production!P15+[1]Production!P17+[1]Production!P19+[1]Production!P21+[1]Production!P23+[1]Production!P25+[1]Production!P27+[1]Production!P41</f>
        <v>1219506.9153819999</v>
      </c>
      <c r="R127" s="6">
        <f>[1]Production!Q9+[1]Production!Q11+[1]Production!Q13+[1]Production!Q15+[1]Production!Q17+[1]Production!Q19+[1]Production!Q21+[1]Production!Q23+[1]Production!Q25+[1]Production!Q27+[1]Production!Q41</f>
        <v>1239090.2207000002</v>
      </c>
      <c r="S127" s="6">
        <f>[1]Production!R9+[1]Production!R11+[1]Production!R13+[1]Production!R15+[1]Production!R17+[1]Production!R19+[1]Production!R21+[1]Production!R23+[1]Production!R25+[1]Production!R27+[1]Production!R41</f>
        <v>1258968.0765840001</v>
      </c>
      <c r="T127" s="6">
        <f>[1]Production!S9+[1]Production!S11+[1]Production!S13+[1]Production!S15+[1]Production!S17+[1]Production!S19+[1]Production!S21+[1]Production!S23+[1]Production!S25+[1]Production!S27+[1]Production!S41</f>
        <v>1279154.963458</v>
      </c>
      <c r="U127" s="6">
        <f>[1]Production!T9+[1]Production!T11+[1]Production!T13+[1]Production!T15+[1]Production!T17+[1]Production!T19+[1]Production!T21+[1]Production!T23+[1]Production!T25+[1]Production!T27+[1]Production!T41</f>
        <v>1299665.8853269999</v>
      </c>
      <c r="V127" s="6">
        <f>[1]Production!U9+[1]Production!U11+[1]Production!U13+[1]Production!U15+[1]Production!U17+[1]Production!U19+[1]Production!U21+[1]Production!U23+[1]Production!U25+[1]Production!U27+[1]Production!U41</f>
        <v>1320515.4570499999</v>
      </c>
      <c r="W127" s="6">
        <f>[1]Production!V9+[1]Production!V11+[1]Production!V13+[1]Production!V15+[1]Production!V17+[1]Production!V19+[1]Production!V21+[1]Production!V23+[1]Production!V25+[1]Production!V27+[1]Production!V41</f>
        <v>1340867.5349130002</v>
      </c>
      <c r="X127" s="6">
        <f>[1]Production!W9+[1]Production!W11+[1]Production!W13+[1]Production!W15+[1]Production!W17+[1]Production!W19+[1]Production!W21+[1]Production!W23+[1]Production!W25+[1]Production!W27+[1]Production!W41</f>
        <v>1362155.262817</v>
      </c>
      <c r="Y127" s="6">
        <f>[1]Production!X9+[1]Production!X11+[1]Production!X13+[1]Production!X15+[1]Production!X17+[1]Production!X19+[1]Production!X21+[1]Production!X23+[1]Production!X25+[1]Production!X27+[1]Production!X41</f>
        <v>1383892.690064</v>
      </c>
      <c r="Z127" s="6">
        <f>[1]Production!Y9+[1]Production!Y11+[1]Production!Y13+[1]Production!Y15+[1]Production!Y17+[1]Production!Y19+[1]Production!Y21+[1]Production!Y23+[1]Production!Y25+[1]Production!Y27+[1]Production!Y41</f>
        <v>1406061.595187</v>
      </c>
      <c r="AA127" s="6">
        <f>[1]Production!Z9+[1]Production!Z11+[1]Production!Z13+[1]Production!Z15+[1]Production!Z17+[1]Production!Z19+[1]Production!Z21+[1]Production!Z23+[1]Production!Z25+[1]Production!Z27+[1]Production!Z41</f>
        <v>1428657.4596180001</v>
      </c>
      <c r="AB127" s="6">
        <f>[1]Production!AA9+[1]Production!AA11+[1]Production!AA13+[1]Production!AA15+[1]Production!AA17+[1]Production!AA19+[1]Production!AA21+[1]Production!AA23+[1]Production!AA25+[1]Production!AA27+[1]Production!AA41</f>
        <v>1449218.6530439998</v>
      </c>
      <c r="AC127" s="6">
        <f>[1]Production!AB9+[1]Production!AB11+[1]Production!AB13+[1]Production!AB15+[1]Production!AB17+[1]Production!AB19+[1]Production!AB21+[1]Production!AB23+[1]Production!AB25+[1]Production!AB27+[1]Production!AB41</f>
        <v>1470680.474677</v>
      </c>
      <c r="AD127" s="6">
        <f>[1]Production!AC9+[1]Production!AC11+[1]Production!AC13+[1]Production!AC15+[1]Production!AC17+[1]Production!AC19+[1]Production!AC21+[1]Production!AC23+[1]Production!AC25+[1]Production!AC27+[1]Production!AC41</f>
        <v>1492374.6374929999</v>
      </c>
      <c r="AE127" s="6">
        <f>[1]Production!AD9+[1]Production!AD11+[1]Production!AD13+[1]Production!AD15+[1]Production!AD17+[1]Production!AD19+[1]Production!AD21+[1]Production!AD23+[1]Production!AD25+[1]Production!AD27+[1]Production!AD41</f>
        <v>1514317.7264419999</v>
      </c>
      <c r="AF127" s="6">
        <f>[1]Production!AE9+[1]Production!AE11+[1]Production!AE13+[1]Production!AE15+[1]Production!AE17+[1]Production!AE19+[1]Production!AE21+[1]Production!AE23+[1]Production!AE25+[1]Production!AE27+[1]Production!AE41</f>
        <v>1536535.2948369998</v>
      </c>
      <c r="AG127" s="6">
        <f>[1]Production!AF9+[1]Production!AF11+[1]Production!AF13+[1]Production!AF15+[1]Production!AF17+[1]Production!AF19+[1]Production!AF21+[1]Production!AF23+[1]Production!AF25+[1]Production!AF27+[1]Production!AF41</f>
        <v>1559047.915455</v>
      </c>
      <c r="AH127" s="6">
        <f>[1]Production!AG9+[1]Production!AG11+[1]Production!AG13+[1]Production!AG15+[1]Production!AG17+[1]Production!AG19+[1]Production!AG21+[1]Production!AG23+[1]Production!AG25+[1]Production!AG27+[1]Production!AG41</f>
        <v>1581868.43634</v>
      </c>
      <c r="AI127" s="6">
        <f>[1]Production!AH9+[1]Production!AH11+[1]Production!AH13+[1]Production!AH15+[1]Production!AH17+[1]Production!AH19+[1]Production!AH21+[1]Production!AH23+[1]Production!AH25+[1]Production!AH27+[1]Production!AH41</f>
        <v>1605002.246662</v>
      </c>
      <c r="AJ127" s="6">
        <f>[1]Production!AI9+[1]Production!AI11+[1]Production!AI13+[1]Production!AI15+[1]Production!AI17+[1]Production!AI19+[1]Production!AI21+[1]Production!AI23+[1]Production!AI25+[1]Production!AI27+[1]Production!AI41</f>
        <v>1628448.653902</v>
      </c>
      <c r="AK127" s="6">
        <f>[1]Production!AJ9+[1]Production!AJ11+[1]Production!AJ13+[1]Production!AJ15+[1]Production!AJ17+[1]Production!AJ19+[1]Production!AJ21+[1]Production!AJ23+[1]Production!AJ25+[1]Production!AJ27+[1]Production!AJ41</f>
        <v>1652202.6363720002</v>
      </c>
      <c r="AL127" s="6">
        <f>[1]Production!AK9+[1]Production!AK11+[1]Production!AK13+[1]Production!AK15+[1]Production!AK17+[1]Production!AK19+[1]Production!AK21+[1]Production!AK23+[1]Production!AK25+[1]Production!AK27+[1]Production!AK41</f>
        <v>1676256.569987</v>
      </c>
      <c r="AM127" s="6">
        <f>[1]Production!AL9+[1]Production!AL11+[1]Production!AL13+[1]Production!AL15+[1]Production!AL17+[1]Production!AL19+[1]Production!AL21+[1]Production!AL23+[1]Production!AL25+[1]Production!AL27+[1]Production!AL41</f>
        <v>1700002.688052</v>
      </c>
      <c r="AN127" s="6">
        <f>[1]Production!AM9+[1]Production!AM11+[1]Production!AM13+[1]Production!AM15+[1]Production!AM17+[1]Production!AM19+[1]Production!AM21+[1]Production!AM23+[1]Production!AM25+[1]Production!AM27+[1]Production!AM41</f>
        <v>1723825.4481560001</v>
      </c>
      <c r="AO127" s="6">
        <f>[1]Production!AN9+[1]Production!AN11+[1]Production!AN13+[1]Production!AN15+[1]Production!AN17+[1]Production!AN19+[1]Production!AN21+[1]Production!AN23+[1]Production!AN25+[1]Production!AN27+[1]Production!AN41</f>
        <v>1747767.3372969998</v>
      </c>
      <c r="AP127" s="6">
        <f>[1]Production!AO9+[1]Production!AO11+[1]Production!AO13+[1]Production!AO15+[1]Production!AO17+[1]Production!AO19+[1]Production!AO21+[1]Production!AO23+[1]Production!AO25+[1]Production!AO27+[1]Production!AO41</f>
        <v>1771854.3319360001</v>
      </c>
      <c r="AQ127" s="6">
        <f>[1]Production!AP9+[1]Production!AP11+[1]Production!AP13+[1]Production!AP15+[1]Production!AP17+[1]Production!AP19+[1]Production!AP21+[1]Production!AP23+[1]Production!AP25+[1]Production!AP27+[1]Production!AP41</f>
        <v>1796106.5161579999</v>
      </c>
      <c r="AR127" s="6">
        <f>[1]Production!AQ9+[1]Production!AQ11+[1]Production!AQ13+[1]Production!AQ15+[1]Production!AQ17+[1]Production!AQ19+[1]Production!AQ21+[1]Production!AQ23+[1]Production!AQ25+[1]Production!AQ27+[1]Production!AQ41</f>
        <v>1820540.3413770001</v>
      </c>
      <c r="AS127" s="6">
        <f>[1]Production!AR9+[1]Production!AR11+[1]Production!AR13+[1]Production!AR15+[1]Production!AR17+[1]Production!AR19+[1]Production!AR21+[1]Production!AR23+[1]Production!AR25+[1]Production!AR27+[1]Production!AR41</f>
        <v>1845169.1030459998</v>
      </c>
      <c r="AT127" s="6">
        <f>[1]Production!AS9+[1]Production!AS11+[1]Production!AS13+[1]Production!AS15+[1]Production!AS17+[1]Production!AS19+[1]Production!AS21+[1]Production!AS23+[1]Production!AS25+[1]Production!AS27+[1]Production!AS41</f>
        <v>1870003.1984849998</v>
      </c>
      <c r="AU127" s="6">
        <f>[1]Production!AT9+[1]Production!AT11+[1]Production!AT13+[1]Production!AT15+[1]Production!AT17+[1]Production!AT19+[1]Production!AT21+[1]Production!AT23+[1]Production!AT25+[1]Production!AT27+[1]Production!AT41</f>
        <v>1895050.5614840002</v>
      </c>
      <c r="AV127" s="6">
        <f>[1]Production!AU9+[1]Production!AU11+[1]Production!AU13+[1]Production!AU15+[1]Production!AU17+[1]Production!AU19+[1]Production!AU21+[1]Production!AU23+[1]Production!AU25+[1]Production!AU27+[1]Production!AU41</f>
        <v>1920317.314859</v>
      </c>
      <c r="AW127" s="6">
        <f>[1]Production!AV9+[1]Production!AV11+[1]Production!AV13+[1]Production!AV15+[1]Production!AV17+[1]Production!AV19+[1]Production!AV21+[1]Production!AV23+[1]Production!AV25+[1]Production!AV27+[1]Production!AV41</f>
        <v>1945863.2486370003</v>
      </c>
      <c r="AX127" s="6">
        <f>[1]Production!AW9+[1]Production!AW11+[1]Production!AW13+[1]Production!AW15+[1]Production!AW17+[1]Production!AW19+[1]Production!AW21+[1]Production!AW23+[1]Production!AW25+[1]Production!AW27+[1]Production!AW41</f>
        <v>1971657.5066490003</v>
      </c>
      <c r="AY127" s="6">
        <f>[1]Production!AX9+[1]Production!AX11+[1]Production!AX13+[1]Production!AX15+[1]Production!AX17+[1]Production!AX19+[1]Production!AX21+[1]Production!AX23+[1]Production!AX25+[1]Production!AX27+[1]Production!AX41</f>
        <v>1997700.435266</v>
      </c>
      <c r="AZ127" s="6">
        <f>[1]Production!AY9+[1]Production!AY11+[1]Production!AY13+[1]Production!AY15+[1]Production!AY17+[1]Production!AY19+[1]Production!AY21+[1]Production!AY23+[1]Production!AY25+[1]Production!AY27+[1]Production!AY41</f>
        <v>2023993.05553</v>
      </c>
      <c r="BA127" s="6">
        <f>[1]Production!AZ9+[1]Production!AZ11+[1]Production!AZ13+[1]Production!AZ15+[1]Production!AZ17+[1]Production!AZ19+[1]Production!AZ21+[1]Production!AZ23+[1]Production!AZ25+[1]Production!AZ27+[1]Production!AZ41</f>
        <v>2050537.7825249999</v>
      </c>
      <c r="BB127" s="6">
        <f>[1]Production!BA9+[1]Production!BA11+[1]Production!BA13+[1]Production!BA15+[1]Production!BA17+[1]Production!BA19+[1]Production!BA21+[1]Production!BA23+[1]Production!BA25+[1]Production!BA27+[1]Production!BA41</f>
        <v>2290112.6670290004</v>
      </c>
      <c r="BC127" s="6">
        <f>[1]Production!BB9+[1]Production!BB11+[1]Production!BB13+[1]Production!BB15+[1]Production!BB17+[1]Production!BB19+[1]Production!BB21+[1]Production!BB23+[1]Production!BB25+[1]Production!BB27+[1]Production!BB41</f>
        <v>2330263.092402</v>
      </c>
      <c r="BD127" s="6">
        <f>[1]Production!BC9+[1]Production!BC11+[1]Production!BC13+[1]Production!BC15+[1]Production!BC17+[1]Production!BC19+[1]Production!BC21+[1]Production!BC23+[1]Production!BC25+[1]Production!BC27+[1]Production!BC41</f>
        <v>2370971.5196389998</v>
      </c>
      <c r="BE127" s="6">
        <f>[1]Production!BD9+[1]Production!BD11+[1]Production!BD13+[1]Production!BD15+[1]Production!BD17+[1]Production!BD19+[1]Production!BD21+[1]Production!BD23+[1]Production!BD25+[1]Production!BD27+[1]Production!BD41</f>
        <v>2412240.6733629997</v>
      </c>
      <c r="BF127" s="6">
        <f>[1]Production!BE9+[1]Production!BE11+[1]Production!BE13+[1]Production!BE15+[1]Production!BE17+[1]Production!BE19+[1]Production!BE21+[1]Production!BE23+[1]Production!BE25+[1]Production!BE27+[1]Production!BE41</f>
        <v>2454074.2157859998</v>
      </c>
    </row>
    <row r="128" spans="1:58" x14ac:dyDescent="0.35">
      <c r="B128" t="s">
        <v>9</v>
      </c>
      <c r="C128" s="6">
        <f>[1]Production!B29+[1]Production!B31+[1]Production!B33+[1]Production!B35</f>
        <v>121165.405413</v>
      </c>
      <c r="D128" s="6">
        <f>[1]Production!C29+[1]Production!C31+[1]Production!C33+[1]Production!C35</f>
        <v>122672.790399</v>
      </c>
      <c r="E128" s="6">
        <f>[1]Production!D29+[1]Production!D31+[1]Production!D33+[1]Production!D35</f>
        <v>124313.42343000001</v>
      </c>
      <c r="F128" s="6">
        <f>[1]Production!E29+[1]Production!E31+[1]Production!E33+[1]Production!E35</f>
        <v>126051.12418399999</v>
      </c>
      <c r="G128" s="6">
        <f>[1]Production!F29+[1]Production!F31+[1]Production!F33+[1]Production!F35</f>
        <v>127879.958747</v>
      </c>
      <c r="H128" s="6">
        <f>[1]Production!G29+[1]Production!G31+[1]Production!G33+[1]Production!G35</f>
        <v>129789.46696800002</v>
      </c>
      <c r="I128" s="6">
        <f>[1]Production!H29+[1]Production!H31+[1]Production!H33+[1]Production!H35</f>
        <v>131683.41227299999</v>
      </c>
      <c r="J128" s="6">
        <f>[1]Production!I29+[1]Production!I31+[1]Production!I33+[1]Production!I35</f>
        <v>133613.72996699999</v>
      </c>
      <c r="K128" s="6">
        <f>[1]Production!J29+[1]Production!J31+[1]Production!J33+[1]Production!J35</f>
        <v>135579.08558799999</v>
      </c>
      <c r="L128" s="6">
        <f>[1]Production!K29+[1]Production!K31+[1]Production!K33+[1]Production!K35</f>
        <v>137576.52683800002</v>
      </c>
      <c r="M128" s="6">
        <f>[1]Production!L29+[1]Production!L31+[1]Production!L33+[1]Production!L35</f>
        <v>139752.54797499999</v>
      </c>
      <c r="N128" s="6">
        <f>[1]Production!M29+[1]Production!M31+[1]Production!M33+[1]Production!M35</f>
        <v>141845.87869500002</v>
      </c>
      <c r="O128" s="6">
        <f>[1]Production!N29+[1]Production!N31+[1]Production!N33+[1]Production!N35</f>
        <v>143951.64021700001</v>
      </c>
      <c r="P128" s="6">
        <f>[1]Production!O29+[1]Production!O31+[1]Production!O33+[1]Production!O35</f>
        <v>146073.594266</v>
      </c>
      <c r="Q128" s="6">
        <f>[1]Production!P29+[1]Production!P31+[1]Production!P33+[1]Production!P35</f>
        <v>148212.90216500001</v>
      </c>
      <c r="R128" s="6">
        <f>[1]Production!Q29+[1]Production!Q31+[1]Production!Q33+[1]Production!Q35</f>
        <v>150370.80743300001</v>
      </c>
      <c r="S128" s="6">
        <f>[1]Production!R29+[1]Production!R31+[1]Production!R33+[1]Production!R35</f>
        <v>152549.03090899999</v>
      </c>
      <c r="T128" s="6">
        <f>[1]Production!S29+[1]Production!S31+[1]Production!S33+[1]Production!S35</f>
        <v>154749.67100200002</v>
      </c>
      <c r="U128" s="6">
        <f>[1]Production!T29+[1]Production!T31+[1]Production!T33+[1]Production!T35</f>
        <v>156975.02453</v>
      </c>
      <c r="V128" s="6">
        <f>[1]Production!U29+[1]Production!U31+[1]Production!U33+[1]Production!U35</f>
        <v>159227.43406699999</v>
      </c>
      <c r="W128" s="6">
        <f>[1]Production!V29+[1]Production!V31+[1]Production!V33+[1]Production!V35</f>
        <v>161398.19510999997</v>
      </c>
      <c r="X128" s="6">
        <f>[1]Production!W29+[1]Production!W31+[1]Production!W33+[1]Production!W35</f>
        <v>163681.782656</v>
      </c>
      <c r="Y128" s="6">
        <f>[1]Production!X29+[1]Production!X31+[1]Production!X33+[1]Production!X35</f>
        <v>166008.55482200001</v>
      </c>
      <c r="Z128" s="6">
        <f>[1]Production!Y29+[1]Production!Y31+[1]Production!Y33+[1]Production!Y35</f>
        <v>168376.80355699998</v>
      </c>
      <c r="AA128" s="6">
        <f>[1]Production!Z29+[1]Production!Z31+[1]Production!Z33+[1]Production!Z35</f>
        <v>170786.972488</v>
      </c>
      <c r="AB128" s="6">
        <f>[1]Production!AA29+[1]Production!AA31+[1]Production!AA33+[1]Production!AA35</f>
        <v>172918.725114</v>
      </c>
      <c r="AC128" s="6">
        <f>[1]Production!AB29+[1]Production!AB31+[1]Production!AB33+[1]Production!AB35</f>
        <v>175175.817847</v>
      </c>
      <c r="AD128" s="6">
        <f>[1]Production!AC29+[1]Production!AC31+[1]Production!AC33+[1]Production!AC35</f>
        <v>177461.264643</v>
      </c>
      <c r="AE128" s="6">
        <f>[1]Production!AD29+[1]Production!AD31+[1]Production!AD33+[1]Production!AD35</f>
        <v>179777.83140900001</v>
      </c>
      <c r="AF128" s="6">
        <f>[1]Production!AE29+[1]Production!AE31+[1]Production!AE33+[1]Production!AE35</f>
        <v>182130.20906699999</v>
      </c>
      <c r="AG128" s="6">
        <f>[1]Production!AF29+[1]Production!AF31+[1]Production!AF33+[1]Production!AF35</f>
        <v>184522.40425999998</v>
      </c>
      <c r="AH128" s="6">
        <f>[1]Production!AG29+[1]Production!AG31+[1]Production!AG33+[1]Production!AG35</f>
        <v>186957.25322000001</v>
      </c>
      <c r="AI128" s="6">
        <f>[1]Production!AH29+[1]Production!AH31+[1]Production!AH33+[1]Production!AH35</f>
        <v>189436.48556</v>
      </c>
      <c r="AJ128" s="6">
        <f>[1]Production!AI29+[1]Production!AI31+[1]Production!AI33+[1]Production!AI35</f>
        <v>191960.94680999999</v>
      </c>
      <c r="AK128" s="6">
        <f>[1]Production!AJ29+[1]Production!AJ31+[1]Production!AJ33+[1]Production!AJ35</f>
        <v>194530.85279999999</v>
      </c>
      <c r="AL128" s="6">
        <f>[1]Production!AK29+[1]Production!AK31+[1]Production!AK33+[1]Production!AK35</f>
        <v>197146.01934</v>
      </c>
      <c r="AM128" s="6">
        <f>[1]Production!AL29+[1]Production!AL31+[1]Production!AL33+[1]Production!AL35</f>
        <v>199727.94404999999</v>
      </c>
      <c r="AN128" s="6">
        <f>[1]Production!AM29+[1]Production!AM31+[1]Production!AM33+[1]Production!AM35</f>
        <v>202332.29776000002</v>
      </c>
      <c r="AO128" s="6">
        <f>[1]Production!AN29+[1]Production!AN31+[1]Production!AN33+[1]Production!AN35</f>
        <v>204965.16743999999</v>
      </c>
      <c r="AP128" s="6">
        <f>[1]Production!AO29+[1]Production!AO31+[1]Production!AO33+[1]Production!AO35</f>
        <v>207630.28399</v>
      </c>
      <c r="AQ128" s="6">
        <f>[1]Production!AP29+[1]Production!AP31+[1]Production!AP33+[1]Production!AP35</f>
        <v>210330.63013999999</v>
      </c>
      <c r="AR128" s="6">
        <f>[1]Production!AQ29+[1]Production!AQ31+[1]Production!AQ33+[1]Production!AQ35</f>
        <v>213068.66659000001</v>
      </c>
      <c r="AS128" s="6">
        <f>[1]Production!AR29+[1]Production!AR31+[1]Production!AR33+[1]Production!AR35</f>
        <v>215846.33150999999</v>
      </c>
      <c r="AT128" s="6">
        <f>[1]Production!AS29+[1]Production!AS31+[1]Production!AS33+[1]Production!AS35</f>
        <v>218665.05362999998</v>
      </c>
      <c r="AU128" s="6">
        <f>[1]Production!AT29+[1]Production!AT31+[1]Production!AT33+[1]Production!AT35</f>
        <v>221525.81304000001</v>
      </c>
      <c r="AV128" s="6">
        <f>[1]Production!AU29+[1]Production!AU31+[1]Production!AU33+[1]Production!AU35</f>
        <v>224429.23676999999</v>
      </c>
      <c r="AW128" s="6">
        <f>[1]Production!AV29+[1]Production!AV31+[1]Production!AV33+[1]Production!AV35</f>
        <v>227382.84237</v>
      </c>
      <c r="AX128" s="6">
        <f>[1]Production!AW29+[1]Production!AW31+[1]Production!AW33+[1]Production!AW35</f>
        <v>230381.78307</v>
      </c>
      <c r="AY128" s="6">
        <f>[1]Production!AX29+[1]Production!AX31+[1]Production!AX33+[1]Production!AX35</f>
        <v>233425.65454000002</v>
      </c>
      <c r="AZ128" s="6">
        <f>[1]Production!AY29+[1]Production!AY31+[1]Production!AY33+[1]Production!AY35</f>
        <v>236514.13614000002</v>
      </c>
      <c r="BA128" s="6">
        <f>[1]Production!AZ29+[1]Production!AZ31+[1]Production!AZ33+[1]Production!AZ35</f>
        <v>239646.98979000002</v>
      </c>
      <c r="BB128" s="6">
        <f>[1]Production!BA29+[1]Production!BA31+[1]Production!BA33+[1]Production!BA35</f>
        <v>261541.31211</v>
      </c>
      <c r="BC128" s="6">
        <f>[1]Production!BB29+[1]Production!BB31+[1]Production!BB33+[1]Production!BB35</f>
        <v>265856.45607999997</v>
      </c>
      <c r="BD128" s="6">
        <f>[1]Production!BC29+[1]Production!BC31+[1]Production!BC33+[1]Production!BC35</f>
        <v>270249.49372000003</v>
      </c>
      <c r="BE128" s="6">
        <f>[1]Production!BD29+[1]Production!BD31+[1]Production!BD33+[1]Production!BD35</f>
        <v>274722.02743999998</v>
      </c>
      <c r="BF128" s="6">
        <f>[1]Production!BE29+[1]Production!BE31+[1]Production!BE33+[1]Production!BE35</f>
        <v>279275.68514000002</v>
      </c>
    </row>
    <row r="129" spans="1:58" x14ac:dyDescent="0.35">
      <c r="B129" t="s">
        <v>10</v>
      </c>
      <c r="C129" s="6">
        <f>[1]Production!B37+[1]Production!B39</f>
        <v>2560883.1015999997</v>
      </c>
      <c r="D129" s="6">
        <f>[1]Production!C37+[1]Production!C39</f>
        <v>2593711.7546999999</v>
      </c>
      <c r="E129" s="6">
        <f>[1]Production!D37+[1]Production!D39</f>
        <v>2629752.3501000004</v>
      </c>
      <c r="F129" s="6">
        <f>[1]Production!E37+[1]Production!E39</f>
        <v>2668277.8596999999</v>
      </c>
      <c r="G129" s="6">
        <f>[1]Production!F37+[1]Production!F39</f>
        <v>2709094.5394000001</v>
      </c>
      <c r="H129" s="6">
        <f>[1]Production!G37+[1]Production!G39</f>
        <v>2751940.1954000001</v>
      </c>
      <c r="I129" s="6">
        <f>[1]Production!H37+[1]Production!H39</f>
        <v>2794790.8484999998</v>
      </c>
      <c r="J129" s="6">
        <f>[1]Production!I37+[1]Production!I39</f>
        <v>2838589.3820000002</v>
      </c>
      <c r="K129" s="6">
        <f>[1]Production!J37+[1]Production!J39</f>
        <v>2883334.1324999998</v>
      </c>
      <c r="L129" s="6">
        <f>[1]Production!K37+[1]Production!K39</f>
        <v>2928981.4973000004</v>
      </c>
      <c r="M129" s="6">
        <f>[1]Production!L37+[1]Production!L39</f>
        <v>2978594.9257</v>
      </c>
      <c r="N129" s="6">
        <f>[1]Production!M37+[1]Production!M39</f>
        <v>3026974.5385000003</v>
      </c>
      <c r="O129" s="6">
        <f>[1]Production!N37+[1]Production!N39</f>
        <v>3075799.7239999999</v>
      </c>
      <c r="P129" s="6">
        <f>[1]Production!O37+[1]Production!O39</f>
        <v>3125138.3232999998</v>
      </c>
      <c r="Q129" s="6">
        <f>[1]Production!P37+[1]Production!P39</f>
        <v>3175001.2837</v>
      </c>
      <c r="R129" s="6">
        <f>[1]Production!Q37+[1]Production!Q39</f>
        <v>3225399.3692999999</v>
      </c>
      <c r="S129" s="6">
        <f>[1]Production!R37+[1]Production!R39</f>
        <v>3276352.4712999999</v>
      </c>
      <c r="T129" s="6">
        <f>[1]Production!S37+[1]Production!S39</f>
        <v>3327888.0215000003</v>
      </c>
      <c r="U129" s="6">
        <f>[1]Production!T37+[1]Production!T39</f>
        <v>3380037.5282000001</v>
      </c>
      <c r="V129" s="6">
        <f>[1]Production!U37+[1]Production!U39</f>
        <v>3432833.6615999998</v>
      </c>
      <c r="W129" s="6">
        <f>[1]Production!V37+[1]Production!V39</f>
        <v>3483988.5141000003</v>
      </c>
      <c r="X129" s="6">
        <f>[1]Production!W37+[1]Production!W39</f>
        <v>3537364.2659</v>
      </c>
      <c r="Y129" s="6">
        <f>[1]Production!X37+[1]Production!X39</f>
        <v>3591710.3810999999</v>
      </c>
      <c r="Z129" s="6">
        <f>[1]Production!Y37+[1]Production!Y39</f>
        <v>3646976.2780999998</v>
      </c>
      <c r="AA129" s="6">
        <f>[1]Production!Z37+[1]Production!Z39</f>
        <v>3703156.9872000003</v>
      </c>
      <c r="AB129" s="6">
        <f>[1]Production!AA37+[1]Production!AA39</f>
        <v>3753537.9226000002</v>
      </c>
      <c r="AC129" s="6">
        <f>[1]Production!AB37+[1]Production!AB39</f>
        <v>3806015.406</v>
      </c>
      <c r="AD129" s="6">
        <f>[1]Production!AC37+[1]Production!AC39</f>
        <v>3858924.7335999999</v>
      </c>
      <c r="AE129" s="6">
        <f>[1]Production!AD37+[1]Production!AD39</f>
        <v>3912348.9227999998</v>
      </c>
      <c r="AF129" s="6">
        <f>[1]Production!AE37+[1]Production!AE39</f>
        <v>3966407.1133999997</v>
      </c>
      <c r="AG129" s="6">
        <f>[1]Production!AF37+[1]Production!AF39</f>
        <v>4021200.7971999999</v>
      </c>
      <c r="AH129" s="6">
        <f>[1]Production!AG37+[1]Production!AG39</f>
        <v>4076803.6624000003</v>
      </c>
      <c r="AI129" s="6">
        <f>[1]Production!AH37+[1]Production!AH39</f>
        <v>4133263.4801999996</v>
      </c>
      <c r="AJ129" s="6">
        <f>[1]Production!AI37+[1]Production!AI39</f>
        <v>4190607.5806999998</v>
      </c>
      <c r="AK129" s="6">
        <f>[1]Production!AJ37+[1]Production!AJ39</f>
        <v>4248848.9436999997</v>
      </c>
      <c r="AL129" s="6">
        <f>[1]Production!AK37+[1]Production!AK39</f>
        <v>4307991.6101000002</v>
      </c>
      <c r="AM129" s="6">
        <f>[1]Production!AL37+[1]Production!AL39</f>
        <v>4366403.4264000002</v>
      </c>
      <c r="AN129" s="6">
        <f>[1]Production!AM37+[1]Production!AM39</f>
        <v>4425126.3695</v>
      </c>
      <c r="AO129" s="6">
        <f>[1]Production!AN37+[1]Production!AN39</f>
        <v>4484315.8628000002</v>
      </c>
      <c r="AP129" s="6">
        <f>[1]Production!AO37+[1]Production!AO39</f>
        <v>4544076.1584000001</v>
      </c>
      <c r="AQ129" s="6">
        <f>[1]Production!AP37+[1]Production!AP39</f>
        <v>4604493.1346000005</v>
      </c>
      <c r="AR129" s="6">
        <f>[1]Production!AQ37+[1]Production!AQ39</f>
        <v>4665638.7976000002</v>
      </c>
      <c r="AS129" s="6">
        <f>[1]Production!AR37+[1]Production!AR39</f>
        <v>4727571.2079999996</v>
      </c>
      <c r="AT129" s="6">
        <f>[1]Production!AS37+[1]Production!AS39</f>
        <v>4790334.9130000006</v>
      </c>
      <c r="AU129" s="6">
        <f>[1]Production!AT37+[1]Production!AT39</f>
        <v>4853962.5980000002</v>
      </c>
      <c r="AV129" s="6">
        <f>[1]Production!AU37+[1]Production!AU39</f>
        <v>4918477.6909999996</v>
      </c>
      <c r="AW129" s="6">
        <f>[1]Production!AV37+[1]Production!AV39</f>
        <v>4984046.2209999999</v>
      </c>
      <c r="AX129" s="6">
        <f>[1]Production!AW37+[1]Production!AW39</f>
        <v>5050588.4380000001</v>
      </c>
      <c r="AY129" s="6">
        <f>[1]Production!AX37+[1]Production!AX39</f>
        <v>5118101.9019999998</v>
      </c>
      <c r="AZ129" s="6">
        <f>[1]Production!AY37+[1]Production!AY39</f>
        <v>5186581.2779999999</v>
      </c>
      <c r="BA129" s="6">
        <f>[1]Production!AZ37+[1]Production!AZ39</f>
        <v>5256022.7939999998</v>
      </c>
      <c r="BB129" s="6">
        <f>[1]Production!BA37+[1]Production!BA39</f>
        <v>5784532.0769999996</v>
      </c>
      <c r="BC129" s="6">
        <f>[1]Production!BB37+[1]Production!BB39</f>
        <v>5881432.5949999997</v>
      </c>
      <c r="BD129" s="6">
        <f>[1]Production!BC37+[1]Production!BC39</f>
        <v>5979896.9780000001</v>
      </c>
      <c r="BE129" s="6">
        <f>[1]Production!BD37+[1]Production!BD39</f>
        <v>6079956.5920000002</v>
      </c>
      <c r="BF129" s="6">
        <f>[1]Production!BE37+[1]Production!BE39</f>
        <v>6181644.392</v>
      </c>
    </row>
    <row r="130" spans="1:58" x14ac:dyDescent="0.35">
      <c r="B130" t="s">
        <v>29</v>
      </c>
      <c r="C130" s="6">
        <f>[1]Production!B43+[1]Production!B47</f>
        <v>35878.822581799999</v>
      </c>
      <c r="D130" s="6">
        <f>[1]Production!C43+[1]Production!C47</f>
        <v>36148.6156195</v>
      </c>
      <c r="E130" s="6">
        <f>[1]Production!D43+[1]Production!D47</f>
        <v>36409.355608400001</v>
      </c>
      <c r="F130" s="6">
        <f>[1]Production!E43+[1]Production!E47</f>
        <v>36704.9283326</v>
      </c>
      <c r="G130" s="6">
        <f>[1]Production!F43+[1]Production!F47</f>
        <v>37046.735652900003</v>
      </c>
      <c r="H130" s="6">
        <f>[1]Production!G43+[1]Production!G47</f>
        <v>37434.371544299996</v>
      </c>
      <c r="I130" s="6">
        <f>[1]Production!H43+[1]Production!H47</f>
        <v>37840.744427100006</v>
      </c>
      <c r="J130" s="6">
        <f>[1]Production!I43+[1]Production!I47</f>
        <v>38273.115974600005</v>
      </c>
      <c r="K130" s="6">
        <f>[1]Production!J43+[1]Production!J47</f>
        <v>38726.666378099995</v>
      </c>
      <c r="L130" s="6">
        <f>[1]Production!K43+[1]Production!K47</f>
        <v>39196.8951237</v>
      </c>
      <c r="M130" s="6">
        <f>[1]Production!L43+[1]Production!L47</f>
        <v>39716.669030899997</v>
      </c>
      <c r="N130" s="6">
        <f>[1]Production!M43+[1]Production!M47</f>
        <v>40221.081013699993</v>
      </c>
      <c r="O130" s="6">
        <f>[1]Production!N43+[1]Production!N47</f>
        <v>40731.304411999998</v>
      </c>
      <c r="P130" s="6">
        <f>[1]Production!O43+[1]Production!O47</f>
        <v>41248.025767400002</v>
      </c>
      <c r="Q130" s="6">
        <f>[1]Production!P43+[1]Production!P47</f>
        <v>41770.844078900001</v>
      </c>
      <c r="R130" s="6">
        <f>[1]Production!Q43+[1]Production!Q47</f>
        <v>42299.3880651</v>
      </c>
      <c r="S130" s="6">
        <f>[1]Production!R43+[1]Production!R47</f>
        <v>42833.469009699998</v>
      </c>
      <c r="T130" s="6">
        <f>[1]Production!S43+[1]Production!S47</f>
        <v>43373.061161200007</v>
      </c>
      <c r="U130" s="6">
        <f>[1]Production!T43+[1]Production!T47</f>
        <v>43918.258455800002</v>
      </c>
      <c r="V130" s="6">
        <f>[1]Production!U43+[1]Production!U47</f>
        <v>44469.236152700003</v>
      </c>
      <c r="W130" s="6">
        <f>[1]Production!V43+[1]Production!V47</f>
        <v>44999.383782500001</v>
      </c>
      <c r="X130" s="6">
        <f>[1]Production!W43+[1]Production!W47</f>
        <v>45555.296911199999</v>
      </c>
      <c r="Y130" s="6">
        <f>[1]Production!X43+[1]Production!X47</f>
        <v>46120.2716879</v>
      </c>
      <c r="Z130" s="6">
        <f>[1]Production!Y43+[1]Production!Y47</f>
        <v>46693.237829400001</v>
      </c>
      <c r="AA130" s="6">
        <f>[1]Production!Z43+[1]Production!Z47</f>
        <v>47274.184206999998</v>
      </c>
      <c r="AB130" s="6">
        <f>[1]Production!AA43+[1]Production!AA47</f>
        <v>47785.845277399996</v>
      </c>
      <c r="AC130" s="6">
        <f>[1]Production!AB43+[1]Production!AB47</f>
        <v>48325.372227899999</v>
      </c>
      <c r="AD130" s="6">
        <f>[1]Production!AC43+[1]Production!AC47</f>
        <v>48870.076841800001</v>
      </c>
      <c r="AE130" s="6">
        <f>[1]Production!AD43+[1]Production!AD47</f>
        <v>49419.507642500001</v>
      </c>
      <c r="AF130" s="6">
        <f>[1]Production!AE43+[1]Production!AE47</f>
        <v>49974.4240919</v>
      </c>
      <c r="AG130" s="6">
        <f>[1]Production!AF43+[1]Production!AF47</f>
        <v>50535.677374799998</v>
      </c>
      <c r="AH130" s="6">
        <f>[1]Production!AG43+[1]Production!AG47</f>
        <v>51103.989731199996</v>
      </c>
      <c r="AI130" s="6">
        <f>[1]Production!AH43+[1]Production!AH47</f>
        <v>51679.913112800001</v>
      </c>
      <c r="AJ130" s="6">
        <f>[1]Production!AI43+[1]Production!AI47</f>
        <v>52263.841016799997</v>
      </c>
      <c r="AK130" s="6">
        <f>[1]Production!AJ43+[1]Production!AJ47</f>
        <v>52856.036596599995</v>
      </c>
      <c r="AL130" s="6">
        <f>[1]Production!AK43+[1]Production!AK47</f>
        <v>53456.664223200001</v>
      </c>
      <c r="AM130" s="6">
        <f>[1]Production!AL43+[1]Production!AL47</f>
        <v>54047.134267200003</v>
      </c>
      <c r="AN130" s="6">
        <f>[1]Production!AM43+[1]Production!AM47</f>
        <v>54640.9484782</v>
      </c>
      <c r="AO130" s="6">
        <f>[1]Production!AN43+[1]Production!AN47</f>
        <v>55239.818143900004</v>
      </c>
      <c r="AP130" s="6">
        <f>[1]Production!AO43+[1]Production!AO47</f>
        <v>55844.5246033</v>
      </c>
      <c r="AQ130" s="6">
        <f>[1]Production!AP43+[1]Production!AP47</f>
        <v>56455.652189600005</v>
      </c>
      <c r="AR130" s="6">
        <f>[1]Production!AQ43+[1]Production!AQ47</f>
        <v>57073.703195900001</v>
      </c>
      <c r="AS130" s="6">
        <f>[1]Production!AR43+[1]Production!AR47</f>
        <v>57699.1044836</v>
      </c>
      <c r="AT130" s="6">
        <f>[1]Production!AS43+[1]Production!AS47</f>
        <v>58332.201633600002</v>
      </c>
      <c r="AU130" s="6">
        <f>[1]Production!AT43+[1]Production!AT47</f>
        <v>58973.253436700004</v>
      </c>
      <c r="AV130" s="6">
        <f>[1]Production!AU43+[1]Production!AU47</f>
        <v>59622.413589100004</v>
      </c>
      <c r="AW130" s="6">
        <f>[1]Production!AV43+[1]Production!AV47</f>
        <v>60281.305137299998</v>
      </c>
      <c r="AX130" s="6">
        <f>[1]Production!AW43+[1]Production!AW47</f>
        <v>60948.730581000003</v>
      </c>
      <c r="AY130" s="6">
        <f>[1]Production!AX43+[1]Production!AX47</f>
        <v>61624.418122200004</v>
      </c>
      <c r="AZ130" s="6">
        <f>[1]Production!AY43+[1]Production!AY47</f>
        <v>62308.8395332</v>
      </c>
      <c r="BA130" s="6">
        <f>[1]Production!AZ43+[1]Production!AZ47</f>
        <v>63002.393654899999</v>
      </c>
      <c r="BB130" s="6">
        <f>[1]Production!BA43+[1]Production!BA47</f>
        <v>68714.504469699998</v>
      </c>
      <c r="BC130" s="6">
        <f>[1]Production!BB43+[1]Production!BB47</f>
        <v>69710.393611000007</v>
      </c>
      <c r="BD130" s="6">
        <f>[1]Production!BC43+[1]Production!BC47</f>
        <v>70722.25903239999</v>
      </c>
      <c r="BE130" s="6">
        <f>[1]Production!BD43+[1]Production!BD47</f>
        <v>71750.496934800001</v>
      </c>
      <c r="BF130" s="6">
        <f>[1]Production!BE43+[1]Production!BE47</f>
        <v>72795.515572999997</v>
      </c>
    </row>
    <row r="131" spans="1:58" x14ac:dyDescent="0.35">
      <c r="B131" t="s">
        <v>36</v>
      </c>
      <c r="C131" s="6">
        <f>[1]Production!B45+[1]Production!B49</f>
        <v>4493.4727461000002</v>
      </c>
      <c r="D131" s="6">
        <f>[1]Production!C45+[1]Production!C49</f>
        <v>4520.7024339</v>
      </c>
      <c r="E131" s="6">
        <f>[1]Production!D45+[1]Production!D49</f>
        <v>4545.8350082999996</v>
      </c>
      <c r="F131" s="6">
        <f>[1]Production!E45+[1]Production!E49</f>
        <v>4576.4446507000002</v>
      </c>
      <c r="G131" s="6">
        <f>[1]Production!F45+[1]Production!F49</f>
        <v>4614.3838704</v>
      </c>
      <c r="H131" s="6">
        <f>[1]Production!G45+[1]Production!G49</f>
        <v>4659.1592080999999</v>
      </c>
      <c r="I131" s="6">
        <f>[1]Production!H45+[1]Production!H49</f>
        <v>4707.2387976</v>
      </c>
      <c r="J131" s="6">
        <f>[1]Production!I45+[1]Production!I49</f>
        <v>4759.0850194000004</v>
      </c>
      <c r="K131" s="6">
        <f>[1]Production!J45+[1]Production!J49</f>
        <v>4813.8899554999998</v>
      </c>
      <c r="L131" s="6">
        <f>[1]Production!K45+[1]Production!K49</f>
        <v>4870.9893618000006</v>
      </c>
      <c r="M131" s="6">
        <f>[1]Production!L45+[1]Production!L49</f>
        <v>4934.0090611000005</v>
      </c>
      <c r="N131" s="6">
        <f>[1]Production!M45+[1]Production!M49</f>
        <v>4995.5617105000001</v>
      </c>
      <c r="O131" s="6">
        <f>[1]Production!N45+[1]Production!N49</f>
        <v>5058.0106911000003</v>
      </c>
      <c r="P131" s="6">
        <f>[1]Production!O45+[1]Production!O49</f>
        <v>5121.328759</v>
      </c>
      <c r="Q131" s="6">
        <f>[1]Production!P45+[1]Production!P49</f>
        <v>5185.4146101000006</v>
      </c>
      <c r="R131" s="6">
        <f>[1]Production!Q45+[1]Production!Q49</f>
        <v>5250.1874920999999</v>
      </c>
      <c r="S131" s="6">
        <f>[1]Production!R45+[1]Production!R49</f>
        <v>5315.5964774999993</v>
      </c>
      <c r="T131" s="6">
        <f>[1]Production!S45+[1]Production!S49</f>
        <v>5381.6151894000004</v>
      </c>
      <c r="U131" s="6">
        <f>[1]Production!T45+[1]Production!T49</f>
        <v>5448.2353675000004</v>
      </c>
      <c r="V131" s="6">
        <f>[1]Production!U45+[1]Production!U49</f>
        <v>5515.4616196000006</v>
      </c>
      <c r="W131" s="6">
        <f>[1]Production!V45+[1]Production!V49</f>
        <v>5580.2585455000008</v>
      </c>
      <c r="X131" s="6">
        <f>[1]Production!W45+[1]Production!W49</f>
        <v>5647.8782800999998</v>
      </c>
      <c r="Y131" s="6">
        <f>[1]Production!X45+[1]Production!X49</f>
        <v>5716.4017706000004</v>
      </c>
      <c r="Z131" s="6">
        <f>[1]Production!Y45+[1]Production!Y49</f>
        <v>5785.7454166000007</v>
      </c>
      <c r="AA131" s="6">
        <f>[1]Production!Z45+[1]Production!Z49</f>
        <v>5855.9171051000003</v>
      </c>
      <c r="AB131" s="6">
        <f>[1]Production!AA45+[1]Production!AA49</f>
        <v>5918.1371528999998</v>
      </c>
      <c r="AC131" s="6">
        <f>[1]Production!AB45+[1]Production!AB49</f>
        <v>5983.3626396</v>
      </c>
      <c r="AD131" s="6">
        <f>[1]Production!AC45+[1]Production!AC49</f>
        <v>6048.9299695999998</v>
      </c>
      <c r="AE131" s="6">
        <f>[1]Production!AD45+[1]Production!AD49</f>
        <v>6114.8490095000006</v>
      </c>
      <c r="AF131" s="6">
        <f>[1]Production!AE45+[1]Production!AE49</f>
        <v>6181.2384735999995</v>
      </c>
      <c r="AG131" s="6">
        <f>[1]Production!AF45+[1]Production!AF49</f>
        <v>6248.2203088999995</v>
      </c>
      <c r="AH131" s="6">
        <f>[1]Production!AG45+[1]Production!AG49</f>
        <v>6315.8973011999997</v>
      </c>
      <c r="AI131" s="6">
        <f>[1]Production!AH45+[1]Production!AH49</f>
        <v>6384.3496304</v>
      </c>
      <c r="AJ131" s="6">
        <f>[1]Production!AI45+[1]Production!AI49</f>
        <v>6453.6368475999998</v>
      </c>
      <c r="AK131" s="6">
        <f>[1]Production!AJ45+[1]Production!AJ49</f>
        <v>6523.8015176999997</v>
      </c>
      <c r="AL131" s="6">
        <f>[1]Production!AK45+[1]Production!AK49</f>
        <v>6594.8731771000002</v>
      </c>
      <c r="AM131" s="6">
        <f>[1]Production!AL45+[1]Production!AL49</f>
        <v>6664.7484586999999</v>
      </c>
      <c r="AN131" s="6">
        <f>[1]Production!AM45+[1]Production!AM49</f>
        <v>6734.9530912999999</v>
      </c>
      <c r="AO131" s="6">
        <f>[1]Production!AN45+[1]Production!AN49</f>
        <v>6805.6579953999999</v>
      </c>
      <c r="AP131" s="6">
        <f>[1]Production!AO45+[1]Production!AO49</f>
        <v>6876.9555608999999</v>
      </c>
      <c r="AQ131" s="6">
        <f>[1]Production!AP45+[1]Production!AP49</f>
        <v>6948.9225403</v>
      </c>
      <c r="AR131" s="6">
        <f>[1]Production!AQ45+[1]Production!AQ49</f>
        <v>7021.6277883000002</v>
      </c>
      <c r="AS131" s="6">
        <f>[1]Production!AR45+[1]Production!AR49</f>
        <v>7095.1311988999996</v>
      </c>
      <c r="AT131" s="6">
        <f>[1]Production!AS45+[1]Production!AS49</f>
        <v>7169.4825028000005</v>
      </c>
      <c r="AU131" s="6">
        <f>[1]Production!AT45+[1]Production!AT49</f>
        <v>7244.7211008000004</v>
      </c>
      <c r="AV131" s="6">
        <f>[1]Production!AU45+[1]Production!AU49</f>
        <v>7320.8764738</v>
      </c>
      <c r="AW131" s="6">
        <f>[1]Production!AV45+[1]Production!AV49</f>
        <v>7398.1588783999996</v>
      </c>
      <c r="AX131" s="6">
        <f>[1]Production!AW45+[1]Production!AW49</f>
        <v>7476.4298806999996</v>
      </c>
      <c r="AY131" s="6">
        <f>[1]Production!AX45+[1]Production!AX49</f>
        <v>7555.6655850000006</v>
      </c>
      <c r="AZ131" s="6">
        <f>[1]Production!AY45+[1]Production!AY49</f>
        <v>7635.9017120999997</v>
      </c>
      <c r="BA131" s="6">
        <f>[1]Production!AZ45+[1]Production!AZ49</f>
        <v>7717.1690769999996</v>
      </c>
      <c r="BB131" s="6">
        <f>[1]Production!BA45+[1]Production!BA49</f>
        <v>8410.6024689999995</v>
      </c>
      <c r="BC131" s="6">
        <f>[1]Production!BB45+[1]Production!BB49</f>
        <v>8527.5116899999994</v>
      </c>
      <c r="BD131" s="6">
        <f>[1]Production!BC45+[1]Production!BC49</f>
        <v>8646.2339209999991</v>
      </c>
      <c r="BE131" s="6">
        <f>[1]Production!BD45+[1]Production!BD49</f>
        <v>8766.8204050000004</v>
      </c>
      <c r="BF131" s="6">
        <f>[1]Production!BE45+[1]Production!BE49</f>
        <v>8889.3251259999997</v>
      </c>
    </row>
    <row r="132" spans="1:58" x14ac:dyDescent="0.35">
      <c r="B132" t="s">
        <v>33</v>
      </c>
      <c r="C132" s="6">
        <f>[1]Production!B51+[1]Production!B53+[1]Production!B55+[1]Production!B57+[1]Production!B59+[1]Production!B61+[1]Production!B63+[1]Production!B65+[1]Production!B67</f>
        <v>67874.252406800006</v>
      </c>
      <c r="D132" s="6">
        <f>[1]Production!C51+[1]Production!C53+[1]Production!C55+[1]Production!C57+[1]Production!C59+[1]Production!C61+[1]Production!C63+[1]Production!C65+[1]Production!C67</f>
        <v>68391.021739399992</v>
      </c>
      <c r="E132" s="6">
        <f>[1]Production!D51+[1]Production!D53+[1]Production!D55+[1]Production!D57+[1]Production!D59+[1]Production!D61+[1]Production!D63+[1]Production!D65+[1]Production!D67</f>
        <v>68841.002032400007</v>
      </c>
      <c r="F132" s="6">
        <f>[1]Production!E51+[1]Production!E53+[1]Production!E55+[1]Production!E57+[1]Production!E59+[1]Production!E61+[1]Production!E63+[1]Production!E65+[1]Production!E67</f>
        <v>69300.824643499989</v>
      </c>
      <c r="G132" s="6">
        <f>[1]Production!F51+[1]Production!F53+[1]Production!F55+[1]Production!F57+[1]Production!F59+[1]Production!F61+[1]Production!F63+[1]Production!F65+[1]Production!F67</f>
        <v>69797.034838000007</v>
      </c>
      <c r="H132" s="6">
        <f>[1]Production!G51+[1]Production!G53+[1]Production!G55+[1]Production!G57+[1]Production!G59+[1]Production!G61+[1]Production!G63+[1]Production!G65+[1]Production!G67</f>
        <v>70342.195072200004</v>
      </c>
      <c r="I132" s="6">
        <f>[1]Production!H51+[1]Production!H53+[1]Production!H55+[1]Production!H57+[1]Production!H59+[1]Production!H61+[1]Production!H63+[1]Production!H65+[1]Production!H67</f>
        <v>70901.765705199985</v>
      </c>
      <c r="J132" s="6">
        <f>[1]Production!I51+[1]Production!I53+[1]Production!I55+[1]Production!I57+[1]Production!I59+[1]Production!I61+[1]Production!I63+[1]Production!I65+[1]Production!I67</f>
        <v>71490.623188300015</v>
      </c>
      <c r="K132" s="6">
        <f>[1]Production!J51+[1]Production!J53+[1]Production!J55+[1]Production!J57+[1]Production!J59+[1]Production!J61+[1]Production!J63+[1]Production!J65+[1]Production!J67</f>
        <v>72105.257039799995</v>
      </c>
      <c r="L132" s="6">
        <f>[1]Production!K51+[1]Production!K53+[1]Production!K55+[1]Production!K57+[1]Production!K59+[1]Production!K61+[1]Production!K63+[1]Production!K65+[1]Production!K67</f>
        <v>72739.210870800001</v>
      </c>
      <c r="M132" s="6">
        <f>[1]Production!L51+[1]Production!L53+[1]Production!L55+[1]Production!L57+[1]Production!L59+[1]Production!L61+[1]Production!L63+[1]Production!L65+[1]Production!L67</f>
        <v>73449.935660300005</v>
      </c>
      <c r="N132" s="6">
        <f>[1]Production!M51+[1]Production!M53+[1]Production!M55+[1]Production!M57+[1]Production!M59+[1]Production!M61+[1]Production!M63+[1]Production!M65+[1]Production!M67</f>
        <v>74132.861976600019</v>
      </c>
      <c r="O132" s="6">
        <f>[1]Production!N51+[1]Production!N53+[1]Production!N55+[1]Production!N57+[1]Production!N59+[1]Production!N61+[1]Production!N63+[1]Production!N65+[1]Production!N67</f>
        <v>74812.288931999996</v>
      </c>
      <c r="P132" s="6">
        <f>[1]Production!O51+[1]Production!O53+[1]Production!O55+[1]Production!O57+[1]Production!O59+[1]Production!O61+[1]Production!O63+[1]Production!O65+[1]Production!O67</f>
        <v>75492.750519499998</v>
      </c>
      <c r="Q132" s="6">
        <f>[1]Production!P51+[1]Production!P53+[1]Production!P55+[1]Production!P57+[1]Production!P59+[1]Production!P61+[1]Production!P63+[1]Production!P65+[1]Production!P67</f>
        <v>76175.5692767</v>
      </c>
      <c r="R132" s="6">
        <f>[1]Production!Q51+[1]Production!Q53+[1]Production!Q55+[1]Production!Q57+[1]Production!Q59+[1]Production!Q61+[1]Production!Q63+[1]Production!Q65+[1]Production!Q67</f>
        <v>76861.481789100013</v>
      </c>
      <c r="S132" s="6">
        <f>[1]Production!R51+[1]Production!R53+[1]Production!R55+[1]Production!R57+[1]Production!R59+[1]Production!R61+[1]Production!R63+[1]Production!R65+[1]Production!R67</f>
        <v>77551.273986600019</v>
      </c>
      <c r="T132" s="6">
        <f>[1]Production!S51+[1]Production!S53+[1]Production!S55+[1]Production!S57+[1]Production!S59+[1]Production!S61+[1]Production!S63+[1]Production!S65+[1]Production!S67</f>
        <v>78245.906670500015</v>
      </c>
      <c r="U132" s="6">
        <f>[1]Production!T51+[1]Production!T53+[1]Production!T55+[1]Production!T57+[1]Production!T59+[1]Production!T61+[1]Production!T63+[1]Production!T65+[1]Production!T67</f>
        <v>78946.501176299993</v>
      </c>
      <c r="V132" s="6">
        <f>[1]Production!U51+[1]Production!U53+[1]Production!U55+[1]Production!U57+[1]Production!U59+[1]Production!U61+[1]Production!U63+[1]Production!U65+[1]Production!U67</f>
        <v>79654.286904699999</v>
      </c>
      <c r="W132" s="6">
        <f>[1]Production!V51+[1]Production!V53+[1]Production!V55+[1]Production!V57+[1]Production!V59+[1]Production!V61+[1]Production!V63+[1]Production!V65+[1]Production!V67</f>
        <v>80325.074512799998</v>
      </c>
      <c r="X132" s="6">
        <f>[1]Production!W51+[1]Production!W53+[1]Production!W55+[1]Production!W57+[1]Production!W59+[1]Production!W61+[1]Production!W63+[1]Production!W65+[1]Production!W67</f>
        <v>81033.135198899996</v>
      </c>
      <c r="Y132" s="6">
        <f>[1]Production!X51+[1]Production!X53+[1]Production!X55+[1]Production!X57+[1]Production!X59+[1]Production!X61+[1]Production!X63+[1]Production!X65+[1]Production!X67</f>
        <v>81760.23065550001</v>
      </c>
      <c r="Z132" s="6">
        <f>[1]Production!Y51+[1]Production!Y53+[1]Production!Y55+[1]Production!Y57+[1]Production!Y59+[1]Production!Y61+[1]Production!Y63+[1]Production!Y65+[1]Production!Y67</f>
        <v>82503.316762800008</v>
      </c>
      <c r="AA132" s="6">
        <f>[1]Production!Z51+[1]Production!Z53+[1]Production!Z55+[1]Production!Z57+[1]Production!Z59+[1]Production!Z61+[1]Production!Z63+[1]Production!Z65+[1]Production!Z67</f>
        <v>83262.052819299992</v>
      </c>
      <c r="AB132" s="6">
        <f>[1]Production!AA51+[1]Production!AA53+[1]Production!AA55+[1]Production!AA57+[1]Production!AA59+[1]Production!AA61+[1]Production!AA63+[1]Production!AA65+[1]Production!AA67</f>
        <v>83907.153422700008</v>
      </c>
      <c r="AC132" s="6">
        <f>[1]Production!AB51+[1]Production!AB53+[1]Production!AB55+[1]Production!AB57+[1]Production!AB59+[1]Production!AB61+[1]Production!AB63+[1]Production!AB65+[1]Production!AB67</f>
        <v>84585.687214900012</v>
      </c>
      <c r="AD132" s="6">
        <f>[1]Production!AC51+[1]Production!AC53+[1]Production!AC55+[1]Production!AC57+[1]Production!AC59+[1]Production!AC61+[1]Production!AC63+[1]Production!AC65+[1]Production!AC67</f>
        <v>85278.87222189999</v>
      </c>
      <c r="AE132" s="6">
        <f>[1]Production!AD51+[1]Production!AD53+[1]Production!AD55+[1]Production!AD57+[1]Production!AD59+[1]Production!AD61+[1]Production!AD63+[1]Production!AD65+[1]Production!AD67</f>
        <v>85985.662655400025</v>
      </c>
      <c r="AF132" s="6">
        <f>[1]Production!AE51+[1]Production!AE53+[1]Production!AE55+[1]Production!AE57+[1]Production!AE59+[1]Production!AE61+[1]Production!AE63+[1]Production!AE65+[1]Production!AE67</f>
        <v>86707.326432700007</v>
      </c>
      <c r="AG132" s="6">
        <f>[1]Production!AF51+[1]Production!AF53+[1]Production!AF55+[1]Production!AF57+[1]Production!AF59+[1]Production!AF61+[1]Production!AF63+[1]Production!AF65+[1]Production!AF67</f>
        <v>87445.357642700008</v>
      </c>
      <c r="AH132" s="6">
        <f>[1]Production!AG51+[1]Production!AG53+[1]Production!AG55+[1]Production!AG57+[1]Production!AG59+[1]Production!AG61+[1]Production!AG63+[1]Production!AG65+[1]Production!AG67</f>
        <v>88200.958347199979</v>
      </c>
      <c r="AI132" s="6">
        <f>[1]Production!AH51+[1]Production!AH53+[1]Production!AH55+[1]Production!AH57+[1]Production!AH59+[1]Production!AH61+[1]Production!AH63+[1]Production!AH65+[1]Production!AH67</f>
        <v>88974.937186699986</v>
      </c>
      <c r="AJ132" s="6">
        <f>[1]Production!AI51+[1]Production!AI53+[1]Production!AI55+[1]Production!AI57+[1]Production!AI59+[1]Production!AI61+[1]Production!AI63+[1]Production!AI65+[1]Production!AI67</f>
        <v>89767.732428200005</v>
      </c>
      <c r="AK132" s="6">
        <f>[1]Production!AJ51+[1]Production!AJ53+[1]Production!AJ55+[1]Production!AJ57+[1]Production!AJ59+[1]Production!AJ61+[1]Production!AJ63+[1]Production!AJ65+[1]Production!AJ67</f>
        <v>90579.477500600013</v>
      </c>
      <c r="AL132" s="6">
        <f>[1]Production!AK51+[1]Production!AK53+[1]Production!AK55+[1]Production!AK57+[1]Production!AK59+[1]Production!AK61+[1]Production!AK63+[1]Production!AK65+[1]Production!AK67</f>
        <v>91410.078782500001</v>
      </c>
      <c r="AM132" s="6">
        <f>[1]Production!AL51+[1]Production!AL53+[1]Production!AL55+[1]Production!AL57+[1]Production!AL59+[1]Production!AL61+[1]Production!AL63+[1]Production!AL65+[1]Production!AL67</f>
        <v>92228.701997699987</v>
      </c>
      <c r="AN132" s="6">
        <f>[1]Production!AM51+[1]Production!AM53+[1]Production!AM55+[1]Production!AM57+[1]Production!AM59+[1]Production!AM61+[1]Production!AM63+[1]Production!AM65+[1]Production!AM67</f>
        <v>93053.257610900007</v>
      </c>
      <c r="AO132" s="6">
        <f>[1]Production!AN51+[1]Production!AN53+[1]Production!AN55+[1]Production!AN57+[1]Production!AN59+[1]Production!AN61+[1]Production!AN63+[1]Production!AN65+[1]Production!AN67</f>
        <v>93888.561443699989</v>
      </c>
      <c r="AP132" s="6">
        <f>[1]Production!AO51+[1]Production!AO53+[1]Production!AO55+[1]Production!AO57+[1]Production!AO59+[1]Production!AO61+[1]Production!AO63+[1]Production!AO65+[1]Production!AO67</f>
        <v>94736.725898300007</v>
      </c>
      <c r="AQ132" s="6">
        <f>[1]Production!AP51+[1]Production!AP53+[1]Production!AP55+[1]Production!AP57+[1]Production!AP59+[1]Production!AP61+[1]Production!AP63+[1]Production!AP65+[1]Production!AP67</f>
        <v>95599.015520900008</v>
      </c>
      <c r="AR132" s="6">
        <f>[1]Production!AQ51+[1]Production!AQ53+[1]Production!AQ55+[1]Production!AQ57+[1]Production!AQ59+[1]Production!AQ61+[1]Production!AQ63+[1]Production!AQ65+[1]Production!AQ67</f>
        <v>96476.327467999989</v>
      </c>
      <c r="AS132" s="6">
        <f>[1]Production!AR51+[1]Production!AR53+[1]Production!AR55+[1]Production!AR57+[1]Production!AR59+[1]Production!AR61+[1]Production!AR63+[1]Production!AR65+[1]Production!AR67</f>
        <v>97369.328966399975</v>
      </c>
      <c r="AT132" s="6">
        <f>[1]Production!AS51+[1]Production!AS53+[1]Production!AS55+[1]Production!AS57+[1]Production!AS59+[1]Production!AS61+[1]Production!AS63+[1]Production!AS65+[1]Production!AS67</f>
        <v>98278.520015100017</v>
      </c>
      <c r="AU132" s="6">
        <f>[1]Production!AT51+[1]Production!AT53+[1]Production!AT55+[1]Production!AT57+[1]Production!AT59+[1]Production!AT61+[1]Production!AT63+[1]Production!AT65+[1]Production!AT67</f>
        <v>99204.2364333</v>
      </c>
      <c r="AV132" s="6">
        <f>[1]Production!AU51+[1]Production!AU53+[1]Production!AU55+[1]Production!AU57+[1]Production!AU59+[1]Production!AU61+[1]Production!AU63+[1]Production!AU65+[1]Production!AU67</f>
        <v>100146.580965</v>
      </c>
      <c r="AW132" s="6">
        <f>[1]Production!AV51+[1]Production!AV53+[1]Production!AV55+[1]Production!AV57+[1]Production!AV59+[1]Production!AV61+[1]Production!AV63+[1]Production!AV65+[1]Production!AV67</f>
        <v>101107.66559389999</v>
      </c>
      <c r="AX132" s="6">
        <f>[1]Production!AW51+[1]Production!AW53+[1]Production!AW55+[1]Production!AW57+[1]Production!AW59+[1]Production!AW61+[1]Production!AW63+[1]Production!AW65+[1]Production!AW67</f>
        <v>102082.25306680001</v>
      </c>
      <c r="AY132" s="6">
        <f>[1]Production!AX51+[1]Production!AX53+[1]Production!AX55+[1]Production!AX57+[1]Production!AX59+[1]Production!AX61+[1]Production!AX63+[1]Production!AX65+[1]Production!AX67</f>
        <v>103068.4182091</v>
      </c>
      <c r="AZ132" s="6">
        <f>[1]Production!AY51+[1]Production!AY53+[1]Production!AY55+[1]Production!AY57+[1]Production!AY59+[1]Production!AY61+[1]Production!AY63+[1]Production!AY65+[1]Production!AY67</f>
        <v>104068.52537429999</v>
      </c>
      <c r="BA132" s="6">
        <f>[1]Production!AZ51+[1]Production!AZ53+[1]Production!AZ55+[1]Production!AZ57+[1]Production!AZ59+[1]Production!AZ61+[1]Production!AZ63+[1]Production!AZ65+[1]Production!AZ67</f>
        <v>105084.9718847</v>
      </c>
      <c r="BB132" s="6">
        <f>[1]Production!BA51+[1]Production!BA53+[1]Production!BA55+[1]Production!BA57+[1]Production!BA59+[1]Production!BA61+[1]Production!BA63+[1]Production!BA65+[1]Production!BA67</f>
        <v>111520.97725159999</v>
      </c>
      <c r="BC132" s="6">
        <f>[1]Production!BB51+[1]Production!BB53+[1]Production!BB55+[1]Production!BB57+[1]Production!BB59+[1]Production!BB61+[1]Production!BB63+[1]Production!BB65+[1]Production!BB67</f>
        <v>112942.6055565</v>
      </c>
      <c r="BD132" s="6">
        <f>[1]Production!BC51+[1]Production!BC53+[1]Production!BC55+[1]Production!BC57+[1]Production!BC59+[1]Production!BC61+[1]Production!BC63+[1]Production!BC65+[1]Production!BC67</f>
        <v>114389.35199920001</v>
      </c>
      <c r="BE132" s="6">
        <f>[1]Production!BD51+[1]Production!BD53+[1]Production!BD55+[1]Production!BD57+[1]Production!BD59+[1]Production!BD61+[1]Production!BD63+[1]Production!BD65+[1]Production!BD67</f>
        <v>115861.71159410001</v>
      </c>
      <c r="BF132" s="6">
        <f>[1]Production!BE51+[1]Production!BE53+[1]Production!BE55+[1]Production!BE57+[1]Production!BE59+[1]Production!BE61+[1]Production!BE63+[1]Production!BE65+[1]Production!BE67</f>
        <v>117360.09855449999</v>
      </c>
    </row>
    <row r="133" spans="1:58" x14ac:dyDescent="0.35"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  <c r="BA133" s="6"/>
      <c r="BB133" s="6"/>
      <c r="BC133" s="6"/>
      <c r="BD133" s="6"/>
      <c r="BE133" s="6"/>
      <c r="BF133" s="6"/>
    </row>
    <row r="134" spans="1:58" x14ac:dyDescent="0.35">
      <c r="C134" s="2"/>
    </row>
    <row r="135" spans="1:58" x14ac:dyDescent="0.35">
      <c r="A135" s="12" t="s">
        <v>82</v>
      </c>
      <c r="B135" t="s">
        <v>24</v>
      </c>
      <c r="C135" s="2">
        <v>42005</v>
      </c>
      <c r="D135" s="2">
        <v>42370</v>
      </c>
      <c r="E135" s="2">
        <v>42736</v>
      </c>
      <c r="F135" s="2">
        <v>43101</v>
      </c>
      <c r="G135" s="2">
        <v>43466</v>
      </c>
      <c r="H135" s="2">
        <v>43831</v>
      </c>
      <c r="I135" s="2">
        <v>44197</v>
      </c>
      <c r="J135" s="2">
        <v>44562</v>
      </c>
      <c r="K135" s="2">
        <v>44927</v>
      </c>
      <c r="L135" s="2">
        <v>45292</v>
      </c>
      <c r="M135" s="2">
        <v>45658</v>
      </c>
      <c r="N135" s="2">
        <v>46023</v>
      </c>
      <c r="O135" s="2">
        <v>46388</v>
      </c>
      <c r="P135" s="2">
        <v>46753</v>
      </c>
      <c r="Q135" s="2">
        <v>47119</v>
      </c>
      <c r="R135" s="2">
        <v>47484</v>
      </c>
      <c r="S135" s="2">
        <v>47849</v>
      </c>
      <c r="T135" s="2">
        <v>48214</v>
      </c>
      <c r="U135" s="2">
        <v>48580</v>
      </c>
      <c r="V135" s="2">
        <v>48945</v>
      </c>
      <c r="W135" s="2">
        <v>49310</v>
      </c>
      <c r="X135" s="2">
        <v>49675</v>
      </c>
      <c r="Y135" s="2">
        <v>50041</v>
      </c>
      <c r="Z135" s="2">
        <v>50406</v>
      </c>
      <c r="AA135" s="2">
        <v>50771</v>
      </c>
      <c r="AB135" s="2">
        <v>51136</v>
      </c>
      <c r="AC135" s="2">
        <v>51502</v>
      </c>
      <c r="AD135" s="2">
        <v>51867</v>
      </c>
      <c r="AE135" s="2">
        <v>52232</v>
      </c>
      <c r="AF135" s="2">
        <v>52597</v>
      </c>
      <c r="AG135" s="2">
        <v>52963</v>
      </c>
      <c r="AH135" s="2">
        <v>53328</v>
      </c>
      <c r="AI135" s="2">
        <v>53693</v>
      </c>
      <c r="AJ135" s="2">
        <v>54058</v>
      </c>
      <c r="AK135" s="2">
        <v>54424</v>
      </c>
      <c r="AL135" s="2">
        <v>54789</v>
      </c>
      <c r="AM135" s="2">
        <v>54790</v>
      </c>
      <c r="AN135" s="2">
        <v>54791</v>
      </c>
      <c r="AO135" s="2">
        <v>54792</v>
      </c>
      <c r="AP135" s="2">
        <v>54793</v>
      </c>
      <c r="AQ135" s="2">
        <v>54794</v>
      </c>
      <c r="AR135" s="2">
        <v>54795</v>
      </c>
      <c r="AS135" s="2">
        <v>54796</v>
      </c>
      <c r="AT135" s="2">
        <v>54797</v>
      </c>
      <c r="AU135" s="2">
        <v>54798</v>
      </c>
      <c r="AV135" s="2">
        <v>54799</v>
      </c>
      <c r="AW135" s="2">
        <v>54800</v>
      </c>
      <c r="AX135" s="2">
        <v>54801</v>
      </c>
      <c r="AY135" s="2">
        <v>54802</v>
      </c>
      <c r="AZ135" s="2">
        <v>54803</v>
      </c>
      <c r="BA135" s="2">
        <v>54804</v>
      </c>
      <c r="BB135" s="2">
        <v>54805</v>
      </c>
      <c r="BC135" s="2">
        <v>54806</v>
      </c>
      <c r="BD135" s="2">
        <v>54807</v>
      </c>
      <c r="BE135" s="2">
        <v>54808</v>
      </c>
      <c r="BF135" s="2">
        <v>54809</v>
      </c>
    </row>
    <row r="136" spans="1:58" x14ac:dyDescent="0.35">
      <c r="A136" t="s">
        <v>39</v>
      </c>
      <c r="B136" t="s">
        <v>27</v>
      </c>
      <c r="C136" s="6">
        <f>[1]Production!B2</f>
        <v>3802365.2170000002</v>
      </c>
      <c r="D136" s="6">
        <f>[1]Production!C2</f>
        <v>3831979.4010000001</v>
      </c>
      <c r="E136" s="6">
        <f>[1]Production!D2</f>
        <v>3870438.1329999999</v>
      </c>
      <c r="F136" s="6">
        <f>[1]Production!E2</f>
        <v>3914558.0520000001</v>
      </c>
      <c r="G136" s="6">
        <f>[1]Production!F2</f>
        <v>3963263.537</v>
      </c>
      <c r="H136" s="6">
        <f>[1]Production!G2</f>
        <v>4015756.1460000002</v>
      </c>
      <c r="I136" s="6">
        <f>[1]Production!H2</f>
        <v>4068759.676</v>
      </c>
      <c r="J136" s="6">
        <f>[1]Production!I2</f>
        <v>4123507.26</v>
      </c>
      <c r="K136" s="6">
        <f>[1]Production!J2</f>
        <v>4179840.87</v>
      </c>
      <c r="L136" s="6">
        <f>[1]Production!K2</f>
        <v>4237566.6339999996</v>
      </c>
      <c r="M136" s="6">
        <f>[1]Production!L2</f>
        <v>4296323.8499999996</v>
      </c>
      <c r="N136" s="6">
        <f>[1]Production!M2</f>
        <v>4359657.5199999996</v>
      </c>
      <c r="O136" s="6">
        <f>[1]Production!N2</f>
        <v>4424551.3380000005</v>
      </c>
      <c r="P136" s="6">
        <f>[1]Production!O2</f>
        <v>4490626.898</v>
      </c>
      <c r="Q136" s="6">
        <f>[1]Production!P2</f>
        <v>4557701.6950000003</v>
      </c>
      <c r="R136" s="6">
        <f>[1]Production!Q2</f>
        <v>4625667.7410000004</v>
      </c>
      <c r="S136" s="6">
        <f>[1]Production!R2</f>
        <v>4694232.6540000001</v>
      </c>
      <c r="T136" s="6">
        <f>[1]Production!S2</f>
        <v>4763509.97</v>
      </c>
      <c r="U136" s="6">
        <f>[1]Production!T2</f>
        <v>4833495.9060000004</v>
      </c>
      <c r="V136" s="6">
        <f>[1]Production!U2</f>
        <v>4904195.977</v>
      </c>
      <c r="W136" s="6">
        <f>[1]Production!V2</f>
        <v>4972362.9460000005</v>
      </c>
      <c r="X136" s="6">
        <f>[1]Production!W2</f>
        <v>5043439.9740000004</v>
      </c>
      <c r="Y136" s="6">
        <f>[1]Production!X2</f>
        <v>5115628.3279999997</v>
      </c>
      <c r="Z136" s="6">
        <f>[1]Production!Y2</f>
        <v>5188849.51</v>
      </c>
      <c r="AA136" s="6">
        <f>[1]Production!Z2</f>
        <v>5263097.6030000001</v>
      </c>
      <c r="AB136" s="6">
        <f>[1]Production!AA2</f>
        <v>5329001.8439999996</v>
      </c>
      <c r="AC136" s="6">
        <f>[1]Production!AB2</f>
        <v>5397797.7529999996</v>
      </c>
      <c r="AD136" s="6">
        <f>[1]Production!AC2</f>
        <v>5467053.5360000003</v>
      </c>
      <c r="AE136" s="6">
        <f>[1]Production!AD2</f>
        <v>5536875.6390000004</v>
      </c>
      <c r="AF136" s="6">
        <f>[1]Production!AE2</f>
        <v>5607420.5039999997</v>
      </c>
      <c r="AG136" s="6">
        <f>[1]Production!AF2</f>
        <v>5678823.4139999999</v>
      </c>
      <c r="AH136" s="6">
        <f>[1]Production!AG2</f>
        <v>5751251.4780000001</v>
      </c>
      <c r="AI136" s="6">
        <f>[1]Production!AH2</f>
        <v>5824724.6979999999</v>
      </c>
      <c r="AJ136" s="6">
        <f>[1]Production!AI2</f>
        <v>5899274.4330000002</v>
      </c>
      <c r="AK136" s="6">
        <f>[1]Production!AJ2</f>
        <v>5974912.7630000003</v>
      </c>
      <c r="AL136" s="6">
        <f>[1]Production!AK2</f>
        <v>6051638.8849999998</v>
      </c>
      <c r="AM136" s="6">
        <f>[1]Production!AL2</f>
        <v>6127836.3509999998</v>
      </c>
      <c r="AN136" s="6">
        <f>[1]Production!AM2</f>
        <v>6204511.3109999998</v>
      </c>
      <c r="AO136" s="6">
        <f>[1]Production!AN2</f>
        <v>6281812.165</v>
      </c>
      <c r="AP136" s="6">
        <f>[1]Production!AO2</f>
        <v>6359828.3119999999</v>
      </c>
      <c r="AQ136" s="6">
        <f>[1]Production!AP2</f>
        <v>6438631.932</v>
      </c>
      <c r="AR136" s="6">
        <f>[1]Production!AQ2</f>
        <v>6518394.017</v>
      </c>
      <c r="AS136" s="6">
        <f>[1]Production!AR2</f>
        <v>6599091.7560000001</v>
      </c>
      <c r="AT136" s="6">
        <f>[1]Production!AS2</f>
        <v>6680752.7010000004</v>
      </c>
      <c r="AU136" s="6">
        <f>[1]Production!AT2</f>
        <v>6763394.3300000001</v>
      </c>
      <c r="AV136" s="6">
        <f>[1]Production!AU2</f>
        <v>6847025.4670000002</v>
      </c>
      <c r="AW136" s="6">
        <f>[1]Production!AV2</f>
        <v>6932242.949</v>
      </c>
      <c r="AX136" s="6">
        <f>[1]Production!AW2</f>
        <v>7018653.2580000004</v>
      </c>
      <c r="AY136" s="6">
        <f>[1]Production!AX2</f>
        <v>7106199.4139999999</v>
      </c>
      <c r="AZ136" s="6">
        <f>[1]Production!AY2</f>
        <v>7194841.1660000002</v>
      </c>
      <c r="BA136" s="6">
        <f>[1]Production!AZ2</f>
        <v>7284550.0499999998</v>
      </c>
      <c r="BB136" s="6">
        <f>[1]Production!BA2</f>
        <v>8694272.4759999998</v>
      </c>
      <c r="BC136" s="6">
        <f>[1]Production!BB2</f>
        <v>8840634.7420000006</v>
      </c>
      <c r="BD136" s="6">
        <f>[1]Production!BC2</f>
        <v>8989308.7599999998</v>
      </c>
      <c r="BE136" s="6">
        <f>[1]Production!BD2</f>
        <v>9140327.6300000008</v>
      </c>
      <c r="BF136" s="6">
        <f>[1]Production!BE2</f>
        <v>9293727.1170000006</v>
      </c>
    </row>
    <row r="137" spans="1:58" x14ac:dyDescent="0.35">
      <c r="B137" t="s">
        <v>7</v>
      </c>
      <c r="C137" s="6">
        <f>[1]Production!B4+[1]Production!B6</f>
        <v>86920.712878999999</v>
      </c>
      <c r="D137" s="6">
        <f>[1]Production!C4+[1]Production!C6</f>
        <v>87049.815704000008</v>
      </c>
      <c r="E137" s="6">
        <f>[1]Production!D4+[1]Production!D6</f>
        <v>87400.203828999991</v>
      </c>
      <c r="F137" s="6">
        <f>[1]Production!E4+[1]Production!E6</f>
        <v>87957.252798000001</v>
      </c>
      <c r="G137" s="6">
        <f>[1]Production!F4+[1]Production!F6</f>
        <v>88698.955549999999</v>
      </c>
      <c r="H137" s="6">
        <f>[1]Production!G4+[1]Production!G6</f>
        <v>89595.243997999991</v>
      </c>
      <c r="I137" s="6">
        <f>[1]Production!H4+[1]Production!H6</f>
        <v>90562.254396000004</v>
      </c>
      <c r="J137" s="6">
        <f>[1]Production!I4+[1]Production!I6</f>
        <v>91604.459889000005</v>
      </c>
      <c r="K137" s="6">
        <f>[1]Production!J4+[1]Production!J6</f>
        <v>92706.773725000006</v>
      </c>
      <c r="L137" s="6">
        <f>[1]Production!K4+[1]Production!K6</f>
        <v>93856.021894999998</v>
      </c>
      <c r="M137" s="6">
        <f>[1]Production!L4+[1]Production!L6</f>
        <v>95010.983094999989</v>
      </c>
      <c r="N137" s="6">
        <f>[1]Production!M4+[1]Production!M6</f>
        <v>96318.390436999995</v>
      </c>
      <c r="O137" s="6">
        <f>[1]Production!N4+[1]Production!N6</f>
        <v>97664.596681999989</v>
      </c>
      <c r="P137" s="6">
        <f>[1]Production!O4+[1]Production!O6</f>
        <v>99039.032821000001</v>
      </c>
      <c r="Q137" s="6">
        <f>[1]Production!P4+[1]Production!P6</f>
        <v>100435.92071399999</v>
      </c>
      <c r="R137" s="6">
        <f>[1]Production!Q4+[1]Production!Q6</f>
        <v>101850.98568300001</v>
      </c>
      <c r="S137" s="6">
        <f>[1]Production!R4+[1]Production!R6</f>
        <v>103275.480572</v>
      </c>
      <c r="T137" s="6">
        <f>[1]Production!S4+[1]Production!S6</f>
        <v>104709.78027599999</v>
      </c>
      <c r="U137" s="6">
        <f>[1]Production!T4+[1]Production!T6</f>
        <v>106152.67400300001</v>
      </c>
      <c r="V137" s="6">
        <f>[1]Production!U4+[1]Production!U6</f>
        <v>107603.691462</v>
      </c>
      <c r="W137" s="6">
        <f>[1]Production!V4+[1]Production!V6</f>
        <v>108997.31622399999</v>
      </c>
      <c r="X137" s="6">
        <f>[1]Production!W4+[1]Production!W6</f>
        <v>110435.462056</v>
      </c>
      <c r="Y137" s="6">
        <f>[1]Production!X4+[1]Production!X6</f>
        <v>111891.304733</v>
      </c>
      <c r="Z137" s="6">
        <f>[1]Production!Y4+[1]Production!Y6</f>
        <v>113363.31605000001</v>
      </c>
      <c r="AA137" s="6">
        <f>[1]Production!Z4+[1]Production!Z6</f>
        <v>114851.427182</v>
      </c>
      <c r="AB137" s="6">
        <f>[1]Production!AA4+[1]Production!AA6</f>
        <v>116168.570531</v>
      </c>
      <c r="AC137" s="6">
        <f>[1]Production!AB4+[1]Production!AB6</f>
        <v>117518.42061</v>
      </c>
      <c r="AD137" s="6">
        <f>[1]Production!AC4+[1]Production!AC6</f>
        <v>118869.679953</v>
      </c>
      <c r="AE137" s="6">
        <f>[1]Production!AD4+[1]Production!AD6</f>
        <v>120226.935654</v>
      </c>
      <c r="AF137" s="6">
        <f>[1]Production!AE4+[1]Production!AE6</f>
        <v>121595.367726</v>
      </c>
      <c r="AG137" s="6">
        <f>[1]Production!AF4+[1]Production!AF6</f>
        <v>122979.28311399999</v>
      </c>
      <c r="AH137" s="6">
        <f>[1]Production!AG4+[1]Production!AG6</f>
        <v>124383.44168999999</v>
      </c>
      <c r="AI137" s="6">
        <f>[1]Production!AH4+[1]Production!AH6</f>
        <v>125809.200589</v>
      </c>
      <c r="AJ137" s="6">
        <f>[1]Production!AI4+[1]Production!AI6</f>
        <v>127257.715522</v>
      </c>
      <c r="AK137" s="6">
        <f>[1]Production!AJ4+[1]Production!AJ6</f>
        <v>128729.490552</v>
      </c>
      <c r="AL137" s="6">
        <f>[1]Production!AK4+[1]Production!AK6</f>
        <v>130224.63720100001</v>
      </c>
      <c r="AM137" s="6">
        <f>[1]Production!AL4+[1]Production!AL6</f>
        <v>131713.71342099999</v>
      </c>
      <c r="AN137" s="6">
        <f>[1]Production!AM4+[1]Production!AM6</f>
        <v>133212.69598399999</v>
      </c>
      <c r="AO137" s="6">
        <f>[1]Production!AN4+[1]Production!AN6</f>
        <v>134725.66080499999</v>
      </c>
      <c r="AP137" s="6">
        <f>[1]Production!AO4+[1]Production!AO6</f>
        <v>136254.782588</v>
      </c>
      <c r="AQ137" s="6">
        <f>[1]Production!AP4+[1]Production!AP6</f>
        <v>137801.79838699999</v>
      </c>
      <c r="AR137" s="6">
        <f>[1]Production!AQ4+[1]Production!AQ6</f>
        <v>139370.770701</v>
      </c>
      <c r="AS137" s="6">
        <f>[1]Production!AR4+[1]Production!AR6</f>
        <v>140961.765526</v>
      </c>
      <c r="AT137" s="6">
        <f>[1]Production!AS4+[1]Production!AS6</f>
        <v>142575.51320500002</v>
      </c>
      <c r="AU137" s="6">
        <f>[1]Production!AT4+[1]Production!AT6</f>
        <v>144212.34336300002</v>
      </c>
      <c r="AV137" s="6">
        <f>[1]Production!AU4+[1]Production!AU6</f>
        <v>145872.33134899999</v>
      </c>
      <c r="AW137" s="6">
        <f>[1]Production!AV4+[1]Production!AV6</f>
        <v>147568.34702099999</v>
      </c>
      <c r="AX137" s="6">
        <f>[1]Production!AW4+[1]Production!AW6</f>
        <v>149293.83049199998</v>
      </c>
      <c r="AY137" s="6">
        <f>[1]Production!AX4+[1]Production!AX6</f>
        <v>151047.260817</v>
      </c>
      <c r="AZ137" s="6">
        <f>[1]Production!AY4+[1]Production!AY6</f>
        <v>152827.026679</v>
      </c>
      <c r="BA137" s="6">
        <f>[1]Production!AZ4+[1]Production!AZ6</f>
        <v>154631.769416</v>
      </c>
      <c r="BB137" s="6">
        <f>[1]Production!BA4+[1]Production!BA6</f>
        <v>186397.20084100001</v>
      </c>
      <c r="BC137" s="6">
        <f>[1]Production!BB4+[1]Production!BB6</f>
        <v>189372.32744200001</v>
      </c>
      <c r="BD137" s="6">
        <f>[1]Production!BC4+[1]Production!BC6</f>
        <v>192397.54094400001</v>
      </c>
      <c r="BE137" s="6">
        <f>[1]Production!BD4+[1]Production!BD6</f>
        <v>195473.85499699999</v>
      </c>
      <c r="BF137" s="6">
        <f>[1]Production!BE4+[1]Production!BE6</f>
        <v>198602.34797600002</v>
      </c>
    </row>
    <row r="138" spans="1:58" x14ac:dyDescent="0.35">
      <c r="B138" t="s">
        <v>30</v>
      </c>
      <c r="C138" s="6">
        <f>[1]Production!B8+[1]Production!B10+[1]Production!B12+[1]Production!B14+[1]Production!B16+[1]Production!B18+[1]Production!B20+[1]Production!B22+[1]Production!B24+[1]Production!B26+[1]Production!B40</f>
        <v>959365.44576999999</v>
      </c>
      <c r="D138" s="6">
        <f>[1]Production!C8+[1]Production!C10+[1]Production!C12+[1]Production!C14+[1]Production!C16+[1]Production!C18+[1]Production!C20+[1]Production!C22+[1]Production!C24+[1]Production!C26+[1]Production!C40</f>
        <v>967141.3457249999</v>
      </c>
      <c r="E138" s="6">
        <f>[1]Production!D8+[1]Production!D10+[1]Production!D12+[1]Production!D14+[1]Production!D16+[1]Production!D18+[1]Production!D20+[1]Production!D22+[1]Production!D24+[1]Production!D26+[1]Production!D40</f>
        <v>977380.65456299996</v>
      </c>
      <c r="F138" s="6">
        <f>[1]Production!E8+[1]Production!E10+[1]Production!E12+[1]Production!E14+[1]Production!E16+[1]Production!E18+[1]Production!E20+[1]Production!E22+[1]Production!E24+[1]Production!E26+[1]Production!E40</f>
        <v>988963.31831599982</v>
      </c>
      <c r="G138" s="6">
        <f>[1]Production!F8+[1]Production!F10+[1]Production!F12+[1]Production!F14+[1]Production!F16+[1]Production!F18+[1]Production!F20+[1]Production!F22+[1]Production!F24+[1]Production!F26+[1]Production!F40</f>
        <v>1001497.2472159999</v>
      </c>
      <c r="H138" s="6">
        <f>[1]Production!G8+[1]Production!G10+[1]Production!G12+[1]Production!G14+[1]Production!G16+[1]Production!G18+[1]Production!G20+[1]Production!G22+[1]Production!G24+[1]Production!G26+[1]Production!G40</f>
        <v>1014754.432174</v>
      </c>
      <c r="I138" s="6">
        <f>[1]Production!H8+[1]Production!H10+[1]Production!H12+[1]Production!H14+[1]Production!H16+[1]Production!H18+[1]Production!H20+[1]Production!H22+[1]Production!H24+[1]Production!H26+[1]Production!H40</f>
        <v>1027932.9216509999</v>
      </c>
      <c r="J138" s="6">
        <f>[1]Production!I8+[1]Production!I10+[1]Production!I12+[1]Production!I14+[1]Production!I16+[1]Production!I18+[1]Production!I20+[1]Production!I22+[1]Production!I24+[1]Production!I26+[1]Production!I40</f>
        <v>1041383.730272</v>
      </c>
      <c r="K138" s="6">
        <f>[1]Production!J8+[1]Production!J10+[1]Production!J12+[1]Production!J14+[1]Production!J16+[1]Production!J18+[1]Production!J20+[1]Production!J22+[1]Production!J24+[1]Production!J26+[1]Production!J40</f>
        <v>1055097.059102</v>
      </c>
      <c r="L138" s="6">
        <f>[1]Production!K8+[1]Production!K10+[1]Production!K12+[1]Production!K14+[1]Production!K16+[1]Production!K18+[1]Production!K20+[1]Production!K22+[1]Production!K24+[1]Production!K26+[1]Production!K40</f>
        <v>1069053.6503130002</v>
      </c>
      <c r="M138" s="6">
        <f>[1]Production!L8+[1]Production!L10+[1]Production!L12+[1]Production!L14+[1]Production!L16+[1]Production!L18+[1]Production!L20+[1]Production!L22+[1]Production!L24+[1]Production!L26+[1]Production!L40</f>
        <v>1082567.505133</v>
      </c>
      <c r="N138" s="6">
        <f>[1]Production!M8+[1]Production!M10+[1]Production!M12+[1]Production!M14+[1]Production!M16+[1]Production!M18+[1]Production!M20+[1]Production!M22+[1]Production!M24+[1]Production!M26+[1]Production!M40</f>
        <v>1098152.678565</v>
      </c>
      <c r="O138" s="6">
        <f>[1]Production!N8+[1]Production!N10+[1]Production!N12+[1]Production!N14+[1]Production!N16+[1]Production!N18+[1]Production!N20+[1]Production!N22+[1]Production!N24+[1]Production!N26+[1]Production!N40</f>
        <v>1114090.0432429998</v>
      </c>
      <c r="P138" s="6">
        <f>[1]Production!O8+[1]Production!O10+[1]Production!O12+[1]Production!O14+[1]Production!O16+[1]Production!O18+[1]Production!O20+[1]Production!O22+[1]Production!O24+[1]Production!O26+[1]Production!O40</f>
        <v>1130281.7162359997</v>
      </c>
      <c r="Q138" s="6">
        <f>[1]Production!P8+[1]Production!P10+[1]Production!P12+[1]Production!P14+[1]Production!P16+[1]Production!P18+[1]Production!P20+[1]Production!P22+[1]Production!P24+[1]Production!P26+[1]Production!P40</f>
        <v>1146687.9230299999</v>
      </c>
      <c r="R138" s="6">
        <f>[1]Production!Q8+[1]Production!Q10+[1]Production!Q12+[1]Production!Q14+[1]Production!Q16+[1]Production!Q18+[1]Production!Q20+[1]Production!Q22+[1]Production!Q24+[1]Production!Q26+[1]Production!Q40</f>
        <v>1163293.2443230001</v>
      </c>
      <c r="S138" s="6">
        <f>[1]Production!R8+[1]Production!R10+[1]Production!R12+[1]Production!R14+[1]Production!R16+[1]Production!R18+[1]Production!R20+[1]Production!R22+[1]Production!R24+[1]Production!R26+[1]Production!R40</f>
        <v>1180008.4395710002</v>
      </c>
      <c r="T138" s="6">
        <f>[1]Production!S8+[1]Production!S10+[1]Production!S12+[1]Production!S14+[1]Production!S16+[1]Production!S18+[1]Production!S20+[1]Production!S22+[1]Production!S24+[1]Production!S26+[1]Production!S40</f>
        <v>1196905.9256300002</v>
      </c>
      <c r="U138" s="6">
        <f>[1]Production!T8+[1]Production!T10+[1]Production!T12+[1]Production!T14+[1]Production!T16+[1]Production!T18+[1]Production!T20+[1]Production!T22+[1]Production!T24+[1]Production!T26+[1]Production!T40</f>
        <v>1213998.090051</v>
      </c>
      <c r="V138" s="6">
        <f>[1]Production!U8+[1]Production!U10+[1]Production!U12+[1]Production!U14+[1]Production!U16+[1]Production!U18+[1]Production!U20+[1]Production!U22+[1]Production!U24+[1]Production!U26+[1]Production!U40</f>
        <v>1231298.0998350002</v>
      </c>
      <c r="W138" s="6">
        <f>[1]Production!V8+[1]Production!V10+[1]Production!V12+[1]Production!V14+[1]Production!V16+[1]Production!V18+[1]Production!V20+[1]Production!V22+[1]Production!V24+[1]Production!V26+[1]Production!V40</f>
        <v>1248031.2265579998</v>
      </c>
      <c r="X138" s="6">
        <f>[1]Production!W8+[1]Production!W10+[1]Production!W12+[1]Production!W14+[1]Production!W16+[1]Production!W18+[1]Production!W20+[1]Production!W22+[1]Production!W24+[1]Production!W26+[1]Production!W40</f>
        <v>1265530.9588939999</v>
      </c>
      <c r="Y138" s="6">
        <f>[1]Production!X8+[1]Production!X10+[1]Production!X12+[1]Production!X14+[1]Production!X16+[1]Production!X18+[1]Production!X20+[1]Production!X22+[1]Production!X24+[1]Production!X26+[1]Production!X40</f>
        <v>1283353.8472229999</v>
      </c>
      <c r="Z138" s="6">
        <f>[1]Production!Y8+[1]Production!Y10+[1]Production!Y12+[1]Production!Y14+[1]Production!Y16+[1]Production!Y18+[1]Production!Y20+[1]Production!Y22+[1]Production!Y24+[1]Production!Y26+[1]Production!Y40</f>
        <v>1301486.882061</v>
      </c>
      <c r="AA138" s="6">
        <f>[1]Production!Z8+[1]Production!Z10+[1]Production!Z12+[1]Production!Z14+[1]Production!Z16+[1]Production!Z18+[1]Production!Z20+[1]Production!Z22+[1]Production!Z24+[1]Production!Z26+[1]Production!Z40</f>
        <v>1319931.573235</v>
      </c>
      <c r="AB138" s="6">
        <f>[1]Production!AA8+[1]Production!AA10+[1]Production!AA12+[1]Production!AA14+[1]Production!AA16+[1]Production!AA18+[1]Production!AA20+[1]Production!AA22+[1]Production!AA24+[1]Production!AA26+[1]Production!AA40</f>
        <v>1336434.8855160002</v>
      </c>
      <c r="AC138" s="6">
        <f>[1]Production!AB8+[1]Production!AB10+[1]Production!AB12+[1]Production!AB14+[1]Production!AB16+[1]Production!AB18+[1]Production!AB20+[1]Production!AB22+[1]Production!AB24+[1]Production!AB26+[1]Production!AB40</f>
        <v>1353740.7088720002</v>
      </c>
      <c r="AD138" s="6">
        <f>[1]Production!AC8+[1]Production!AC10+[1]Production!AC12+[1]Production!AC14+[1]Production!AC16+[1]Production!AC18+[1]Production!AC20+[1]Production!AC22+[1]Production!AC24+[1]Production!AC26+[1]Production!AC40</f>
        <v>1371219.118576</v>
      </c>
      <c r="AE138" s="6">
        <f>[1]Production!AD8+[1]Production!AD10+[1]Production!AD12+[1]Production!AD14+[1]Production!AD16+[1]Production!AD18+[1]Production!AD20+[1]Production!AD22+[1]Production!AD24+[1]Production!AD26+[1]Production!AD40</f>
        <v>1388889.9599000001</v>
      </c>
      <c r="AF138" s="6">
        <f>[1]Production!AE8+[1]Production!AE10+[1]Production!AE12+[1]Production!AE14+[1]Production!AE16+[1]Production!AE18+[1]Production!AE20+[1]Production!AE22+[1]Production!AE24+[1]Production!AE26+[1]Production!AE40</f>
        <v>1406781.0549010001</v>
      </c>
      <c r="AG138" s="6">
        <f>[1]Production!AF8+[1]Production!AF10+[1]Production!AF12+[1]Production!AF14+[1]Production!AF16+[1]Production!AF18+[1]Production!AF20+[1]Production!AF22+[1]Production!AF24+[1]Production!AF26+[1]Production!AF40</f>
        <v>1424915.2665050002</v>
      </c>
      <c r="AH138" s="6">
        <f>[1]Production!AG8+[1]Production!AG10+[1]Production!AG12+[1]Production!AG14+[1]Production!AG16+[1]Production!AG18+[1]Production!AG20+[1]Production!AG22+[1]Production!AG24+[1]Production!AG26+[1]Production!AG40</f>
        <v>1443333.7406799998</v>
      </c>
      <c r="AI138" s="6">
        <f>[1]Production!AH8+[1]Production!AH10+[1]Production!AH12+[1]Production!AH14+[1]Production!AH16+[1]Production!AH18+[1]Production!AH20+[1]Production!AH22+[1]Production!AH24+[1]Production!AH26+[1]Production!AH40</f>
        <v>1462024.421257</v>
      </c>
      <c r="AJ138" s="6">
        <f>[1]Production!AI8+[1]Production!AI10+[1]Production!AI12+[1]Production!AI14+[1]Production!AI16+[1]Production!AI18+[1]Production!AI20+[1]Production!AI22+[1]Production!AI24+[1]Production!AI26+[1]Production!AI40</f>
        <v>1480987.6029209998</v>
      </c>
      <c r="AK138" s="6">
        <f>[1]Production!AJ8+[1]Production!AJ10+[1]Production!AJ12+[1]Production!AJ14+[1]Production!AJ16+[1]Production!AJ18+[1]Production!AJ20+[1]Production!AJ22+[1]Production!AJ24+[1]Production!AJ26+[1]Production!AJ40</f>
        <v>1500219.161905</v>
      </c>
      <c r="AL138" s="6">
        <f>[1]Production!AK8+[1]Production!AK10+[1]Production!AK12+[1]Production!AK14+[1]Production!AK16+[1]Production!AK18+[1]Production!AK20+[1]Production!AK22+[1]Production!AK24+[1]Production!AK26+[1]Production!AK40</f>
        <v>1519711.9971910003</v>
      </c>
      <c r="AM138" s="6">
        <f>[1]Production!AL8+[1]Production!AL10+[1]Production!AL12+[1]Production!AL14+[1]Production!AL16+[1]Production!AL18+[1]Production!AL20+[1]Production!AL22+[1]Production!AL24+[1]Production!AL26+[1]Production!AL40</f>
        <v>1539164.675234</v>
      </c>
      <c r="AN138" s="6">
        <f>[1]Production!AM8+[1]Production!AM10+[1]Production!AM12+[1]Production!AM14+[1]Production!AM16+[1]Production!AM18+[1]Production!AM20+[1]Production!AM22+[1]Production!AM24+[1]Production!AM26+[1]Production!AM40</f>
        <v>1558727.2521029997</v>
      </c>
      <c r="AO138" s="6">
        <f>[1]Production!AN8+[1]Production!AN10+[1]Production!AN12+[1]Production!AN14+[1]Production!AN16+[1]Production!AN18+[1]Production!AN20+[1]Production!AN22+[1]Production!AN24+[1]Production!AN26+[1]Production!AN40</f>
        <v>1578425.1728370001</v>
      </c>
      <c r="AP138" s="6">
        <f>[1]Production!AO8+[1]Production!AO10+[1]Production!AO12+[1]Production!AO14+[1]Production!AO16+[1]Production!AO18+[1]Production!AO20+[1]Production!AO22+[1]Production!AO24+[1]Production!AO26+[1]Production!AO40</f>
        <v>1598270.347507</v>
      </c>
      <c r="AQ138" s="6">
        <f>[1]Production!AP8+[1]Production!AP10+[1]Production!AP12+[1]Production!AP14+[1]Production!AP16+[1]Production!AP18+[1]Production!AP20+[1]Production!AP22+[1]Production!AP24+[1]Production!AP26+[1]Production!AP40</f>
        <v>1618270.6037660001</v>
      </c>
      <c r="AR138" s="6">
        <f>[1]Production!AQ8+[1]Production!AQ10+[1]Production!AQ12+[1]Production!AQ14+[1]Production!AQ16+[1]Production!AQ18+[1]Production!AQ20+[1]Production!AQ22+[1]Production!AQ24+[1]Production!AQ26+[1]Production!AQ40</f>
        <v>1638474.007955</v>
      </c>
      <c r="AS138" s="6">
        <f>[1]Production!AR8+[1]Production!AR10+[1]Production!AR12+[1]Production!AR14+[1]Production!AR16+[1]Production!AR18+[1]Production!AR20+[1]Production!AR22+[1]Production!AR24+[1]Production!AR26+[1]Production!AR40</f>
        <v>1658853.3448449997</v>
      </c>
      <c r="AT138" s="6">
        <f>[1]Production!AS8+[1]Production!AS10+[1]Production!AS12+[1]Production!AS14+[1]Production!AS16+[1]Production!AS18+[1]Production!AS20+[1]Production!AS22+[1]Production!AS24+[1]Production!AS26+[1]Production!AS40</f>
        <v>1679409.6243710001</v>
      </c>
      <c r="AU138" s="6">
        <f>[1]Production!AT8+[1]Production!AT10+[1]Production!AT12+[1]Production!AT14+[1]Production!AT16+[1]Production!AT18+[1]Production!AT20+[1]Production!AT22+[1]Production!AT24+[1]Production!AT26+[1]Production!AT40</f>
        <v>1700142.6829560001</v>
      </c>
      <c r="AV138" s="6">
        <f>[1]Production!AU8+[1]Production!AU10+[1]Production!AU12+[1]Production!AU14+[1]Production!AU16+[1]Production!AU18+[1]Production!AU20+[1]Production!AU22+[1]Production!AU24+[1]Production!AU26+[1]Production!AU40</f>
        <v>1721051.3404100002</v>
      </c>
      <c r="AW138" s="6">
        <f>[1]Production!AV8+[1]Production!AV10+[1]Production!AV12+[1]Production!AV14+[1]Production!AV16+[1]Production!AV18+[1]Production!AV20+[1]Production!AV22+[1]Production!AV24+[1]Production!AV26+[1]Production!AV40</f>
        <v>1742332.264308</v>
      </c>
      <c r="AX138" s="6">
        <f>[1]Production!AW8+[1]Production!AW10+[1]Production!AW12+[1]Production!AW14+[1]Production!AW16+[1]Production!AW18+[1]Production!AW20+[1]Production!AW22+[1]Production!AW24+[1]Production!AW26+[1]Production!AW40</f>
        <v>1763837.2704700001</v>
      </c>
      <c r="AY138" s="6">
        <f>[1]Production!AX8+[1]Production!AX10+[1]Production!AX12+[1]Production!AX14+[1]Production!AX16+[1]Production!AX18+[1]Production!AX20+[1]Production!AX22+[1]Production!AX24+[1]Production!AX26+[1]Production!AX40</f>
        <v>1785552.0439260001</v>
      </c>
      <c r="AZ138" s="6">
        <f>[1]Production!AY8+[1]Production!AY10+[1]Production!AY12+[1]Production!AY14+[1]Production!AY16+[1]Production!AY18+[1]Production!AY20+[1]Production!AY22+[1]Production!AY24+[1]Production!AY26+[1]Production!AY40</f>
        <v>1807466.279235</v>
      </c>
      <c r="BA138" s="6">
        <f>[1]Production!AZ8+[1]Production!AZ10+[1]Production!AZ12+[1]Production!AZ14+[1]Production!AZ16+[1]Production!AZ18+[1]Production!AZ20+[1]Production!AZ22+[1]Production!AZ24+[1]Production!AZ26+[1]Production!AZ40</f>
        <v>1829572.8342860001</v>
      </c>
      <c r="BB138" s="6">
        <f>[1]Production!BA8+[1]Production!BA10+[1]Production!BA12+[1]Production!BA14+[1]Production!BA16+[1]Production!BA18+[1]Production!BA20+[1]Production!BA22+[1]Production!BA24+[1]Production!BA26+[1]Production!BA40</f>
        <v>2284220.9772020001</v>
      </c>
      <c r="BC138" s="6">
        <f>[1]Production!BB8+[1]Production!BB10+[1]Production!BB12+[1]Production!BB14+[1]Production!BB16+[1]Production!BB18+[1]Production!BB20+[1]Production!BB22+[1]Production!BB24+[1]Production!BB26+[1]Production!BB40</f>
        <v>2324292.3855250003</v>
      </c>
      <c r="BD138" s="6">
        <f>[1]Production!BC8+[1]Production!BC10+[1]Production!BC12+[1]Production!BC14+[1]Production!BC16+[1]Production!BC18+[1]Production!BC20+[1]Production!BC22+[1]Production!BC24+[1]Production!BC26+[1]Production!BC40</f>
        <v>2364941.92075</v>
      </c>
      <c r="BE138" s="6">
        <f>[1]Production!BD8+[1]Production!BD10+[1]Production!BD12+[1]Production!BD14+[1]Production!BD16+[1]Production!BD18+[1]Production!BD20+[1]Production!BD22+[1]Production!BD24+[1]Production!BD26+[1]Production!BD40</f>
        <v>2406171.2773370002</v>
      </c>
      <c r="BF138" s="6">
        <f>[1]Production!BE8+[1]Production!BE10+[1]Production!BE12+[1]Production!BE14+[1]Production!BE16+[1]Production!BE18+[1]Production!BE20+[1]Production!BE22+[1]Production!BE24+[1]Production!BE26+[1]Production!BE40</f>
        <v>2447982.850503</v>
      </c>
    </row>
    <row r="139" spans="1:58" x14ac:dyDescent="0.35">
      <c r="B139" t="s">
        <v>9</v>
      </c>
      <c r="C139" s="6">
        <f>[1]Production!B28+[1]Production!B30+[1]Production!B32+[1]Production!B34</f>
        <v>118625.837023</v>
      </c>
      <c r="D139" s="6">
        <f>[1]Production!C28+[1]Production!C30+[1]Production!C32+[1]Production!C34</f>
        <v>119586.97411399998</v>
      </c>
      <c r="E139" s="6">
        <f>[1]Production!D28+[1]Production!D30+[1]Production!D32+[1]Production!D34</f>
        <v>120766.83307399999</v>
      </c>
      <c r="F139" s="6">
        <f>[1]Production!E28+[1]Production!E30+[1]Production!E32+[1]Production!E34</f>
        <v>122088.90958400001</v>
      </c>
      <c r="G139" s="6">
        <f>[1]Production!F28+[1]Production!F30+[1]Production!F32+[1]Production!F34</f>
        <v>123534.63677199998</v>
      </c>
      <c r="H139" s="6">
        <f>[1]Production!G28+[1]Production!G30+[1]Production!G32+[1]Production!G34</f>
        <v>125085.313217</v>
      </c>
      <c r="I139" s="6">
        <f>[1]Production!H28+[1]Production!H30+[1]Production!H32+[1]Production!H34</f>
        <v>126636.63817199999</v>
      </c>
      <c r="J139" s="6">
        <f>[1]Production!I28+[1]Production!I30+[1]Production!I32+[1]Production!I34</f>
        <v>128235.109408</v>
      </c>
      <c r="K139" s="6">
        <f>[1]Production!J28+[1]Production!J30+[1]Production!J32+[1]Production!J34</f>
        <v>129873.68169199998</v>
      </c>
      <c r="L139" s="6">
        <f>[1]Production!K28+[1]Production!K30+[1]Production!K32+[1]Production!K34</f>
        <v>131544.36394700001</v>
      </c>
      <c r="M139" s="6">
        <f>[1]Production!L28+[1]Production!L30+[1]Production!L32+[1]Production!L34</f>
        <v>133166.97081500001</v>
      </c>
      <c r="N139" s="6">
        <f>[1]Production!M28+[1]Production!M30+[1]Production!M32+[1]Production!M34</f>
        <v>135029.328576</v>
      </c>
      <c r="O139" s="6">
        <f>[1]Production!N28+[1]Production!N30+[1]Production!N32+[1]Production!N34</f>
        <v>136922.90530899999</v>
      </c>
      <c r="P139" s="6">
        <f>[1]Production!O28+[1]Production!O30+[1]Production!O32+[1]Production!O34</f>
        <v>138836.93925200001</v>
      </c>
      <c r="Q139" s="6">
        <f>[1]Production!P28+[1]Production!P30+[1]Production!P32+[1]Production!P34</f>
        <v>140766.29176400002</v>
      </c>
      <c r="R139" s="6">
        <f>[1]Production!Q28+[1]Production!Q30+[1]Production!Q32+[1]Production!Q34</f>
        <v>142708.06328500001</v>
      </c>
      <c r="S139" s="6">
        <f>[1]Production!R28+[1]Production!R30+[1]Production!R32+[1]Production!R34</f>
        <v>144649.99105700001</v>
      </c>
      <c r="T139" s="6">
        <f>[1]Production!S28+[1]Production!S30+[1]Production!S32+[1]Production!S34</f>
        <v>146600.28951199999</v>
      </c>
      <c r="U139" s="6">
        <f>[1]Production!T28+[1]Production!T30+[1]Production!T32+[1]Production!T34</f>
        <v>148559.542112</v>
      </c>
      <c r="V139" s="6">
        <f>[1]Production!U28+[1]Production!U30+[1]Production!U32+[1]Production!U34</f>
        <v>150528.73031300001</v>
      </c>
      <c r="W139" s="6">
        <f>[1]Production!V28+[1]Production!V30+[1]Production!V32+[1]Production!V34</f>
        <v>152405.33504199999</v>
      </c>
      <c r="X139" s="6">
        <f>[1]Production!W28+[1]Production!W30+[1]Production!W32+[1]Production!W34</f>
        <v>154371.07531599997</v>
      </c>
      <c r="Y139" s="6">
        <f>[1]Production!X28+[1]Production!X30+[1]Production!X32+[1]Production!X34</f>
        <v>156361.19516800001</v>
      </c>
      <c r="Z139" s="6">
        <f>[1]Production!Y28+[1]Production!Y30+[1]Production!Y32+[1]Production!Y34</f>
        <v>158374.25464600002</v>
      </c>
      <c r="AA139" s="6">
        <f>[1]Production!Z28+[1]Production!Z30+[1]Production!Z32+[1]Production!Z34</f>
        <v>160411.15657399999</v>
      </c>
      <c r="AB139" s="6">
        <f>[1]Production!AA28+[1]Production!AA30+[1]Production!AA32+[1]Production!AA34</f>
        <v>162175.44416700001</v>
      </c>
      <c r="AC139" s="6">
        <f>[1]Production!AB28+[1]Production!AB30+[1]Production!AB32+[1]Production!AB34</f>
        <v>164047.31328900001</v>
      </c>
      <c r="AD139" s="6">
        <f>[1]Production!AC28+[1]Production!AC30+[1]Production!AC32+[1]Production!AC34</f>
        <v>165934.38041499999</v>
      </c>
      <c r="AE139" s="6">
        <f>[1]Production!AD28+[1]Production!AD30+[1]Production!AD32+[1]Production!AD34</f>
        <v>167839.75060699999</v>
      </c>
      <c r="AF139" s="6">
        <f>[1]Production!AE28+[1]Production!AE30+[1]Production!AE32+[1]Production!AE34</f>
        <v>169768.385228</v>
      </c>
      <c r="AG139" s="6">
        <f>[1]Production!AF28+[1]Production!AF30+[1]Production!AF32+[1]Production!AF34</f>
        <v>171724.59206299999</v>
      </c>
      <c r="AH139" s="6">
        <f>[1]Production!AG28+[1]Production!AG30+[1]Production!AG32+[1]Production!AG34</f>
        <v>173714.71963100001</v>
      </c>
      <c r="AI139" s="6">
        <f>[1]Production!AH28+[1]Production!AH30+[1]Production!AH32+[1]Production!AH34</f>
        <v>175738.23604700001</v>
      </c>
      <c r="AJ139" s="6">
        <f>[1]Production!AI28+[1]Production!AI30+[1]Production!AI32+[1]Production!AI34</f>
        <v>177796.15297</v>
      </c>
      <c r="AK139" s="6">
        <f>[1]Production!AJ28+[1]Production!AJ30+[1]Production!AJ32+[1]Production!AJ34</f>
        <v>179888.85864999998</v>
      </c>
      <c r="AL139" s="6">
        <f>[1]Production!AK28+[1]Production!AK30+[1]Production!AK32+[1]Production!AK34</f>
        <v>182016.30583999999</v>
      </c>
      <c r="AM139" s="6">
        <f>[1]Production!AL28+[1]Production!AL30+[1]Production!AL32+[1]Production!AL34</f>
        <v>184137.33996000001</v>
      </c>
      <c r="AN139" s="6">
        <f>[1]Production!AM28+[1]Production!AM30+[1]Production!AM32+[1]Production!AM34</f>
        <v>186277.31959</v>
      </c>
      <c r="AO139" s="6">
        <f>[1]Production!AN28+[1]Production!AN30+[1]Production!AN32+[1]Production!AN34</f>
        <v>188440.48120000001</v>
      </c>
      <c r="AP139" s="6">
        <f>[1]Production!AO28+[1]Production!AO30+[1]Production!AO32+[1]Production!AO34</f>
        <v>190629.21869000001</v>
      </c>
      <c r="AQ139" s="6">
        <f>[1]Production!AP28+[1]Production!AP30+[1]Production!AP32+[1]Production!AP34</f>
        <v>192845.39396999998</v>
      </c>
      <c r="AR139" s="6">
        <f>[1]Production!AQ28+[1]Production!AQ30+[1]Production!AQ32+[1]Production!AQ34</f>
        <v>195095.67957000001</v>
      </c>
      <c r="AS139" s="6">
        <f>[1]Production!AR28+[1]Production!AR30+[1]Production!AR32+[1]Production!AR34</f>
        <v>197377.0582</v>
      </c>
      <c r="AT139" s="6">
        <f>[1]Production!AS28+[1]Production!AS30+[1]Production!AS32+[1]Production!AS34</f>
        <v>199690.05427999998</v>
      </c>
      <c r="AU139" s="6">
        <f>[1]Production!AT28+[1]Production!AT30+[1]Production!AT32+[1]Production!AT34</f>
        <v>202034.91580000002</v>
      </c>
      <c r="AV139" s="6">
        <f>[1]Production!AU28+[1]Production!AU30+[1]Production!AU32+[1]Production!AU34</f>
        <v>204411.64717999997</v>
      </c>
      <c r="AW139" s="6">
        <f>[1]Production!AV28+[1]Production!AV30+[1]Production!AV32+[1]Production!AV34</f>
        <v>206844.92498000001</v>
      </c>
      <c r="AX139" s="6">
        <f>[1]Production!AW28+[1]Production!AW30+[1]Production!AW32+[1]Production!AW34</f>
        <v>209314.94643999997</v>
      </c>
      <c r="AY139" s="6">
        <f>[1]Production!AX28+[1]Production!AX30+[1]Production!AX32+[1]Production!AX34</f>
        <v>211819.92053999996</v>
      </c>
      <c r="AZ139" s="6">
        <f>[1]Production!AY28+[1]Production!AY30+[1]Production!AY32+[1]Production!AY34</f>
        <v>214358.60949999999</v>
      </c>
      <c r="BA139" s="6">
        <f>[1]Production!AZ28+[1]Production!AZ30+[1]Production!AZ32+[1]Production!AZ34</f>
        <v>216930.10386999999</v>
      </c>
      <c r="BB139" s="6">
        <f>[1]Production!BA28+[1]Production!BA30+[1]Production!BA32+[1]Production!BA34</f>
        <v>260759.47897</v>
      </c>
      <c r="BC139" s="6">
        <f>[1]Production!BB28+[1]Production!BB30+[1]Production!BB32+[1]Production!BB34</f>
        <v>265033.33299999998</v>
      </c>
      <c r="BD139" s="6">
        <f>[1]Production!BC28+[1]Production!BC30+[1]Production!BC32+[1]Production!BC34</f>
        <v>269384.19571</v>
      </c>
      <c r="BE139" s="6">
        <f>[1]Production!BD28+[1]Production!BD30+[1]Production!BD32+[1]Production!BD34</f>
        <v>273813.54222999996</v>
      </c>
      <c r="BF139" s="6">
        <f>[1]Production!BE28+[1]Production!BE30+[1]Production!BE32+[1]Production!BE34</f>
        <v>278322.87751999998</v>
      </c>
    </row>
    <row r="140" spans="1:58" x14ac:dyDescent="0.35">
      <c r="B140" t="s">
        <v>10</v>
      </c>
      <c r="C140" s="6">
        <f>[1]Production!B36+[1]Production!B38</f>
        <v>2531147.7666000002</v>
      </c>
      <c r="D140" s="6">
        <f>[1]Production!C36+[1]Production!C38</f>
        <v>2551588.2675000001</v>
      </c>
      <c r="E140" s="6">
        <f>[1]Production!D36+[1]Production!D38</f>
        <v>2577943.0063</v>
      </c>
      <c r="F140" s="6">
        <f>[1]Production!E36+[1]Production!E38</f>
        <v>2608180.9638999999</v>
      </c>
      <c r="G140" s="6">
        <f>[1]Production!F36+[1]Production!F38</f>
        <v>2641611.0893999999</v>
      </c>
      <c r="H140" s="6">
        <f>[1]Production!G36+[1]Production!G38</f>
        <v>2677708.4644999998</v>
      </c>
      <c r="I140" s="6">
        <f>[1]Production!H36+[1]Production!H38</f>
        <v>2714265.7450000001</v>
      </c>
      <c r="J140" s="6">
        <f>[1]Production!I36+[1]Production!I38</f>
        <v>2752103.574</v>
      </c>
      <c r="K140" s="6">
        <f>[1]Production!J36+[1]Production!J38</f>
        <v>2791114.3311999999</v>
      </c>
      <c r="L140" s="6">
        <f>[1]Production!K36+[1]Production!K38</f>
        <v>2831165.6458000001</v>
      </c>
      <c r="M140" s="6">
        <f>[1]Production!L36+[1]Production!L38</f>
        <v>2872760.0896999999</v>
      </c>
      <c r="N140" s="6">
        <f>[1]Production!M36+[1]Production!M38</f>
        <v>2916336.5361000001</v>
      </c>
      <c r="O140" s="6">
        <f>[1]Production!N36+[1]Production!N38</f>
        <v>2961031.4505000003</v>
      </c>
      <c r="P140" s="6">
        <f>[1]Production!O36+[1]Production!O38</f>
        <v>3006594.6139000002</v>
      </c>
      <c r="Q140" s="6">
        <f>[1]Production!P36+[1]Production!P38</f>
        <v>3052896.1282000002</v>
      </c>
      <c r="R140" s="6">
        <f>[1]Production!Q36+[1]Production!Q38</f>
        <v>3099851.7749000001</v>
      </c>
      <c r="S140" s="6">
        <f>[1]Production!R36+[1]Production!R38</f>
        <v>3147286.0653999997</v>
      </c>
      <c r="T140" s="6">
        <f>[1]Production!S36+[1]Production!S38</f>
        <v>3195229.4896</v>
      </c>
      <c r="U140" s="6">
        <f>[1]Production!T36+[1]Production!T38</f>
        <v>3243666.077</v>
      </c>
      <c r="V140" s="6">
        <f>[1]Production!U36+[1]Production!U38</f>
        <v>3292587.0170999998</v>
      </c>
      <c r="W140" s="6">
        <f>[1]Production!V36+[1]Production!V38</f>
        <v>3339757.0152000003</v>
      </c>
      <c r="X140" s="6">
        <f>[1]Production!W36+[1]Production!W38</f>
        <v>3388885.3578000003</v>
      </c>
      <c r="Y140" s="6">
        <f>[1]Production!X36+[1]Production!X38</f>
        <v>3438742.0210000002</v>
      </c>
      <c r="Z140" s="6">
        <f>[1]Production!Y36+[1]Production!Y38</f>
        <v>3489268.3791</v>
      </c>
      <c r="AA140" s="6">
        <f>[1]Production!Z36+[1]Production!Z38</f>
        <v>3540456.2681</v>
      </c>
      <c r="AB140" s="6">
        <f>[1]Production!AA36+[1]Production!AA38</f>
        <v>3585869.3706</v>
      </c>
      <c r="AC140" s="6">
        <f>[1]Production!AB36+[1]Production!AB38</f>
        <v>3633178.3445000001</v>
      </c>
      <c r="AD140" s="6">
        <f>[1]Production!AC36+[1]Production!AC38</f>
        <v>3680744.7392000002</v>
      </c>
      <c r="AE140" s="6">
        <f>[1]Production!AD36+[1]Production!AD38</f>
        <v>3728648.4815000002</v>
      </c>
      <c r="AF140" s="6">
        <f>[1]Production!AE36+[1]Production!AE38</f>
        <v>3777005.7026</v>
      </c>
      <c r="AG140" s="6">
        <f>[1]Production!AF36+[1]Production!AF38</f>
        <v>3825917.5746999998</v>
      </c>
      <c r="AH140" s="6">
        <f>[1]Production!AG36+[1]Production!AG38</f>
        <v>3875495.2817000002</v>
      </c>
      <c r="AI140" s="6">
        <f>[1]Production!AH36+[1]Production!AH38</f>
        <v>3925769.1699000001</v>
      </c>
      <c r="AJ140" s="6">
        <f>[1]Production!AI36+[1]Production!AI38</f>
        <v>3976767.2583999997</v>
      </c>
      <c r="AK140" s="6">
        <f>[1]Production!AJ36+[1]Production!AJ38</f>
        <v>4028504.4249</v>
      </c>
      <c r="AL140" s="6">
        <f>[1]Production!AK36+[1]Production!AK38</f>
        <v>4080986.7954000002</v>
      </c>
      <c r="AM140" s="6">
        <f>[1]Production!AL36+[1]Production!AL38</f>
        <v>4133002.8054</v>
      </c>
      <c r="AN140" s="6">
        <f>[1]Production!AM36+[1]Production!AM38</f>
        <v>4185344.9177999999</v>
      </c>
      <c r="AO140" s="6">
        <f>[1]Production!AN36+[1]Production!AN38</f>
        <v>4238123.2404999994</v>
      </c>
      <c r="AP140" s="6">
        <f>[1]Production!AO36+[1]Production!AO38</f>
        <v>4291409.4084999999</v>
      </c>
      <c r="AQ140" s="6">
        <f>[1]Production!AP36+[1]Production!AP38</f>
        <v>4345263.7171999998</v>
      </c>
      <c r="AR140" s="6">
        <f>[1]Production!AQ36+[1]Production!AQ38</f>
        <v>4399795.9112999998</v>
      </c>
      <c r="AS140" s="6">
        <f>[1]Production!AR36+[1]Production!AR38</f>
        <v>4455014.3753999993</v>
      </c>
      <c r="AT140" s="6">
        <f>[1]Production!AS36+[1]Production!AS38</f>
        <v>4510944.659</v>
      </c>
      <c r="AU140" s="6">
        <f>[1]Production!AT36+[1]Production!AT38</f>
        <v>4567604.1540000001</v>
      </c>
      <c r="AV140" s="6">
        <f>[1]Production!AU36+[1]Production!AU38</f>
        <v>4625003.1679999996</v>
      </c>
      <c r="AW140" s="6">
        <f>[1]Production!AV36+[1]Production!AV38</f>
        <v>4683492.8169999998</v>
      </c>
      <c r="AX140" s="6">
        <f>[1]Production!AW36+[1]Production!AW38</f>
        <v>4742861.0470000003</v>
      </c>
      <c r="AY140" s="6">
        <f>[1]Production!AX36+[1]Production!AX38</f>
        <v>4803070.3269999996</v>
      </c>
      <c r="AZ140" s="6">
        <f>[1]Production!AY36+[1]Production!AY38</f>
        <v>4864094.9790000003</v>
      </c>
      <c r="BA140" s="6">
        <f>[1]Production!AZ36+[1]Production!AZ38</f>
        <v>4925917.0779999997</v>
      </c>
      <c r="BB140" s="6">
        <f>[1]Production!BA36+[1]Production!BA38</f>
        <v>5776445.5920000002</v>
      </c>
      <c r="BC140" s="6">
        <f>[1]Production!BB36+[1]Production!BB38</f>
        <v>5873018.5240000002</v>
      </c>
      <c r="BD140" s="6">
        <f>[1]Production!BC36+[1]Production!BC38</f>
        <v>5971154.8660000004</v>
      </c>
      <c r="BE140" s="6">
        <f>[1]Production!BD36+[1]Production!BD38</f>
        <v>6070882.9589999998</v>
      </c>
      <c r="BF140" s="6">
        <f>[1]Production!BE36+[1]Production!BE38</f>
        <v>6172232.9479999999</v>
      </c>
    </row>
    <row r="141" spans="1:58" x14ac:dyDescent="0.35">
      <c r="B141" t="s">
        <v>29</v>
      </c>
      <c r="C141" s="6">
        <f>[1]Production!B42+[1]Production!B46</f>
        <v>35166.580986399997</v>
      </c>
      <c r="D141" s="6">
        <f>[1]Production!C42+[1]Production!C46</f>
        <v>35285.102588399997</v>
      </c>
      <c r="E141" s="6">
        <f>[1]Production!D42+[1]Production!D46</f>
        <v>35419.076987800006</v>
      </c>
      <c r="F141" s="6">
        <f>[1]Production!E42+[1]Production!E46</f>
        <v>35589.217030700005</v>
      </c>
      <c r="G141" s="6">
        <f>[1]Production!F42+[1]Production!F46</f>
        <v>35807.927626999997</v>
      </c>
      <c r="H141" s="6">
        <f>[1]Production!G42+[1]Production!G46</f>
        <v>36073.9118476</v>
      </c>
      <c r="I141" s="6">
        <f>[1]Production!H42+[1]Production!H46</f>
        <v>36359.474653799996</v>
      </c>
      <c r="J141" s="6">
        <f>[1]Production!I42+[1]Production!I46</f>
        <v>36671.661887800001</v>
      </c>
      <c r="K141" s="6">
        <f>[1]Production!J42+[1]Production!J46</f>
        <v>37005.051681000004</v>
      </c>
      <c r="L141" s="6">
        <f>[1]Production!K42+[1]Production!K46</f>
        <v>37353.941556400001</v>
      </c>
      <c r="M141" s="6">
        <f>[1]Production!L42+[1]Production!L46</f>
        <v>37686.698844099999</v>
      </c>
      <c r="N141" s="6">
        <f>[1]Production!M42+[1]Production!M46</f>
        <v>38094.899266100001</v>
      </c>
      <c r="O141" s="6">
        <f>[1]Production!N42+[1]Production!N46</f>
        <v>38517.700226400004</v>
      </c>
      <c r="P141" s="6">
        <f>[1]Production!O42+[1]Production!O46</f>
        <v>38949.912117700005</v>
      </c>
      <c r="Q141" s="6">
        <f>[1]Production!P42+[1]Production!P46</f>
        <v>39389.767686699997</v>
      </c>
      <c r="R141" s="6">
        <f>[1]Production!Q42+[1]Production!Q46</f>
        <v>39836.184714900002</v>
      </c>
      <c r="S141" s="6">
        <f>[1]Production!R42+[1]Production!R46</f>
        <v>40285.677549099993</v>
      </c>
      <c r="T141" s="6">
        <f>[1]Production!S42+[1]Production!S46</f>
        <v>40739.745991099997</v>
      </c>
      <c r="U141" s="6">
        <f>[1]Production!T42+[1]Production!T46</f>
        <v>41198.027570699996</v>
      </c>
      <c r="V141" s="6">
        <f>[1]Production!U42+[1]Production!U46</f>
        <v>41660.199405499996</v>
      </c>
      <c r="W141" s="6">
        <f>[1]Production!V42+[1]Production!V46</f>
        <v>42101.477109699998</v>
      </c>
      <c r="X141" s="6">
        <f>[1]Production!W42+[1]Production!W46</f>
        <v>42564.116336400002</v>
      </c>
      <c r="Y141" s="6">
        <f>[1]Production!X42+[1]Production!X46</f>
        <v>43032.834559200004</v>
      </c>
      <c r="Z141" s="6">
        <f>[1]Production!Y42+[1]Production!Y46</f>
        <v>43506.490160900001</v>
      </c>
      <c r="AA141" s="6">
        <f>[1]Production!Z42+[1]Production!Z46</f>
        <v>43984.9948917</v>
      </c>
      <c r="AB141" s="6">
        <f>[1]Production!AA42+[1]Production!AA46</f>
        <v>44398.248531199999</v>
      </c>
      <c r="AC141" s="6">
        <f>[1]Production!AB42+[1]Production!AB46</f>
        <v>44835.220623900001</v>
      </c>
      <c r="AD141" s="6">
        <f>[1]Production!AC42+[1]Production!AC46</f>
        <v>45274.8247137</v>
      </c>
      <c r="AE141" s="6">
        <f>[1]Production!AD42+[1]Production!AD46</f>
        <v>45716.731871299999</v>
      </c>
      <c r="AF141" s="6">
        <f>[1]Production!AE42+[1]Production!AE46</f>
        <v>46161.790385499997</v>
      </c>
      <c r="AG141" s="6">
        <f>[1]Production!AF42+[1]Production!AF46</f>
        <v>46610.927548500003</v>
      </c>
      <c r="AH141" s="6">
        <f>[1]Production!AG42+[1]Production!AG46</f>
        <v>47065.698165599999</v>
      </c>
      <c r="AI141" s="6">
        <f>[1]Production!AH42+[1]Production!AH46</f>
        <v>47526.082764799998</v>
      </c>
      <c r="AJ141" s="6">
        <f>[1]Production!AI42+[1]Production!AI46</f>
        <v>47992.489797199996</v>
      </c>
      <c r="AK141" s="6">
        <f>[1]Production!AJ42+[1]Production!AJ46</f>
        <v>48465.217437799998</v>
      </c>
      <c r="AL141" s="6">
        <f>[1]Production!AK42+[1]Production!AK46</f>
        <v>48944.480241599995</v>
      </c>
      <c r="AM141" s="6">
        <f>[1]Production!AL42+[1]Production!AL46</f>
        <v>49421.047184399999</v>
      </c>
      <c r="AN141" s="6">
        <f>[1]Production!AM42+[1]Production!AM46</f>
        <v>49900.727131599997</v>
      </c>
      <c r="AO141" s="6">
        <f>[1]Production!AN42+[1]Production!AN46</f>
        <v>50384.783896699999</v>
      </c>
      <c r="AP141" s="6">
        <f>[1]Production!AO42+[1]Production!AO46</f>
        <v>50873.900286399999</v>
      </c>
      <c r="AQ141" s="6">
        <f>[1]Production!AP42+[1]Production!AP46</f>
        <v>51368.583122999997</v>
      </c>
      <c r="AR141" s="6">
        <f>[1]Production!AQ42+[1]Production!AQ46</f>
        <v>51870.463573599998</v>
      </c>
      <c r="AS141" s="6">
        <f>[1]Production!AR42+[1]Production!AR46</f>
        <v>52378.8592211</v>
      </c>
      <c r="AT141" s="6">
        <f>[1]Production!AS42+[1]Production!AS46</f>
        <v>52893.971907200001</v>
      </c>
      <c r="AU141" s="6">
        <f>[1]Production!AT42+[1]Production!AT46</f>
        <v>53415.986828700006</v>
      </c>
      <c r="AV141" s="6">
        <f>[1]Production!AU42+[1]Production!AU46</f>
        <v>53945.042866000003</v>
      </c>
      <c r="AW141" s="6">
        <f>[1]Production!AV42+[1]Production!AV46</f>
        <v>54487.066540100001</v>
      </c>
      <c r="AX141" s="6">
        <f>[1]Production!AW42+[1]Production!AW46</f>
        <v>55037.469660299997</v>
      </c>
      <c r="AY141" s="6">
        <f>[1]Production!AX42+[1]Production!AX46</f>
        <v>55595.969231299998</v>
      </c>
      <c r="AZ141" s="6">
        <f>[1]Production!AY42+[1]Production!AY46</f>
        <v>56162.5181878</v>
      </c>
      <c r="BA141" s="6">
        <f>[1]Production!AZ42+[1]Production!AZ46</f>
        <v>56737.113672200001</v>
      </c>
      <c r="BB141" s="6">
        <f>[1]Production!BA42+[1]Production!BA46</f>
        <v>68692.123913799995</v>
      </c>
      <c r="BC141" s="6">
        <f>[1]Production!BB42+[1]Production!BB46</f>
        <v>69691.991126299996</v>
      </c>
      <c r="BD141" s="6">
        <f>[1]Production!BC42+[1]Production!BC46</f>
        <v>70708.185975899993</v>
      </c>
      <c r="BE141" s="6">
        <f>[1]Production!BD42+[1]Production!BD46</f>
        <v>71741.107410299999</v>
      </c>
      <c r="BF141" s="6">
        <f>[1]Production!BE42+[1]Production!BE46</f>
        <v>72791.177043200005</v>
      </c>
    </row>
    <row r="142" spans="1:58" x14ac:dyDescent="0.35">
      <c r="B142" t="s">
        <v>36</v>
      </c>
      <c r="C142" s="6">
        <f>+[1]Production!B44+[1]Production!B48</f>
        <v>4413.6010139</v>
      </c>
      <c r="D142" s="6">
        <f>+[1]Production!C44+[1]Production!C48</f>
        <v>4423.4817526999996</v>
      </c>
      <c r="E142" s="6">
        <f>+[1]Production!D44+[1]Production!D48</f>
        <v>4433.1985002000001</v>
      </c>
      <c r="F142" s="6">
        <f>+[1]Production!E44+[1]Production!E48</f>
        <v>4448.3375381999995</v>
      </c>
      <c r="G142" s="6">
        <f>+[1]Production!F44+[1]Production!F48</f>
        <v>4470.8879233999996</v>
      </c>
      <c r="H142" s="6">
        <f>+[1]Production!G44+[1]Production!G48</f>
        <v>4500.5013279000004</v>
      </c>
      <c r="I142" s="6">
        <f>+[1]Production!H44+[1]Production!H48</f>
        <v>4533.6975468000001</v>
      </c>
      <c r="J142" s="6">
        <f>+[1]Production!I44+[1]Production!I48</f>
        <v>4570.9391987999998</v>
      </c>
      <c r="K142" s="6">
        <f>+[1]Production!J44+[1]Production!J48</f>
        <v>4611.3580132999996</v>
      </c>
      <c r="L142" s="6">
        <f>+[1]Production!K44+[1]Production!K48</f>
        <v>4654.1803328999995</v>
      </c>
      <c r="M142" s="6">
        <f>+[1]Production!L44+[1]Production!L48</f>
        <v>4695.6184997999999</v>
      </c>
      <c r="N142" s="6">
        <f>+[1]Production!M44+[1]Production!M48</f>
        <v>4746.0834742000006</v>
      </c>
      <c r="O142" s="6">
        <f>+[1]Production!N44+[1]Production!N48</f>
        <v>4798.4457272999998</v>
      </c>
      <c r="P142" s="6">
        <f>+[1]Production!O44+[1]Production!O48</f>
        <v>4852.1595592000003</v>
      </c>
      <c r="Q142" s="6">
        <f>+[1]Production!P44+[1]Production!P48</f>
        <v>4906.9969058000006</v>
      </c>
      <c r="R142" s="6">
        <f>+[1]Production!Q44+[1]Production!Q48</f>
        <v>4962.7923125999996</v>
      </c>
      <c r="S142" s="6">
        <f>+[1]Production!R44+[1]Production!R48</f>
        <v>5019.1323210999999</v>
      </c>
      <c r="T142" s="6">
        <f>+[1]Production!S44+[1]Production!S48</f>
        <v>5076.1259237000004</v>
      </c>
      <c r="U142" s="6">
        <f>+[1]Production!T44+[1]Production!T48</f>
        <v>5133.6847735000001</v>
      </c>
      <c r="V142" s="6">
        <f>+[1]Production!U44+[1]Production!U48</f>
        <v>5191.7364622000005</v>
      </c>
      <c r="W142" s="6">
        <f>+[1]Production!V44+[1]Production!V48</f>
        <v>5247.4368684000001</v>
      </c>
      <c r="X142" s="6">
        <f>+[1]Production!W44+[1]Production!W48</f>
        <v>5305.5206649000002</v>
      </c>
      <c r="Y142" s="6">
        <f>+[1]Production!X44+[1]Production!X48</f>
        <v>5364.2256441</v>
      </c>
      <c r="Z142" s="6">
        <f>+[1]Production!Y44+[1]Production!Y48</f>
        <v>5423.4445667</v>
      </c>
      <c r="AA142" s="6">
        <f>+[1]Production!Z44+[1]Production!Z48</f>
        <v>5483.1646061000001</v>
      </c>
      <c r="AB142" s="6">
        <f>+[1]Production!AA44+[1]Production!AA48</f>
        <v>5535.4107222000002</v>
      </c>
      <c r="AC142" s="6">
        <f>+[1]Production!AB44+[1]Production!AB48</f>
        <v>5590.1730260000004</v>
      </c>
      <c r="AD142" s="6">
        <f>+[1]Production!AC44+[1]Production!AC48</f>
        <v>5644.9952536999999</v>
      </c>
      <c r="AE142" s="6">
        <f>+[1]Production!AD44+[1]Production!AD48</f>
        <v>5699.8986654999999</v>
      </c>
      <c r="AF142" s="6">
        <f>+[1]Production!AE44+[1]Production!AE48</f>
        <v>5755.0083903999994</v>
      </c>
      <c r="AG142" s="6">
        <f>+[1]Production!AF44+[1]Production!AF48</f>
        <v>5810.4524068999999</v>
      </c>
      <c r="AH142" s="6">
        <f>+[1]Production!AG44+[1]Production!AG48</f>
        <v>5866.4205968000006</v>
      </c>
      <c r="AI142" s="6">
        <f>+[1]Production!AH44+[1]Production!AH48</f>
        <v>5922.9342188999999</v>
      </c>
      <c r="AJ142" s="6">
        <f>+[1]Production!AI44+[1]Production!AI48</f>
        <v>5980.0593964999998</v>
      </c>
      <c r="AK142" s="6">
        <f>+[1]Production!AJ44+[1]Production!AJ48</f>
        <v>6037.8473960000001</v>
      </c>
      <c r="AL142" s="6">
        <f>+[1]Production!AK44+[1]Production!AK48</f>
        <v>6096.3374447999995</v>
      </c>
      <c r="AM142" s="6">
        <f>+[1]Production!AL44+[1]Production!AL48</f>
        <v>6154.4281276000002</v>
      </c>
      <c r="AN142" s="6">
        <f>+[1]Production!AM44+[1]Production!AM48</f>
        <v>6212.8182441000008</v>
      </c>
      <c r="AO142" s="6">
        <f>+[1]Production!AN44+[1]Production!AN48</f>
        <v>6271.6591193000004</v>
      </c>
      <c r="AP142" s="6">
        <f>+[1]Production!AO44+[1]Production!AO48</f>
        <v>6331.0420671000002</v>
      </c>
      <c r="AQ142" s="6">
        <f>+[1]Production!AP44+[1]Production!AP48</f>
        <v>6391.0410198</v>
      </c>
      <c r="AR142" s="6">
        <f>+[1]Production!AQ44+[1]Production!AQ48</f>
        <v>6451.8478025000004</v>
      </c>
      <c r="AS142" s="6">
        <f>+[1]Production!AR44+[1]Production!AR48</f>
        <v>6513.4087388999997</v>
      </c>
      <c r="AT142" s="6">
        <f>+[1]Production!AS44+[1]Production!AS48</f>
        <v>6575.7657006999998</v>
      </c>
      <c r="AU142" s="6">
        <f>+[1]Production!AT44+[1]Production!AT48</f>
        <v>6638.9541186999995</v>
      </c>
      <c r="AV142" s="6">
        <f>+[1]Production!AU44+[1]Production!AU48</f>
        <v>6703.0021041</v>
      </c>
      <c r="AW142" s="6">
        <f>+[1]Production!AV44+[1]Production!AV48</f>
        <v>6768.5576283999999</v>
      </c>
      <c r="AX142" s="6">
        <f>+[1]Production!AW44+[1]Production!AW48</f>
        <v>6835.1365728999999</v>
      </c>
      <c r="AY142" s="6">
        <f>+[1]Production!AX44+[1]Production!AX48</f>
        <v>6902.7313833000007</v>
      </c>
      <c r="AZ142" s="6">
        <f>+[1]Production!AY44+[1]Production!AY48</f>
        <v>6971.3477294999993</v>
      </c>
      <c r="BA142" s="6">
        <f>+[1]Production!AZ44+[1]Production!AZ48</f>
        <v>7040.9931049999996</v>
      </c>
      <c r="BB142" s="6">
        <f>+[1]Production!BA44+[1]Production!BA48</f>
        <v>8422.0498750000006</v>
      </c>
      <c r="BC142" s="6">
        <f>+[1]Production!BB44+[1]Production!BB48</f>
        <v>8540.0032289999999</v>
      </c>
      <c r="BD142" s="6">
        <f>+[1]Production!BC44+[1]Production!BC48</f>
        <v>8659.8261920000004</v>
      </c>
      <c r="BE142" s="6">
        <f>+[1]Production!BD44+[1]Production!BD48</f>
        <v>8781.5734149999989</v>
      </c>
      <c r="BF142" s="6">
        <f>+[1]Production!BE44+[1]Production!BE48</f>
        <v>8905.3025539999999</v>
      </c>
    </row>
    <row r="143" spans="1:58" x14ac:dyDescent="0.35">
      <c r="B143" t="s">
        <v>33</v>
      </c>
      <c r="C143" s="6">
        <f>[1]Production!B50+[1]Production!B52+[1]Production!B54+[1]Production!B56+[1]Production!B58+[1]Production!B60+[1]Production!B62+[1]Production!B64+[1]Production!B66</f>
        <v>66725.273003999988</v>
      </c>
      <c r="D143" s="6">
        <f>[1]Production!C50+[1]Production!C52+[1]Production!C54+[1]Production!C56+[1]Production!C58+[1]Production!C60+[1]Production!C62+[1]Production!C64+[1]Production!C66</f>
        <v>66904.414251500013</v>
      </c>
      <c r="E143" s="6">
        <f>[1]Production!D50+[1]Production!D52+[1]Production!D54+[1]Production!D56+[1]Production!D58+[1]Production!D60+[1]Production!D62+[1]Production!D64+[1]Production!D66</f>
        <v>67095.159228400007</v>
      </c>
      <c r="F143" s="6">
        <f>[1]Production!E50+[1]Production!E52+[1]Production!E54+[1]Production!E56+[1]Production!E58+[1]Production!E60+[1]Production!E62+[1]Production!E64+[1]Production!E66</f>
        <v>67330.052488999994</v>
      </c>
      <c r="G143" s="6">
        <f>[1]Production!F50+[1]Production!F52+[1]Production!F54+[1]Production!F56+[1]Production!F58+[1]Production!F60+[1]Production!F62+[1]Production!F64+[1]Production!F66</f>
        <v>67642.792066299997</v>
      </c>
      <c r="H143" s="6">
        <f>[1]Production!G50+[1]Production!G52+[1]Production!G54+[1]Production!G56+[1]Production!G58+[1]Production!G60+[1]Production!G62+[1]Production!G64+[1]Production!G66</f>
        <v>68038.279149500013</v>
      </c>
      <c r="I143" s="6">
        <f>[1]Production!H50+[1]Production!H52+[1]Production!H54+[1]Production!H56+[1]Production!H58+[1]Production!H60+[1]Production!H62+[1]Production!H64+[1]Production!H66</f>
        <v>68468.945144199984</v>
      </c>
      <c r="J143" s="6">
        <f>[1]Production!I50+[1]Production!I52+[1]Production!I54+[1]Production!I56+[1]Production!I58+[1]Production!I60+[1]Production!I62+[1]Production!I64+[1]Production!I66</f>
        <v>68937.784869700015</v>
      </c>
      <c r="K143" s="6">
        <f>[1]Production!J50+[1]Production!J52+[1]Production!J54+[1]Production!J56+[1]Production!J58+[1]Production!J60+[1]Production!J62+[1]Production!J64+[1]Production!J66</f>
        <v>69432.6147413</v>
      </c>
      <c r="L143" s="6">
        <f>[1]Production!K50+[1]Production!K52+[1]Production!K54+[1]Production!K56+[1]Production!K58+[1]Production!K60+[1]Production!K62+[1]Production!K64+[1]Production!K66</f>
        <v>69938.830955999991</v>
      </c>
      <c r="M143" s="6">
        <f>[1]Production!L50+[1]Production!L52+[1]Production!L54+[1]Production!L56+[1]Production!L58+[1]Production!L60+[1]Production!L62+[1]Production!L64+[1]Production!L66</f>
        <v>70435.984765800007</v>
      </c>
      <c r="N143" s="6">
        <f>[1]Production!M50+[1]Production!M52+[1]Production!M54+[1]Production!M56+[1]Production!M58+[1]Production!M60+[1]Production!M62+[1]Production!M64+[1]Production!M66</f>
        <v>70979.603647399999</v>
      </c>
      <c r="O143" s="6">
        <f>[1]Production!N50+[1]Production!N52+[1]Production!N54+[1]Production!N56+[1]Production!N58+[1]Production!N60+[1]Production!N62+[1]Production!N64+[1]Production!N66</f>
        <v>71526.196313499997</v>
      </c>
      <c r="P143" s="6">
        <f>[1]Production!O50+[1]Production!O52+[1]Production!O54+[1]Production!O56+[1]Production!O58+[1]Production!O60+[1]Production!O62+[1]Production!O64+[1]Production!O66</f>
        <v>72072.523868600008</v>
      </c>
      <c r="Q143" s="6">
        <f>[1]Production!P50+[1]Production!P52+[1]Production!P54+[1]Production!P56+[1]Production!P58+[1]Production!P60+[1]Production!P62+[1]Production!P64+[1]Production!P66</f>
        <v>72618.667041499997</v>
      </c>
      <c r="R143" s="6">
        <f>[1]Production!Q50+[1]Production!Q52+[1]Production!Q54+[1]Production!Q56+[1]Production!Q58+[1]Production!Q60+[1]Production!Q62+[1]Production!Q64+[1]Production!Q66</f>
        <v>73164.695819100001</v>
      </c>
      <c r="S143" s="6">
        <f>[1]Production!R50+[1]Production!R52+[1]Production!R54+[1]Production!R56+[1]Production!R58+[1]Production!R60+[1]Production!R62+[1]Production!R64+[1]Production!R66</f>
        <v>73707.867639799981</v>
      </c>
      <c r="T143" s="6">
        <f>[1]Production!S50+[1]Production!S52+[1]Production!S54+[1]Production!S56+[1]Production!S58+[1]Production!S60+[1]Production!S62+[1]Production!S64+[1]Production!S66</f>
        <v>74248.612993400006</v>
      </c>
      <c r="U143" s="6">
        <f>[1]Production!T50+[1]Production!T52+[1]Production!T54+[1]Production!T56+[1]Production!T58+[1]Production!T60+[1]Production!T62+[1]Production!T64+[1]Production!T66</f>
        <v>74787.810618299991</v>
      </c>
      <c r="V143" s="6">
        <f>[1]Production!U50+[1]Production!U52+[1]Production!U54+[1]Production!U56+[1]Production!U58+[1]Production!U60+[1]Production!U62+[1]Production!U64+[1]Production!U66</f>
        <v>75326.50178380002</v>
      </c>
      <c r="W143" s="6">
        <f>[1]Production!V50+[1]Production!V52+[1]Production!V54+[1]Production!V56+[1]Production!V58+[1]Production!V60+[1]Production!V62+[1]Production!V64+[1]Production!V66</f>
        <v>75823.138836500002</v>
      </c>
      <c r="X143" s="6">
        <f>[1]Production!W50+[1]Production!W52+[1]Production!W54+[1]Production!W56+[1]Production!W58+[1]Production!W60+[1]Production!W62+[1]Production!W64+[1]Production!W66</f>
        <v>76347.482641300012</v>
      </c>
      <c r="Y143" s="6">
        <f>[1]Production!X50+[1]Production!X52+[1]Production!X54+[1]Production!X56+[1]Production!X58+[1]Production!X60+[1]Production!X62+[1]Production!X64+[1]Production!X66</f>
        <v>76882.900007799995</v>
      </c>
      <c r="Z143" s="6">
        <f>[1]Production!Y50+[1]Production!Y52+[1]Production!Y54+[1]Production!Y56+[1]Production!Y58+[1]Production!Y60+[1]Production!Y62+[1]Production!Y64+[1]Production!Y66</f>
        <v>77426.743260100004</v>
      </c>
      <c r="AA143" s="6">
        <f>[1]Production!Z50+[1]Production!Z52+[1]Production!Z54+[1]Production!Z56+[1]Production!Z58+[1]Production!Z60+[1]Production!Z62+[1]Production!Z64+[1]Production!Z66</f>
        <v>77979.018264200015</v>
      </c>
      <c r="AB143" s="6">
        <f>[1]Production!AA50+[1]Production!AA52+[1]Production!AA54+[1]Production!AA56+[1]Production!AA58+[1]Production!AA60+[1]Production!AA62+[1]Production!AA64+[1]Production!AA66</f>
        <v>78419.914340999996</v>
      </c>
      <c r="AC143" s="6">
        <f>[1]Production!AB50+[1]Production!AB52+[1]Production!AB54+[1]Production!AB56+[1]Production!AB58+[1]Production!AB60+[1]Production!AB62+[1]Production!AB64+[1]Production!AB66</f>
        <v>78887.572271699988</v>
      </c>
      <c r="AD143" s="6">
        <f>[1]Production!AC50+[1]Production!AC52+[1]Production!AC54+[1]Production!AC56+[1]Production!AC58+[1]Production!AC60+[1]Production!AC62+[1]Production!AC64+[1]Production!AC66</f>
        <v>79365.797602599981</v>
      </c>
      <c r="AE143" s="6">
        <f>[1]Production!AD50+[1]Production!AD52+[1]Production!AD54+[1]Production!AD56+[1]Production!AD58+[1]Production!AD60+[1]Production!AD62+[1]Production!AD64+[1]Production!AD66</f>
        <v>79853.88057020001</v>
      </c>
      <c r="AF143" s="6">
        <f>[1]Production!AE50+[1]Production!AE52+[1]Production!AE54+[1]Production!AE56+[1]Production!AE58+[1]Production!AE60+[1]Production!AE62+[1]Production!AE64+[1]Production!AE66</f>
        <v>80353.195382799997</v>
      </c>
      <c r="AG143" s="6">
        <f>[1]Production!AF50+[1]Production!AF52+[1]Production!AF54+[1]Production!AF56+[1]Production!AF58+[1]Production!AF60+[1]Production!AF62+[1]Production!AF64+[1]Production!AF66</f>
        <v>80865.317456799996</v>
      </c>
      <c r="AH143" s="6">
        <f>[1]Production!AG50+[1]Production!AG52+[1]Production!AG54+[1]Production!AG56+[1]Production!AG58+[1]Production!AG60+[1]Production!AG62+[1]Production!AG64+[1]Production!AG66</f>
        <v>81392.175258100004</v>
      </c>
      <c r="AI143" s="6">
        <f>[1]Production!AH50+[1]Production!AH52+[1]Production!AH54+[1]Production!AH56+[1]Production!AH58+[1]Production!AH60+[1]Production!AH62+[1]Production!AH64+[1]Production!AH66</f>
        <v>81934.652717299992</v>
      </c>
      <c r="AJ143" s="6">
        <f>[1]Production!AI50+[1]Production!AI52+[1]Production!AI54+[1]Production!AI56+[1]Production!AI58+[1]Production!AI60+[1]Production!AI62+[1]Production!AI64+[1]Production!AI66</f>
        <v>82493.15362160001</v>
      </c>
      <c r="AK143" s="6">
        <f>[1]Production!AJ50+[1]Production!AJ52+[1]Production!AJ54+[1]Production!AJ56+[1]Production!AJ58+[1]Production!AJ60+[1]Production!AJ62+[1]Production!AJ64+[1]Production!AJ66</f>
        <v>83067.762363000002</v>
      </c>
      <c r="AL143" s="6">
        <f>[1]Production!AK50+[1]Production!AK52+[1]Production!AK54+[1]Production!AK56+[1]Production!AK58+[1]Production!AK60+[1]Production!AK62+[1]Production!AK64+[1]Production!AK66</f>
        <v>83658.331699799979</v>
      </c>
      <c r="AM143" s="6">
        <f>[1]Production!AL50+[1]Production!AL52+[1]Production!AL54+[1]Production!AL56+[1]Production!AL58+[1]Production!AL60+[1]Production!AL62+[1]Production!AL64+[1]Production!AL66</f>
        <v>84242.34110640001</v>
      </c>
      <c r="AN143" s="6">
        <f>[1]Production!AM50+[1]Production!AM52+[1]Production!AM54+[1]Production!AM56+[1]Production!AM58+[1]Production!AM60+[1]Production!AM62+[1]Production!AM64+[1]Production!AM66</f>
        <v>84835.580933399993</v>
      </c>
      <c r="AO143" s="6">
        <f>[1]Production!AN50+[1]Production!AN52+[1]Production!AN54+[1]Production!AN56+[1]Production!AN58+[1]Production!AN60+[1]Production!AN62+[1]Production!AN64+[1]Production!AN66</f>
        <v>85441.166753200014</v>
      </c>
      <c r="AP143" s="6">
        <f>[1]Production!AO50+[1]Production!AO52+[1]Production!AO54+[1]Production!AO56+[1]Production!AO58+[1]Production!AO60+[1]Production!AO62+[1]Production!AO64+[1]Production!AO66</f>
        <v>86059.612310899989</v>
      </c>
      <c r="AQ143" s="6">
        <f>[1]Production!AP50+[1]Production!AP52+[1]Production!AP54+[1]Production!AP56+[1]Production!AP58+[1]Production!AP60+[1]Production!AP62+[1]Production!AP64+[1]Production!AP66</f>
        <v>86690.79450400002</v>
      </c>
      <c r="AR143" s="6">
        <f>[1]Production!AQ50+[1]Production!AQ52+[1]Production!AQ54+[1]Production!AQ56+[1]Production!AQ58+[1]Production!AQ60+[1]Production!AQ62+[1]Production!AQ64+[1]Production!AQ66</f>
        <v>87335.337041400009</v>
      </c>
      <c r="AS143" s="6">
        <f>[1]Production!AR50+[1]Production!AR52+[1]Production!AR54+[1]Production!AR56+[1]Production!AR58+[1]Production!AR60+[1]Production!AR62+[1]Production!AR64+[1]Production!AR66</f>
        <v>87992.943905700013</v>
      </c>
      <c r="AT143" s="6">
        <f>[1]Production!AS50+[1]Production!AS52+[1]Production!AS54+[1]Production!AS56+[1]Production!AS58+[1]Production!AS60+[1]Production!AS62+[1]Production!AS64+[1]Production!AS66</f>
        <v>88663.112091699993</v>
      </c>
      <c r="AU143" s="6">
        <f>[1]Production!AT50+[1]Production!AT52+[1]Production!AT54+[1]Production!AT56+[1]Production!AT58+[1]Production!AT60+[1]Production!AT62+[1]Production!AT64+[1]Production!AT66</f>
        <v>89345.293027600012</v>
      </c>
      <c r="AV143" s="6">
        <f>[1]Production!AU50+[1]Production!AU52+[1]Production!AU54+[1]Production!AU56+[1]Production!AU58+[1]Production!AU60+[1]Production!AU62+[1]Production!AU64+[1]Production!AU66</f>
        <v>90038.934833900013</v>
      </c>
      <c r="AW143" s="6">
        <f>[1]Production!AV50+[1]Production!AV52+[1]Production!AV54+[1]Production!AV56+[1]Production!AV58+[1]Production!AV60+[1]Production!AV62+[1]Production!AV64+[1]Production!AV66</f>
        <v>90748.971166400006</v>
      </c>
      <c r="AX143" s="6">
        <f>[1]Production!AW50+[1]Production!AW52+[1]Production!AW54+[1]Production!AW56+[1]Production!AW58+[1]Production!AW60+[1]Production!AW62+[1]Production!AW64+[1]Production!AW66</f>
        <v>91473.556890900014</v>
      </c>
      <c r="AY143" s="6">
        <f>[1]Production!AX50+[1]Production!AX52+[1]Production!AX54+[1]Production!AX56+[1]Production!AX58+[1]Production!AX60+[1]Production!AX62+[1]Production!AX64+[1]Production!AX66</f>
        <v>92211.161179000002</v>
      </c>
      <c r="AZ143" s="6">
        <f>[1]Production!AY50+[1]Production!AY52+[1]Production!AY54+[1]Production!AY56+[1]Production!AY58+[1]Production!AY60+[1]Production!AY62+[1]Production!AY64+[1]Production!AY66</f>
        <v>92960.406226499996</v>
      </c>
      <c r="BA143" s="6">
        <f>[1]Production!AZ50+[1]Production!AZ52+[1]Production!AZ54+[1]Production!AZ56+[1]Production!AZ58+[1]Production!AZ60+[1]Production!AZ62+[1]Production!AZ64+[1]Production!AZ66</f>
        <v>93720.157584800007</v>
      </c>
      <c r="BB143" s="6">
        <f>[1]Production!BA50+[1]Production!BA52+[1]Production!BA54+[1]Production!BA56+[1]Production!BA58+[1]Production!BA60+[1]Production!BA62+[1]Production!BA64+[1]Production!BA66</f>
        <v>109335.0533368</v>
      </c>
      <c r="BC143" s="6">
        <f>[1]Production!BB50+[1]Production!BB52+[1]Production!BB54+[1]Production!BB56+[1]Production!BB58+[1]Production!BB60+[1]Production!BB62+[1]Production!BB64+[1]Production!BB66</f>
        <v>110686.17812879999</v>
      </c>
      <c r="BD143" s="6">
        <f>[1]Production!BC50+[1]Production!BC52+[1]Production!BC54+[1]Production!BC56+[1]Production!BC58+[1]Production!BC60+[1]Production!BC62+[1]Production!BC64+[1]Production!BC66</f>
        <v>112062.22437210001</v>
      </c>
      <c r="BE143" s="6">
        <f>[1]Production!BD50+[1]Production!BD52+[1]Production!BD54+[1]Production!BD56+[1]Production!BD58+[1]Production!BD60+[1]Production!BD62+[1]Production!BD64+[1]Production!BD66</f>
        <v>113463.31569790001</v>
      </c>
      <c r="BF143" s="6">
        <f>[1]Production!BE50+[1]Production!BE52+[1]Production!BE54+[1]Production!BE56+[1]Production!BE58+[1]Production!BE60+[1]Production!BE62+[1]Production!BE64+[1]Production!BE66</f>
        <v>114889.6136365</v>
      </c>
    </row>
    <row r="145" spans="1:5" x14ac:dyDescent="0.35">
      <c r="A145" s="12" t="s">
        <v>83</v>
      </c>
      <c r="B145" t="s">
        <v>14</v>
      </c>
      <c r="C145" s="7" t="s">
        <v>15</v>
      </c>
      <c r="D145" s="7" t="s">
        <v>16</v>
      </c>
      <c r="E145" s="7" t="s">
        <v>17</v>
      </c>
    </row>
    <row r="146" spans="1:5" x14ac:dyDescent="0.35">
      <c r="A146" t="s">
        <v>80</v>
      </c>
      <c r="B146" t="s">
        <v>40</v>
      </c>
      <c r="C146" s="4">
        <f t="shared" ref="C146:C153" si="65">(R136-R125)/R125</f>
        <v>-4.5705935774116885E-2</v>
      </c>
      <c r="D146" s="4">
        <f t="shared" ref="D146:D153" si="66">(S135-S124)/S124</f>
        <v>0</v>
      </c>
      <c r="E146" s="4">
        <f t="shared" ref="E146:E153" si="67">(AL136-AL125)/AL125</f>
        <v>-6.5345487914409556E-2</v>
      </c>
    </row>
    <row r="147" spans="1:5" x14ac:dyDescent="0.35">
      <c r="B147" t="s">
        <v>7</v>
      </c>
      <c r="C147" s="4">
        <f t="shared" si="65"/>
        <v>-5.6435115596525684E-2</v>
      </c>
      <c r="D147" s="4">
        <f t="shared" si="66"/>
        <v>-4.6492961126529966E-2</v>
      </c>
      <c r="E147" s="4">
        <f t="shared" si="67"/>
        <v>-8.2134499502747302E-2</v>
      </c>
    </row>
    <row r="148" spans="1:5" x14ac:dyDescent="0.35">
      <c r="B148" t="s">
        <v>30</v>
      </c>
      <c r="C148" s="4">
        <f t="shared" si="65"/>
        <v>-6.1171474934391831E-2</v>
      </c>
      <c r="D148" s="4">
        <f t="shared" si="66"/>
        <v>-5.730390227646201E-2</v>
      </c>
      <c r="E148" s="4">
        <f t="shared" si="67"/>
        <v>-9.3389386564619856E-2</v>
      </c>
    </row>
    <row r="149" spans="1:5" x14ac:dyDescent="0.35">
      <c r="B149" t="s">
        <v>9</v>
      </c>
      <c r="C149" s="4">
        <f t="shared" si="65"/>
        <v>-5.0958987843529736E-2</v>
      </c>
      <c r="D149" s="4">
        <f t="shared" si="66"/>
        <v>-6.2717743588259822E-2</v>
      </c>
      <c r="E149" s="4">
        <f t="shared" si="67"/>
        <v>-7.6743692571885805E-2</v>
      </c>
    </row>
    <row r="150" spans="1:5" x14ac:dyDescent="0.35">
      <c r="B150" t="s">
        <v>10</v>
      </c>
      <c r="C150" s="4">
        <f t="shared" si="65"/>
        <v>-3.8924666382398124E-2</v>
      </c>
      <c r="D150" s="4">
        <f t="shared" si="66"/>
        <v>-5.178033452544184E-2</v>
      </c>
      <c r="E150" s="4">
        <f t="shared" si="67"/>
        <v>-5.2693885050238198E-2</v>
      </c>
    </row>
    <row r="151" spans="1:5" x14ac:dyDescent="0.35">
      <c r="B151" t="s">
        <v>29</v>
      </c>
      <c r="C151" s="4">
        <f t="shared" si="65"/>
        <v>-5.8232600112537218E-2</v>
      </c>
      <c r="D151" s="4">
        <f t="shared" si="66"/>
        <v>-3.9393321393405761E-2</v>
      </c>
      <c r="E151" s="4">
        <f t="shared" si="67"/>
        <v>-8.4408259422250567E-2</v>
      </c>
    </row>
    <row r="152" spans="1:5" x14ac:dyDescent="0.35">
      <c r="B152" t="s">
        <v>36</v>
      </c>
      <c r="C152" s="4">
        <f t="shared" si="65"/>
        <v>-5.4739984035321813E-2</v>
      </c>
      <c r="D152" s="4">
        <f t="shared" si="66"/>
        <v>-5.9481324289261658E-2</v>
      </c>
      <c r="E152" s="4">
        <f t="shared" si="67"/>
        <v>-7.5594438120677343E-2</v>
      </c>
    </row>
    <row r="153" spans="1:5" x14ac:dyDescent="0.35">
      <c r="B153" t="s">
        <v>33</v>
      </c>
      <c r="C153" s="4">
        <f t="shared" si="65"/>
        <v>-4.8096730429210456E-2</v>
      </c>
      <c r="D153" s="4">
        <f t="shared" si="66"/>
        <v>-5.5772509755938192E-2</v>
      </c>
      <c r="E153" s="4">
        <f t="shared" si="67"/>
        <v>-8.4801886027736958E-2</v>
      </c>
    </row>
    <row r="154" spans="1:5" x14ac:dyDescent="0.35">
      <c r="C154" s="5"/>
      <c r="D154" s="5"/>
      <c r="E154" s="5"/>
    </row>
    <row r="155" spans="1:5" x14ac:dyDescent="0.35">
      <c r="A155" s="12" t="s">
        <v>83</v>
      </c>
      <c r="B155" t="s">
        <v>14</v>
      </c>
      <c r="C155" s="7" t="s">
        <v>15</v>
      </c>
      <c r="D155" s="7" t="s">
        <v>16</v>
      </c>
      <c r="E155" s="7" t="s">
        <v>17</v>
      </c>
    </row>
    <row r="156" spans="1:5" x14ac:dyDescent="0.35">
      <c r="A156" t="s">
        <v>84</v>
      </c>
      <c r="B156" t="s">
        <v>7</v>
      </c>
      <c r="C156" s="4">
        <f>R137/R126-1</f>
        <v>-5.6435115596525698E-2</v>
      </c>
      <c r="D156" s="4">
        <f>AB137/AB126-1</f>
        <v>-6.7302788421118809E-2</v>
      </c>
      <c r="E156" s="4">
        <f>AL137/AL126-1</f>
        <v>-8.2134499502747316E-2</v>
      </c>
    </row>
    <row r="157" spans="1:5" x14ac:dyDescent="0.35">
      <c r="B157" t="s">
        <v>8</v>
      </c>
      <c r="C157" s="4">
        <f>R138/R127-1</f>
        <v>-6.117147493439179E-2</v>
      </c>
      <c r="D157" s="4">
        <f>AB138/AB127-1</f>
        <v>-7.7823844794644215E-2</v>
      </c>
      <c r="E157" s="4">
        <f>AL138/AL127-1</f>
        <v>-9.3389386564619814E-2</v>
      </c>
    </row>
    <row r="158" spans="1:5" x14ac:dyDescent="0.35">
      <c r="B158" t="s">
        <v>9</v>
      </c>
      <c r="C158" s="4">
        <f>R139/R128-1</f>
        <v>-5.0958987843529702E-2</v>
      </c>
      <c r="D158" s="4">
        <f>AB139/AB128-1</f>
        <v>-6.2129077923268716E-2</v>
      </c>
      <c r="E158" s="4">
        <f>AL139/AL128-1</f>
        <v>-7.6743692571885846E-2</v>
      </c>
    </row>
    <row r="159" spans="1:5" x14ac:dyDescent="0.35">
      <c r="B159" t="s">
        <v>10</v>
      </c>
      <c r="C159" s="4">
        <f>R140/R129-1</f>
        <v>-3.892466638239811E-2</v>
      </c>
      <c r="D159" s="4">
        <f>AB140/AB129-1</f>
        <v>-4.4669470632085595E-2</v>
      </c>
      <c r="E159" s="4">
        <f>AL140/AL129-1</f>
        <v>-5.2693885050238198E-2</v>
      </c>
    </row>
    <row r="160" spans="1:5" x14ac:dyDescent="0.35">
      <c r="B160" t="s">
        <v>12</v>
      </c>
      <c r="C160" s="4">
        <f>R141/R130-1</f>
        <v>-5.823260011253717E-2</v>
      </c>
      <c r="D160" s="4">
        <f>AB141/AB130-1</f>
        <v>-7.0891217399938644E-2</v>
      </c>
      <c r="E160" s="4">
        <f>AL141/AL130-1</f>
        <v>-8.4408259422250609E-2</v>
      </c>
    </row>
    <row r="161" spans="1:58" x14ac:dyDescent="0.35">
      <c r="B161" t="s">
        <v>11</v>
      </c>
      <c r="C161" s="4">
        <f>R143/R132-1</f>
        <v>-4.8096730429210477E-2</v>
      </c>
      <c r="D161" s="4">
        <f>AB143/AB132-1</f>
        <v>-6.5396558670711702E-2</v>
      </c>
      <c r="E161" s="4">
        <f>AL143/AL132-1</f>
        <v>-8.4801886027736972E-2</v>
      </c>
    </row>
    <row r="162" spans="1:58" x14ac:dyDescent="0.35">
      <c r="C162" s="4"/>
      <c r="D162" s="4"/>
      <c r="E162" s="4"/>
    </row>
    <row r="163" spans="1:58" x14ac:dyDescent="0.35">
      <c r="A163" s="12" t="s">
        <v>41</v>
      </c>
      <c r="C163" s="4"/>
      <c r="D163" s="4"/>
      <c r="E163" s="4"/>
    </row>
    <row r="164" spans="1:58" x14ac:dyDescent="0.35">
      <c r="A164" t="s">
        <v>38</v>
      </c>
      <c r="B164" t="s">
        <v>40</v>
      </c>
      <c r="C164" s="6">
        <f>[1]Capital!B3</f>
        <v>5224351.5990000004</v>
      </c>
      <c r="D164" s="6">
        <f>[1]Capital!C3</f>
        <v>5285939.1890000002</v>
      </c>
      <c r="E164" s="6">
        <f>[1]Capital!D3</f>
        <v>5349468.2699999996</v>
      </c>
      <c r="F164" s="6">
        <f>[1]Capital!E3</f>
        <v>5415267.1299999999</v>
      </c>
      <c r="G164" s="6">
        <f>[1]Capital!F3</f>
        <v>5483570.4560000002</v>
      </c>
      <c r="H164" s="6">
        <f>[1]Capital!G3</f>
        <v>5554548.6670000004</v>
      </c>
      <c r="I164" s="6">
        <f>[1]Capital!H3</f>
        <v>5628132.9570000004</v>
      </c>
      <c r="J164" s="6">
        <f>[1]Capital!I3</f>
        <v>5704292.977</v>
      </c>
      <c r="K164" s="6">
        <f>[1]Capital!J3</f>
        <v>5783028.068</v>
      </c>
      <c r="L164" s="6">
        <f>[1]Capital!K3</f>
        <v>5864354.1339999996</v>
      </c>
      <c r="M164" s="6">
        <f>[1]Capital!L3</f>
        <v>5948646.0389999999</v>
      </c>
      <c r="N164" s="6">
        <f>[1]Capital!M3</f>
        <v>6035819.6490000002</v>
      </c>
      <c r="O164" s="6">
        <f>[1]Capital!N3</f>
        <v>6125820.8250000002</v>
      </c>
      <c r="P164" s="6">
        <f>[1]Capital!O3</f>
        <v>6218620.2939999998</v>
      </c>
      <c r="Q164" s="6">
        <f>[1]Capital!P3</f>
        <v>6314200.1509999996</v>
      </c>
      <c r="R164" s="6">
        <f>[1]Capital!Q3</f>
        <v>6412547.8660000004</v>
      </c>
      <c r="S164" s="6">
        <f>[1]Capital!R3</f>
        <v>6513654.2599999998</v>
      </c>
      <c r="T164" s="6">
        <f>[1]Capital!S3</f>
        <v>6617512.8940000003</v>
      </c>
      <c r="U164" s="6">
        <f>[1]Capital!T3</f>
        <v>6724119.6909999996</v>
      </c>
      <c r="V164" s="6">
        <f>[1]Capital!U3</f>
        <v>6833472.3940000003</v>
      </c>
      <c r="W164" s="6">
        <f>[1]Capital!V3</f>
        <v>6945305.1560000004</v>
      </c>
      <c r="X164" s="6">
        <f>[1]Capital!W3</f>
        <v>7059698.8569999998</v>
      </c>
      <c r="Y164" s="6">
        <f>[1]Capital!X3</f>
        <v>7176711.4019999998</v>
      </c>
      <c r="Z164" s="6">
        <f>[1]Capital!Y3</f>
        <v>7296379.2060000002</v>
      </c>
      <c r="AA164" s="6">
        <f>[1]Capital!Z3</f>
        <v>7418725.773</v>
      </c>
      <c r="AB164" s="6">
        <f>[1]Capital!AA3</f>
        <v>7542993.5420000004</v>
      </c>
      <c r="AC164" s="6">
        <f>[1]Capital!AB3</f>
        <v>7669058.5219999999</v>
      </c>
      <c r="AD164" s="6">
        <f>[1]Capital!AC3</f>
        <v>7796832.5369999995</v>
      </c>
      <c r="AE164" s="6">
        <f>[1]Capital!AD3</f>
        <v>7926240.9440000001</v>
      </c>
      <c r="AF164" s="6">
        <f>[1]Capital!AE3</f>
        <v>8057223.2769999998</v>
      </c>
      <c r="AG164" s="6">
        <f>[1]Capital!AF3</f>
        <v>8189731.773</v>
      </c>
      <c r="AH164" s="6">
        <f>[1]Capital!AG3</f>
        <v>8323728.102</v>
      </c>
      <c r="AI164" s="6">
        <f>[1]Capital!AH3</f>
        <v>8459179.6549999993</v>
      </c>
      <c r="AJ164" s="6">
        <f>[1]Capital!AI3</f>
        <v>8596056.3389999997</v>
      </c>
      <c r="AK164" s="6">
        <f>[1]Capital!AJ3</f>
        <v>8734328.2559999991</v>
      </c>
      <c r="AL164" s="6">
        <f>[1]Capital!AK3</f>
        <v>8873964.3579999991</v>
      </c>
      <c r="AM164" s="6">
        <f>[1]Capital!AL3</f>
        <v>9014742.1789999995</v>
      </c>
      <c r="AN164" s="6">
        <f>[1]Capital!AM3</f>
        <v>9156493.5219999999</v>
      </c>
      <c r="AO164" s="6">
        <f>[1]Capital!AN3</f>
        <v>9299090.3080000002</v>
      </c>
      <c r="AP164" s="6">
        <f>[1]Capital!AO3</f>
        <v>9442431.8100000005</v>
      </c>
      <c r="AQ164" s="6">
        <f>[1]Capital!AP3</f>
        <v>9586438.2229999993</v>
      </c>
      <c r="AR164" s="6">
        <f>[1]Capital!AQ3</f>
        <v>9731047.0309999995</v>
      </c>
      <c r="AS164" s="6">
        <f>[1]Capital!AR3</f>
        <v>9876210.398</v>
      </c>
      <c r="AT164" s="6">
        <f>[1]Capital!AS3</f>
        <v>10021892.93</v>
      </c>
      <c r="AU164" s="6">
        <f>[1]Capital!AT3</f>
        <v>10168069.75</v>
      </c>
      <c r="AV164" s="6">
        <f>[1]Capital!AU3</f>
        <v>10314724.859999999</v>
      </c>
      <c r="AW164" s="6">
        <f>[1]Capital!AV3</f>
        <v>10461867.300000001</v>
      </c>
      <c r="AX164" s="6">
        <f>[1]Capital!AW3</f>
        <v>10609507.949999999</v>
      </c>
      <c r="AY164" s="6">
        <f>[1]Capital!AX3</f>
        <v>10757660.439999999</v>
      </c>
      <c r="AZ164" s="6">
        <f>[1]Capital!AY3</f>
        <v>10906341.779999999</v>
      </c>
      <c r="BA164" s="6">
        <f>[1]Capital!AZ3</f>
        <v>11055572.85</v>
      </c>
      <c r="BB164" s="6">
        <f>[1]Capital!BA3</f>
        <v>12048683.140000001</v>
      </c>
      <c r="BC164" s="6">
        <f>[1]Capital!BB3</f>
        <v>12276883.67</v>
      </c>
      <c r="BD164" s="6">
        <f>[1]Capital!BC3</f>
        <v>12508283.220000001</v>
      </c>
      <c r="BE164" s="6">
        <f>[1]Capital!BD3</f>
        <v>12742824.369999999</v>
      </c>
      <c r="BF164" s="6">
        <f>[1]Capital!BE3</f>
        <v>12980451.76</v>
      </c>
    </row>
    <row r="165" spans="1:58" x14ac:dyDescent="0.35">
      <c r="B165" t="s">
        <v>7</v>
      </c>
      <c r="C165" s="5">
        <f>[1]Capital!B5+[1]Capital!B7</f>
        <v>49062.141071999999</v>
      </c>
      <c r="D165" s="5">
        <f>[1]Capital!C5+[1]Capital!C7</f>
        <v>49625.231839</v>
      </c>
      <c r="E165" s="5">
        <f>[1]Capital!D5+[1]Capital!D7</f>
        <v>50187.860066999994</v>
      </c>
      <c r="F165" s="5">
        <f>[1]Capital!E5+[1]Capital!E7</f>
        <v>50755.068525000002</v>
      </c>
      <c r="G165" s="5">
        <f>[1]Capital!F5+[1]Capital!F7</f>
        <v>51332.564109999999</v>
      </c>
      <c r="H165" s="5">
        <f>[1]Capital!G5+[1]Capital!G7</f>
        <v>51925.404205999999</v>
      </c>
      <c r="I165" s="5">
        <f>[1]Capital!H5+[1]Capital!H7</f>
        <v>52535.760392999997</v>
      </c>
      <c r="J165" s="5">
        <f>[1]Capital!I5+[1]Capital!I7</f>
        <v>53165.369107999999</v>
      </c>
      <c r="K165" s="5">
        <f>[1]Capital!J5+[1]Capital!J7</f>
        <v>53815.596504000001</v>
      </c>
      <c r="L165" s="5">
        <f>[1]Capital!K5+[1]Capital!K7</f>
        <v>54487.458894000003</v>
      </c>
      <c r="M165" s="5">
        <f>[1]Capital!L5+[1]Capital!L7</f>
        <v>55184.980895999994</v>
      </c>
      <c r="N165" s="5">
        <f>[1]Capital!M5+[1]Capital!M7</f>
        <v>55907.693438000002</v>
      </c>
      <c r="O165" s="5">
        <f>[1]Capital!N5+[1]Capital!N7</f>
        <v>56655.058230999995</v>
      </c>
      <c r="P165" s="5">
        <f>[1]Capital!O5+[1]Capital!O7</f>
        <v>57426.583828000003</v>
      </c>
      <c r="Q165" s="5">
        <f>[1]Capital!P5+[1]Capital!P7</f>
        <v>58221.778228000003</v>
      </c>
      <c r="R165" s="5">
        <f>[1]Capital!Q5+[1]Capital!Q7</f>
        <v>59040.146427</v>
      </c>
      <c r="S165" s="5">
        <f>[1]Capital!R5+[1]Capital!R7</f>
        <v>59881.209535000002</v>
      </c>
      <c r="T165" s="5">
        <f>[1]Capital!S5+[1]Capital!S7</f>
        <v>60744.524253000003</v>
      </c>
      <c r="U165" s="5">
        <f>[1]Capital!T5+[1]Capital!T7</f>
        <v>61629.694987000003</v>
      </c>
      <c r="V165" s="5">
        <f>[1]Capital!U5+[1]Capital!U7</f>
        <v>62536.377946999994</v>
      </c>
      <c r="W165" s="5">
        <f>[1]Capital!V5+[1]Capital!V7</f>
        <v>63461.803289999996</v>
      </c>
      <c r="X165" s="5">
        <f>[1]Capital!W5+[1]Capital!W7</f>
        <v>64406.410536999996</v>
      </c>
      <c r="Y165" s="5">
        <f>[1]Capital!X5+[1]Capital!X7</f>
        <v>65370.587389</v>
      </c>
      <c r="Z165" s="5">
        <f>[1]Capital!Y5+[1]Capital!Y7</f>
        <v>66354.603757999997</v>
      </c>
      <c r="AA165" s="5">
        <f>[1]Capital!Z5+[1]Capital!Z7</f>
        <v>67358.664676</v>
      </c>
      <c r="AB165" s="5">
        <f>[1]Capital!AA5+[1]Capital!AA7</f>
        <v>68375.736454999991</v>
      </c>
      <c r="AC165" s="5">
        <f>[1]Capital!AB5+[1]Capital!AB7</f>
        <v>69404.508199999997</v>
      </c>
      <c r="AD165" s="5">
        <f>[1]Capital!AC5+[1]Capital!AC7</f>
        <v>70444.268049999999</v>
      </c>
      <c r="AE165" s="5">
        <f>[1]Capital!AD5+[1]Capital!AD7</f>
        <v>71494.618347000011</v>
      </c>
      <c r="AF165" s="5">
        <f>[1]Capital!AE5+[1]Capital!AE7</f>
        <v>72555.449391000002</v>
      </c>
      <c r="AG165" s="5">
        <f>[1]Capital!AF5+[1]Capital!AF7</f>
        <v>73626.891389000011</v>
      </c>
      <c r="AH165" s="5">
        <f>[1]Capital!AG5+[1]Capital!AG7</f>
        <v>74709.247916000008</v>
      </c>
      <c r="AI165" s="5">
        <f>[1]Capital!AH5+[1]Capital!AH7</f>
        <v>75802.929800000013</v>
      </c>
      <c r="AJ165" s="5">
        <f>[1]Capital!AI5+[1]Capital!AI7</f>
        <v>76908.400662</v>
      </c>
      <c r="AK165" s="5">
        <f>[1]Capital!AJ5+[1]Capital!AJ7</f>
        <v>78026.137523999991</v>
      </c>
      <c r="AL165" s="5">
        <f>[1]Capital!AK5+[1]Capital!AK7</f>
        <v>79156.605987000003</v>
      </c>
      <c r="AM165" s="5">
        <f>[1]Capital!AL5+[1]Capital!AL7</f>
        <v>80298.489167000007</v>
      </c>
      <c r="AN165" s="5">
        <f>[1]Capital!AM5+[1]Capital!AM7</f>
        <v>81450.91107100001</v>
      </c>
      <c r="AO165" s="5">
        <f>[1]Capital!AN5+[1]Capital!AN7</f>
        <v>82613.377723999991</v>
      </c>
      <c r="AP165" s="5">
        <f>[1]Capital!AO5+[1]Capital!AO7</f>
        <v>83785.677475999997</v>
      </c>
      <c r="AQ165" s="5">
        <f>[1]Capital!AP5+[1]Capital!AP7</f>
        <v>84967.821706000002</v>
      </c>
      <c r="AR165" s="5">
        <f>[1]Capital!AQ5+[1]Capital!AQ7</f>
        <v>86160.001191999996</v>
      </c>
      <c r="AS165" s="5">
        <f>[1]Capital!AR5+[1]Capital!AR7</f>
        <v>87362.546202000012</v>
      </c>
      <c r="AT165" s="5">
        <f>[1]Capital!AS5+[1]Capital!AS7</f>
        <v>88575.888334000003</v>
      </c>
      <c r="AU165" s="5">
        <f>[1]Capital!AT5+[1]Capital!AT7</f>
        <v>89800.526162000009</v>
      </c>
      <c r="AV165" s="5">
        <f>[1]Capital!AU5+[1]Capital!AU7</f>
        <v>91036.996293999997</v>
      </c>
      <c r="AW165" s="5">
        <f>[1]Capital!AV5+[1]Capital!AV7</f>
        <v>92286.009064999991</v>
      </c>
      <c r="AX165" s="5">
        <f>[1]Capital!AW5+[1]Capital!AW7</f>
        <v>93548.237701000005</v>
      </c>
      <c r="AY165" s="5">
        <f>[1]Capital!AX5+[1]Capital!AX7</f>
        <v>94824.318202000009</v>
      </c>
      <c r="AZ165" s="5">
        <f>[1]Capital!AY5+[1]Capital!AY7</f>
        <v>96114.844204000008</v>
      </c>
      <c r="BA165" s="5">
        <f>[1]Capital!AZ5+[1]Capital!AZ7</f>
        <v>97420.367113999993</v>
      </c>
      <c r="BB165" s="5">
        <f>[1]Capital!BA5+[1]Capital!BA7</f>
        <v>105778.84574</v>
      </c>
      <c r="BC165" s="5">
        <f>[1]Capital!BB5+[1]Capital!BB7</f>
        <v>107630.562708</v>
      </c>
      <c r="BD165" s="5">
        <f>[1]Capital!BC5+[1]Capital!BC7</f>
        <v>109510.90927799999</v>
      </c>
      <c r="BE165" s="5">
        <f>[1]Capital!BD5+[1]Capital!BD7</f>
        <v>111420.20065100001</v>
      </c>
      <c r="BF165" s="5">
        <f>[1]Capital!BE5+[1]Capital!BE7</f>
        <v>113358.79536300001</v>
      </c>
    </row>
    <row r="166" spans="1:58" x14ac:dyDescent="0.35">
      <c r="B166" t="s">
        <v>30</v>
      </c>
      <c r="C166" s="5">
        <f>[1]Capital!B9+[1]Capital!B11+[1]Capital!B13+[1]Capital!B15+[1]Capital!B17+[1]Capital!B19+[1]Capital!B21+[1]Capital!B23+[1]Capital!B25+[1]Capital!B27+[1]Capital!B41</f>
        <v>2595738.3102210006</v>
      </c>
      <c r="D166" s="5">
        <f>[1]Capital!C9+[1]Capital!C11+[1]Capital!C13+[1]Capital!C15+[1]Capital!C17+[1]Capital!C19+[1]Capital!C21+[1]Capital!C23+[1]Capital!C25+[1]Capital!C27+[1]Capital!C41</f>
        <v>2626423.7680189996</v>
      </c>
      <c r="E166" s="5">
        <f>[1]Capital!D9+[1]Capital!D11+[1]Capital!D13+[1]Capital!D15+[1]Capital!D17+[1]Capital!D19+[1]Capital!D21+[1]Capital!D23+[1]Capital!D25+[1]Capital!D27+[1]Capital!D41</f>
        <v>2658230.4610699997</v>
      </c>
      <c r="F166" s="5">
        <f>[1]Capital!E9+[1]Capital!E11+[1]Capital!E13+[1]Capital!E15+[1]Capital!E17+[1]Capital!E19+[1]Capital!E21+[1]Capital!E23+[1]Capital!E25+[1]Capital!E27+[1]Capital!E41</f>
        <v>2691317.0447</v>
      </c>
      <c r="G166" s="5">
        <f>[1]Capital!F9+[1]Capital!F11+[1]Capital!F13+[1]Capital!F15+[1]Capital!F17+[1]Capital!F19+[1]Capital!F21+[1]Capital!F23+[1]Capital!F25+[1]Capital!F27+[1]Capital!F41</f>
        <v>2725774.2721940004</v>
      </c>
      <c r="H166" s="5">
        <f>[1]Capital!G9+[1]Capital!G11+[1]Capital!G13+[1]Capital!G15+[1]Capital!G17+[1]Capital!G19+[1]Capital!G21+[1]Capital!G23+[1]Capital!G25+[1]Capital!G27+[1]Capital!G41</f>
        <v>2761659.2562509999</v>
      </c>
      <c r="I166" s="5">
        <f>[1]Capital!H9+[1]Capital!H11+[1]Capital!H13+[1]Capital!H15+[1]Capital!H17+[1]Capital!H19+[1]Capital!H21+[1]Capital!H23+[1]Capital!H25+[1]Capital!H27+[1]Capital!H41</f>
        <v>2798928.3271930004</v>
      </c>
      <c r="J166" s="5">
        <f>[1]Capital!I9+[1]Capital!I11+[1]Capital!I13+[1]Capital!I15+[1]Capital!I17+[1]Capital!I19+[1]Capital!I21+[1]Capital!I23+[1]Capital!I25+[1]Capital!I27+[1]Capital!I41</f>
        <v>2837557.0754559999</v>
      </c>
      <c r="K166" s="5">
        <f>[1]Capital!J9+[1]Capital!J11+[1]Capital!J13+[1]Capital!J15+[1]Capital!J17+[1]Capital!J19+[1]Capital!J21+[1]Capital!J23+[1]Capital!J25+[1]Capital!J27+[1]Capital!J41</f>
        <v>2877540.5144580002</v>
      </c>
      <c r="L166" s="5">
        <f>[1]Capital!K9+[1]Capital!K11+[1]Capital!K13+[1]Capital!K15+[1]Capital!K17+[1]Capital!K19+[1]Capital!K21+[1]Capital!K23+[1]Capital!K25+[1]Capital!K27+[1]Capital!K41</f>
        <v>2918887.6049600001</v>
      </c>
      <c r="M166" s="5">
        <f>[1]Capital!L9+[1]Capital!L11+[1]Capital!L13+[1]Capital!L15+[1]Capital!L17+[1]Capital!L19+[1]Capital!L21+[1]Capital!L23+[1]Capital!L25+[1]Capital!L27+[1]Capital!L41</f>
        <v>2961771.2852360001</v>
      </c>
      <c r="N166" s="5">
        <f>[1]Capital!M9+[1]Capital!M11+[1]Capital!M13+[1]Capital!M15+[1]Capital!M17+[1]Capital!M19+[1]Capital!M21+[1]Capital!M23+[1]Capital!M25+[1]Capital!M27+[1]Capital!M41</f>
        <v>3006175.5673090001</v>
      </c>
      <c r="O166" s="5">
        <f>[1]Capital!N9+[1]Capital!N11+[1]Capital!N13+[1]Capital!N15+[1]Capital!N17+[1]Capital!N19+[1]Capital!N21+[1]Capital!N23+[1]Capital!N25+[1]Capital!N27+[1]Capital!N41</f>
        <v>3052093.3310099998</v>
      </c>
      <c r="P166" s="5">
        <f>[1]Capital!O9+[1]Capital!O11+[1]Capital!O13+[1]Capital!O15+[1]Capital!O17+[1]Capital!O19+[1]Capital!O21+[1]Capital!O23+[1]Capital!O25+[1]Capital!O27+[1]Capital!O41</f>
        <v>3099527.2705680002</v>
      </c>
      <c r="Q166" s="5">
        <f>[1]Capital!P9+[1]Capital!P11+[1]Capital!P13+[1]Capital!P15+[1]Capital!P17+[1]Capital!P19+[1]Capital!P21+[1]Capital!P23+[1]Capital!P25+[1]Capital!P27+[1]Capital!P41</f>
        <v>3148485.3308700002</v>
      </c>
      <c r="R166" s="5">
        <f>[1]Capital!Q9+[1]Capital!Q11+[1]Capital!Q13+[1]Capital!Q15+[1]Capital!Q17+[1]Capital!Q19+[1]Capital!Q21+[1]Capital!Q23+[1]Capital!Q25+[1]Capital!Q27+[1]Capital!Q41</f>
        <v>3198978.0066820001</v>
      </c>
      <c r="S166" s="5">
        <f>[1]Capital!R9+[1]Capital!R11+[1]Capital!R13+[1]Capital!R15+[1]Capital!R17+[1]Capital!R19+[1]Capital!R21+[1]Capital!R23+[1]Capital!R25+[1]Capital!R27+[1]Capital!R41</f>
        <v>3251017.0122019998</v>
      </c>
      <c r="T166" s="5">
        <f>[1]Capital!S9+[1]Capital!S11+[1]Capital!S13+[1]Capital!S15+[1]Capital!S17+[1]Capital!S19+[1]Capital!S21+[1]Capital!S23+[1]Capital!S25+[1]Capital!S27+[1]Capital!S41</f>
        <v>3304614.6109160003</v>
      </c>
      <c r="U166" s="5">
        <f>[1]Capital!T9+[1]Capital!T11+[1]Capital!T13+[1]Capital!T15+[1]Capital!T17+[1]Capital!T19+[1]Capital!T21+[1]Capital!T23+[1]Capital!T25+[1]Capital!T27+[1]Capital!T41</f>
        <v>3359783.1669399999</v>
      </c>
      <c r="V166" s="5">
        <f>[1]Capital!U9+[1]Capital!U11+[1]Capital!U13+[1]Capital!U15+[1]Capital!U17+[1]Capital!U19+[1]Capital!U21+[1]Capital!U23+[1]Capital!U25+[1]Capital!U27+[1]Capital!U41</f>
        <v>3416534.6986449999</v>
      </c>
      <c r="W166" s="5">
        <f>[1]Capital!V9+[1]Capital!V11+[1]Capital!V13+[1]Capital!V15+[1]Capital!V17+[1]Capital!V19+[1]Capital!V21+[1]Capital!V23+[1]Capital!V25+[1]Capital!V27+[1]Capital!V41</f>
        <v>3474763.0480840001</v>
      </c>
      <c r="X166" s="5">
        <f>[1]Capital!W9+[1]Capital!W11+[1]Capital!W13+[1]Capital!W15+[1]Capital!W17+[1]Capital!W19+[1]Capital!W21+[1]Capital!W23+[1]Capital!W25+[1]Capital!W27+[1]Capital!W41</f>
        <v>3534506.2238929998</v>
      </c>
      <c r="Y166" s="5">
        <f>[1]Capital!X9+[1]Capital!X11+[1]Capital!X13+[1]Capital!X15+[1]Capital!X17+[1]Capital!X19+[1]Capital!X21+[1]Capital!X23+[1]Capital!X25+[1]Capital!X27+[1]Capital!X41</f>
        <v>3595795.744252</v>
      </c>
      <c r="Z166" s="5">
        <f>[1]Capital!Y9+[1]Capital!Y11+[1]Capital!Y13+[1]Capital!Y15+[1]Capital!Y17+[1]Capital!Y19+[1]Capital!Y21+[1]Capital!Y23+[1]Capital!Y25+[1]Capital!Y27+[1]Capital!Y41</f>
        <v>3658653.9745919998</v>
      </c>
      <c r="AA166" s="5">
        <f>[1]Capital!Z9+[1]Capital!Z11+[1]Capital!Z13+[1]Capital!Z15+[1]Capital!Z17+[1]Capital!Z19+[1]Capital!Z21+[1]Capital!Z23+[1]Capital!Z25+[1]Capital!Z27+[1]Capital!Z41</f>
        <v>3723096.152036</v>
      </c>
      <c r="AB166" s="5">
        <f>[1]Capital!AA9+[1]Capital!AA11+[1]Capital!AA13+[1]Capital!AA15+[1]Capital!AA17+[1]Capital!AA19+[1]Capital!AA21+[1]Capital!AA23+[1]Capital!AA25+[1]Capital!AA27+[1]Capital!AA41</f>
        <v>3788788.5617169999</v>
      </c>
      <c r="AC166" s="5">
        <f>[1]Capital!AB9+[1]Capital!AB11+[1]Capital!AB13+[1]Capital!AB15+[1]Capital!AB17+[1]Capital!AB19+[1]Capital!AB21+[1]Capital!AB23+[1]Capital!AB25+[1]Capital!AB27+[1]Capital!AB41</f>
        <v>3855652.4753490002</v>
      </c>
      <c r="AD166" s="5">
        <f>[1]Capital!AC9+[1]Capital!AC11+[1]Capital!AC13+[1]Capital!AC15+[1]Capital!AC17+[1]Capital!AC19+[1]Capital!AC21+[1]Capital!AC23+[1]Capital!AC25+[1]Capital!AC27+[1]Capital!AC41</f>
        <v>3923627.3053970002</v>
      </c>
      <c r="AE166" s="5">
        <f>[1]Capital!AD9+[1]Capital!AD11+[1]Capital!AD13+[1]Capital!AD15+[1]Capital!AD17+[1]Capital!AD19+[1]Capital!AD21+[1]Capital!AD23+[1]Capital!AD25+[1]Capital!AD27+[1]Capital!AD41</f>
        <v>3992658.6582160001</v>
      </c>
      <c r="AF166" s="5">
        <f>[1]Capital!AE9+[1]Capital!AE11+[1]Capital!AE13+[1]Capital!AE15+[1]Capital!AE17+[1]Capital!AE19+[1]Capital!AE21+[1]Capital!AE23+[1]Capital!AE25+[1]Capital!AE27+[1]Capital!AE41</f>
        <v>4062696.7691790001</v>
      </c>
      <c r="AG166" s="5">
        <f>[1]Capital!AF9+[1]Capital!AF11+[1]Capital!AF13+[1]Capital!AF15+[1]Capital!AF17+[1]Capital!AF19+[1]Capital!AF21+[1]Capital!AF23+[1]Capital!AF25+[1]Capital!AF27+[1]Capital!AF41</f>
        <v>4133695.4369589998</v>
      </c>
      <c r="AH166" s="5">
        <f>[1]Capital!AG9+[1]Capital!AG11+[1]Capital!AG13+[1]Capital!AG15+[1]Capital!AG17+[1]Capital!AG19+[1]Capital!AG21+[1]Capital!AG23+[1]Capital!AG25+[1]Capital!AG27+[1]Capital!AG41</f>
        <v>4205610.7681830004</v>
      </c>
      <c r="AI166" s="5">
        <f>[1]Capital!AH9+[1]Capital!AH11+[1]Capital!AH13+[1]Capital!AH15+[1]Capital!AH17+[1]Capital!AH19+[1]Capital!AH21+[1]Capital!AH23+[1]Capital!AH25+[1]Capital!AH27+[1]Capital!AH41</f>
        <v>4278399.8867950002</v>
      </c>
      <c r="AJ166" s="5">
        <f>[1]Capital!AI9+[1]Capital!AI11+[1]Capital!AI13+[1]Capital!AI15+[1]Capital!AI17+[1]Capital!AI19+[1]Capital!AI21+[1]Capital!AI23+[1]Capital!AI25+[1]Capital!AI27+[1]Capital!AI41</f>
        <v>4352019.8127879994</v>
      </c>
      <c r="AK166" s="5">
        <f>[1]Capital!AJ9+[1]Capital!AJ11+[1]Capital!AJ13+[1]Capital!AJ15+[1]Capital!AJ17+[1]Capital!AJ19+[1]Capital!AJ21+[1]Capital!AJ23+[1]Capital!AJ25+[1]Capital!AJ27+[1]Capital!AJ41</f>
        <v>4426426.6880350001</v>
      </c>
      <c r="AL166" s="5">
        <f>[1]Capital!AK9+[1]Capital!AK11+[1]Capital!AK13+[1]Capital!AK15+[1]Capital!AK17+[1]Capital!AK19+[1]Capital!AK21+[1]Capital!AK23+[1]Capital!AK25+[1]Capital!AK27+[1]Capital!AK41</f>
        <v>4501575.3912929995</v>
      </c>
      <c r="AM166" s="5">
        <f>[1]Capital!AL9+[1]Capital!AL11+[1]Capital!AL13+[1]Capital!AL15+[1]Capital!AL17+[1]Capital!AL19+[1]Capital!AL21+[1]Capital!AL23+[1]Capital!AL25+[1]Capital!AL27+[1]Capital!AL41</f>
        <v>4577334.7614890002</v>
      </c>
      <c r="AN166" s="5">
        <f>[1]Capital!AM9+[1]Capital!AM11+[1]Capital!AM13+[1]Capital!AM15+[1]Capital!AM17+[1]Capital!AM19+[1]Capital!AM21+[1]Capital!AM23+[1]Capital!AM25+[1]Capital!AM27+[1]Capital!AM41</f>
        <v>4653591.2275610007</v>
      </c>
      <c r="AO166" s="5">
        <f>[1]Capital!AN9+[1]Capital!AN11+[1]Capital!AN13+[1]Capital!AN15+[1]Capital!AN17+[1]Capital!AN19+[1]Capital!AN21+[1]Capital!AN23+[1]Capital!AN25+[1]Capital!AN27+[1]Capital!AN41</f>
        <v>4730246.8600580003</v>
      </c>
      <c r="AP166" s="5">
        <f>[1]Capital!AO9+[1]Capital!AO11+[1]Capital!AO13+[1]Capital!AO15+[1]Capital!AO17+[1]Capital!AO19+[1]Capital!AO21+[1]Capital!AO23+[1]Capital!AO25+[1]Capital!AO27+[1]Capital!AO41</f>
        <v>4807215.6662909994</v>
      </c>
      <c r="AQ166" s="5">
        <f>[1]Capital!AP9+[1]Capital!AP11+[1]Capital!AP13+[1]Capital!AP15+[1]Capital!AP17+[1]Capital!AP19+[1]Capital!AP21+[1]Capital!AP23+[1]Capital!AP25+[1]Capital!AP27+[1]Capital!AP41</f>
        <v>4884421.4727499997</v>
      </c>
      <c r="AR166" s="5">
        <f>[1]Capital!AQ9+[1]Capital!AQ11+[1]Capital!AQ13+[1]Capital!AQ15+[1]Capital!AQ17+[1]Capital!AQ19+[1]Capital!AQ21+[1]Capital!AQ23+[1]Capital!AQ25+[1]Capital!AQ27+[1]Capital!AQ41</f>
        <v>4961796.7406300008</v>
      </c>
      <c r="AS166" s="5">
        <f>[1]Capital!AR9+[1]Capital!AR11+[1]Capital!AR13+[1]Capital!AR15+[1]Capital!AR17+[1]Capital!AR19+[1]Capital!AR21+[1]Capital!AR23+[1]Capital!AR25+[1]Capital!AR27+[1]Capital!AR41</f>
        <v>5039281.7950299997</v>
      </c>
      <c r="AT166" s="5">
        <f>[1]Capital!AS9+[1]Capital!AS11+[1]Capital!AS13+[1]Capital!AS15+[1]Capital!AS17+[1]Capital!AS19+[1]Capital!AS21+[1]Capital!AS23+[1]Capital!AS25+[1]Capital!AS27+[1]Capital!AS41</f>
        <v>5116824.2137000002</v>
      </c>
      <c r="AU166" s="5">
        <f>[1]Capital!AT9+[1]Capital!AT11+[1]Capital!AT13+[1]Capital!AT15+[1]Capital!AT17+[1]Capital!AT19+[1]Capital!AT21+[1]Capital!AT23+[1]Capital!AT25+[1]Capital!AT27+[1]Capital!AT41</f>
        <v>5194378.3092799997</v>
      </c>
      <c r="AV166" s="5">
        <f>[1]Capital!AU9+[1]Capital!AU11+[1]Capital!AU13+[1]Capital!AU15+[1]Capital!AU17+[1]Capital!AU19+[1]Capital!AU21+[1]Capital!AU23+[1]Capital!AU25+[1]Capital!AU27+[1]Capital!AU41</f>
        <v>5271904.7167400001</v>
      </c>
      <c r="AW166" s="5">
        <f>[1]Capital!AV9+[1]Capital!AV11+[1]Capital!AV13+[1]Capital!AV15+[1]Capital!AV17+[1]Capital!AV19+[1]Capital!AV21+[1]Capital!AV23+[1]Capital!AV25+[1]Capital!AV27+[1]Capital!AV41</f>
        <v>5349377.8346899999</v>
      </c>
      <c r="AX166" s="5">
        <f>[1]Capital!AW9+[1]Capital!AW11+[1]Capital!AW13+[1]Capital!AW15+[1]Capital!AW17+[1]Capital!AW19+[1]Capital!AW21+[1]Capital!AW23+[1]Capital!AW25+[1]Capital!AW27+[1]Capital!AW41</f>
        <v>5426776.2066899994</v>
      </c>
      <c r="AY166" s="5">
        <f>[1]Capital!AX9+[1]Capital!AX11+[1]Capital!AX13+[1]Capital!AX15+[1]Capital!AX17+[1]Capital!AX19+[1]Capital!AX21+[1]Capital!AX23+[1]Capital!AX25+[1]Capital!AX27+[1]Capital!AX41</f>
        <v>5504082.6803299999</v>
      </c>
      <c r="AZ166" s="5">
        <f>[1]Capital!AY9+[1]Capital!AY11+[1]Capital!AY13+[1]Capital!AY15+[1]Capital!AY17+[1]Capital!AY19+[1]Capital!AY21+[1]Capital!AY23+[1]Capital!AY25+[1]Capital!AY27+[1]Capital!AY41</f>
        <v>5581284.7027599989</v>
      </c>
      <c r="BA166" s="5">
        <f>[1]Capital!AZ9+[1]Capital!AZ11+[1]Capital!AZ13+[1]Capital!AZ15+[1]Capital!AZ17+[1]Capital!AZ19+[1]Capital!AZ21+[1]Capital!AZ23+[1]Capital!AZ25+[1]Capital!AZ27+[1]Capital!AZ41</f>
        <v>5658374.6022300003</v>
      </c>
      <c r="BB166" s="5">
        <f>[1]Capital!BA9+[1]Capital!BA11+[1]Capital!BA13+[1]Capital!BA15+[1]Capital!BA17+[1]Capital!BA19+[1]Capital!BA21+[1]Capital!BA23+[1]Capital!BA25+[1]Capital!BA27+[1]Capital!BA41</f>
        <v>6246370.856639999</v>
      </c>
      <c r="BC166" s="5">
        <f>[1]Capital!BB9+[1]Capital!BB11+[1]Capital!BB13+[1]Capital!BB15+[1]Capital!BB17+[1]Capital!BB19+[1]Capital!BB21+[1]Capital!BB23+[1]Capital!BB25+[1]Capital!BB27+[1]Capital!BB41</f>
        <v>6372193.4947399991</v>
      </c>
      <c r="BD166" s="5">
        <f>[1]Capital!BC9+[1]Capital!BC11+[1]Capital!BC13+[1]Capital!BC15+[1]Capital!BC17+[1]Capital!BC19+[1]Capital!BC21+[1]Capital!BC23+[1]Capital!BC25+[1]Capital!BC27+[1]Capital!BC41</f>
        <v>6499612.5427000001</v>
      </c>
      <c r="BE166" s="5">
        <f>[1]Capital!BD9+[1]Capital!BD11+[1]Capital!BD13+[1]Capital!BD15+[1]Capital!BD17+[1]Capital!BD19+[1]Capital!BD21+[1]Capital!BD23+[1]Capital!BD25+[1]Capital!BD27+[1]Capital!BD41</f>
        <v>6628559.49125</v>
      </c>
      <c r="BF166" s="5">
        <f>[1]Capital!BE9+[1]Capital!BE11+[1]Capital!BE13+[1]Capital!BE15+[1]Capital!BE17+[1]Capital!BE19+[1]Capital!BE21+[1]Capital!BE23+[1]Capital!BE25+[1]Capital!BE27+[1]Capital!BE41</f>
        <v>6758966.3143799994</v>
      </c>
    </row>
    <row r="167" spans="1:58" x14ac:dyDescent="0.35">
      <c r="B167" t="s">
        <v>9</v>
      </c>
      <c r="C167" s="5">
        <f>[1]Capital!B29+[1]Capital!B31+[1]Capital!B33+[1]Capital!B35</f>
        <v>88561.469265999986</v>
      </c>
      <c r="D167" s="5">
        <f>[1]Capital!C29+[1]Capital!C31+[1]Capital!C33+[1]Capital!C35</f>
        <v>89608.593986000007</v>
      </c>
      <c r="E167" s="5">
        <f>[1]Capital!D29+[1]Capital!D31+[1]Capital!D33+[1]Capital!D35</f>
        <v>90688.423627000011</v>
      </c>
      <c r="F167" s="5">
        <f>[1]Capital!E29+[1]Capital!E31+[1]Capital!E33+[1]Capital!E35</f>
        <v>91805.446395000006</v>
      </c>
      <c r="G167" s="5">
        <f>[1]Capital!F29+[1]Capital!F31+[1]Capital!F33+[1]Capital!F35</f>
        <v>92962.692792000002</v>
      </c>
      <c r="H167" s="5">
        <f>[1]Capital!G29+[1]Capital!G31+[1]Capital!G33+[1]Capital!G35</f>
        <v>94162.076824000003</v>
      </c>
      <c r="I167" s="5">
        <f>[1]Capital!H29+[1]Capital!H31+[1]Capital!H33+[1]Capital!H35</f>
        <v>95400.400450999994</v>
      </c>
      <c r="J167" s="5">
        <f>[1]Capital!I29+[1]Capital!I31+[1]Capital!I33+[1]Capital!I35</f>
        <v>96676.077172000005</v>
      </c>
      <c r="K167" s="5">
        <f>[1]Capital!J29+[1]Capital!J31+[1]Capital!J33+[1]Capital!J35</f>
        <v>97988.168076000002</v>
      </c>
      <c r="L167" s="5">
        <f>[1]Capital!K29+[1]Capital!K31+[1]Capital!K33+[1]Capital!K35</f>
        <v>99335.946866999991</v>
      </c>
      <c r="M167" s="5">
        <f>[1]Capital!L29+[1]Capital!L31+[1]Capital!L33+[1]Capital!L35</f>
        <v>100726.267366</v>
      </c>
      <c r="N167" s="5">
        <f>[1]Capital!M29+[1]Capital!M31+[1]Capital!M33+[1]Capital!M35</f>
        <v>102154.55363699999</v>
      </c>
      <c r="O167" s="5">
        <f>[1]Capital!N29+[1]Capital!N31+[1]Capital!N33+[1]Capital!N35</f>
        <v>103618.311552</v>
      </c>
      <c r="P167" s="5">
        <f>[1]Capital!O29+[1]Capital!O31+[1]Capital!O33+[1]Capital!O35</f>
        <v>105116.06049999999</v>
      </c>
      <c r="Q167" s="5">
        <f>[1]Capital!P29+[1]Capital!P31+[1]Capital!P33+[1]Capital!P35</f>
        <v>106646.75245</v>
      </c>
      <c r="R167" s="5">
        <f>[1]Capital!Q29+[1]Capital!Q31+[1]Capital!Q33+[1]Capital!Q35</f>
        <v>108209.57891000001</v>
      </c>
      <c r="S167" s="5">
        <f>[1]Capital!R29+[1]Capital!R31+[1]Capital!R33+[1]Capital!R35</f>
        <v>109803.917705</v>
      </c>
      <c r="T167" s="5">
        <f>[1]Capital!S29+[1]Capital!S31+[1]Capital!S33+[1]Capital!S35</f>
        <v>111429.319793</v>
      </c>
      <c r="U167" s="5">
        <f>[1]Capital!T29+[1]Capital!T31+[1]Capital!T33+[1]Capital!T35</f>
        <v>113085.501411</v>
      </c>
      <c r="V167" s="5">
        <f>[1]Capital!U29+[1]Capital!U31+[1]Capital!U33+[1]Capital!U35</f>
        <v>114772.33208799998</v>
      </c>
      <c r="W167" s="5">
        <f>[1]Capital!V29+[1]Capital!V31+[1]Capital!V33+[1]Capital!V35</f>
        <v>116484.18200799999</v>
      </c>
      <c r="X167" s="5">
        <f>[1]Capital!W29+[1]Capital!W31+[1]Capital!W33+[1]Capital!W35</f>
        <v>118224.12847699999</v>
      </c>
      <c r="Y167" s="5">
        <f>[1]Capital!X29+[1]Capital!X31+[1]Capital!X33+[1]Capital!X35</f>
        <v>119993.81566600001</v>
      </c>
      <c r="Z167" s="5">
        <f>[1]Capital!Y29+[1]Capital!Y31+[1]Capital!Y33+[1]Capital!Y35</f>
        <v>121794.24010600001</v>
      </c>
      <c r="AA167" s="5">
        <f>[1]Capital!Z29+[1]Capital!Z31+[1]Capital!Z33+[1]Capital!Z35</f>
        <v>123626.173956</v>
      </c>
      <c r="AB167" s="5">
        <f>[1]Capital!AA29+[1]Capital!AA31+[1]Capital!AA33+[1]Capital!AA35</f>
        <v>125473.925317</v>
      </c>
      <c r="AC167" s="5">
        <f>[1]Capital!AB29+[1]Capital!AB31+[1]Capital!AB33+[1]Capital!AB35</f>
        <v>127338.90734499999</v>
      </c>
      <c r="AD167" s="5">
        <f>[1]Capital!AC29+[1]Capital!AC31+[1]Capital!AC33+[1]Capital!AC35</f>
        <v>129222.017299</v>
      </c>
      <c r="AE167" s="5">
        <f>[1]Capital!AD29+[1]Capital!AD31+[1]Capital!AD33+[1]Capital!AD35</f>
        <v>131123.916921</v>
      </c>
      <c r="AF167" s="5">
        <f>[1]Capital!AE29+[1]Capital!AE31+[1]Capital!AE33+[1]Capital!AE35</f>
        <v>133045.336014</v>
      </c>
      <c r="AG167" s="5">
        <f>[1]Capital!AF29+[1]Capital!AF31+[1]Capital!AF33+[1]Capital!AF35</f>
        <v>134987.13657100001</v>
      </c>
      <c r="AH167" s="5">
        <f>[1]Capital!AG29+[1]Capital!AG31+[1]Capital!AG33+[1]Capital!AG35</f>
        <v>136950.28221900002</v>
      </c>
      <c r="AI167" s="5">
        <f>[1]Capital!AH29+[1]Capital!AH31+[1]Capital!AH33+[1]Capital!AH35</f>
        <v>138935.782458</v>
      </c>
      <c r="AJ167" s="5">
        <f>[1]Capital!AI29+[1]Capital!AI31+[1]Capital!AI33+[1]Capital!AI35</f>
        <v>140944.640399</v>
      </c>
      <c r="AK167" s="5">
        <f>[1]Capital!AJ29+[1]Capital!AJ31+[1]Capital!AJ33+[1]Capital!AJ35</f>
        <v>142977.81443199998</v>
      </c>
      <c r="AL167" s="5">
        <f>[1]Capital!AK29+[1]Capital!AK31+[1]Capital!AK33+[1]Capital!AK35</f>
        <v>145036.19501</v>
      </c>
      <c r="AM167" s="5">
        <f>[1]Capital!AL29+[1]Capital!AL31+[1]Capital!AL33+[1]Capital!AL35</f>
        <v>147116.58022499998</v>
      </c>
      <c r="AN167" s="5">
        <f>[1]Capital!AM29+[1]Capital!AM31+[1]Capital!AM33+[1]Capital!AM35</f>
        <v>149217.73724300001</v>
      </c>
      <c r="AO167" s="5">
        <f>[1]Capital!AN29+[1]Capital!AN31+[1]Capital!AN33+[1]Capital!AN35</f>
        <v>151339.35127499999</v>
      </c>
      <c r="AP167" s="5">
        <f>[1]Capital!AO29+[1]Capital!AO31+[1]Capital!AO33+[1]Capital!AO35</f>
        <v>153481.532584</v>
      </c>
      <c r="AQ167" s="5">
        <f>[1]Capital!AP29+[1]Capital!AP31+[1]Capital!AP33+[1]Capital!AP35</f>
        <v>155644.63017300001</v>
      </c>
      <c r="AR167" s="5">
        <f>[1]Capital!AQ29+[1]Capital!AQ31+[1]Capital!AQ33+[1]Capital!AQ35</f>
        <v>157829.15088100001</v>
      </c>
      <c r="AS167" s="5">
        <f>[1]Capital!AR29+[1]Capital!AR31+[1]Capital!AR33+[1]Capital!AR35</f>
        <v>160035.71114600002</v>
      </c>
      <c r="AT167" s="5">
        <f>[1]Capital!AS29+[1]Capital!AS31+[1]Capital!AS33+[1]Capital!AS35</f>
        <v>162264.99974499998</v>
      </c>
      <c r="AU167" s="5">
        <f>[1]Capital!AT29+[1]Capital!AT31+[1]Capital!AT33+[1]Capital!AT35</f>
        <v>164517.74662599998</v>
      </c>
      <c r="AV167" s="5">
        <f>[1]Capital!AU29+[1]Capital!AU31+[1]Capital!AU33+[1]Capital!AU35</f>
        <v>166794.69827399999</v>
      </c>
      <c r="AW167" s="5">
        <f>[1]Capital!AV29+[1]Capital!AV31+[1]Capital!AV33+[1]Capital!AV35</f>
        <v>169096.96743699998</v>
      </c>
      <c r="AX167" s="5">
        <f>[1]Capital!AW29+[1]Capital!AW31+[1]Capital!AW33+[1]Capital!AW35</f>
        <v>171425.46867100001</v>
      </c>
      <c r="AY167" s="5">
        <f>[1]Capital!AX29+[1]Capital!AX31+[1]Capital!AX33+[1]Capital!AX35</f>
        <v>173781.00949400003</v>
      </c>
      <c r="AZ167" s="5">
        <f>[1]Capital!AY29+[1]Capital!AY31+[1]Capital!AY33+[1]Capital!AY35</f>
        <v>176164.33032000001</v>
      </c>
      <c r="BA167" s="5">
        <f>[1]Capital!AZ29+[1]Capital!AZ31+[1]Capital!AZ33+[1]Capital!AZ35</f>
        <v>178576.12228899999</v>
      </c>
      <c r="BB167" s="5">
        <f>[1]Capital!BA29+[1]Capital!BA31+[1]Capital!BA33+[1]Capital!BA35</f>
        <v>190473.653915</v>
      </c>
      <c r="BC167" s="5">
        <f>[1]Capital!BB29+[1]Capital!BB31+[1]Capital!BB33+[1]Capital!BB35</f>
        <v>193819.84670199998</v>
      </c>
      <c r="BD167" s="5">
        <f>[1]Capital!BC29+[1]Capital!BC31+[1]Capital!BC33+[1]Capital!BC35</f>
        <v>197228.11242799999</v>
      </c>
      <c r="BE167" s="5">
        <f>[1]Capital!BD29+[1]Capital!BD31+[1]Capital!BD33+[1]Capital!BD35</f>
        <v>200699.30374500001</v>
      </c>
      <c r="BF167" s="5">
        <f>[1]Capital!BE29+[1]Capital!BE31+[1]Capital!BE33+[1]Capital!BE35</f>
        <v>204234.30295299998</v>
      </c>
    </row>
    <row r="168" spans="1:58" x14ac:dyDescent="0.35">
      <c r="B168" t="s">
        <v>10</v>
      </c>
      <c r="C168" s="5">
        <f>[1]Capital!B37+[1]Capital!B39</f>
        <v>2425814.7522</v>
      </c>
      <c r="D168" s="5">
        <f>[1]Capital!C37+[1]Capital!C39</f>
        <v>2454366.3103999998</v>
      </c>
      <c r="E168" s="5">
        <f>[1]Capital!D37+[1]Capital!D39</f>
        <v>2483721.5929</v>
      </c>
      <c r="F168" s="5">
        <f>[1]Capital!E37+[1]Capital!E39</f>
        <v>2514041.4032999999</v>
      </c>
      <c r="G168" s="5">
        <f>[1]Capital!F37+[1]Capital!F39</f>
        <v>2545457.4739000001</v>
      </c>
      <c r="H168" s="5">
        <f>[1]Capital!G37+[1]Capital!G39</f>
        <v>2578071.0338999997</v>
      </c>
      <c r="I168" s="5">
        <f>[1]Capital!H37+[1]Capital!H39</f>
        <v>2611854.9687999999</v>
      </c>
      <c r="J168" s="5">
        <f>[1]Capital!I37+[1]Capital!I39</f>
        <v>2646800.0476000002</v>
      </c>
      <c r="K168" s="5">
        <f>[1]Capital!J37+[1]Capital!J39</f>
        <v>2682907.3775999998</v>
      </c>
      <c r="L168" s="5">
        <f>[1]Capital!K37+[1]Capital!K39</f>
        <v>2720181.4359999998</v>
      </c>
      <c r="M168" s="5">
        <f>[1]Capital!L37+[1]Capital!L39</f>
        <v>2758807.7577</v>
      </c>
      <c r="N168" s="5">
        <f>[1]Capital!M37+[1]Capital!M39</f>
        <v>2798723.5497999997</v>
      </c>
      <c r="O168" s="5">
        <f>[1]Capital!N37+[1]Capital!N39</f>
        <v>2839885.1687000003</v>
      </c>
      <c r="P168" s="5">
        <f>[1]Capital!O37+[1]Capital!O39</f>
        <v>2882262.7248</v>
      </c>
      <c r="Q168" s="5">
        <f>[1]Capital!P37+[1]Capital!P39</f>
        <v>2925831.915</v>
      </c>
      <c r="R168" s="5">
        <f>[1]Capital!Q37+[1]Capital!Q39</f>
        <v>2970570.9926</v>
      </c>
      <c r="S168" s="5">
        <f>[1]Capital!R37+[1]Capital!R39</f>
        <v>3016460.1132</v>
      </c>
      <c r="T168" s="5">
        <f>[1]Capital!S37+[1]Capital!S39</f>
        <v>3063481.3831000002</v>
      </c>
      <c r="U168" s="5">
        <f>[1]Capital!T37+[1]Capital!T39</f>
        <v>3111618.9092000001</v>
      </c>
      <c r="V168" s="5">
        <f>[1]Capital!U37+[1]Capital!U39</f>
        <v>3160858.7024000003</v>
      </c>
      <c r="W168" s="5">
        <f>[1]Capital!V37+[1]Capital!V39</f>
        <v>3211052.0767999999</v>
      </c>
      <c r="X168" s="5">
        <f>[1]Capital!W37+[1]Capital!W39</f>
        <v>3262237.0321</v>
      </c>
      <c r="Y168" s="5">
        <f>[1]Capital!X37+[1]Capital!X39</f>
        <v>3314436.7344</v>
      </c>
      <c r="Z168" s="5">
        <f>[1]Capital!Y37+[1]Capital!Y39</f>
        <v>3367663.0592999998</v>
      </c>
      <c r="AA168" s="5">
        <f>[1]Capital!Z37+[1]Capital!Z39</f>
        <v>3421922.5160999997</v>
      </c>
      <c r="AB168" s="5">
        <f>[1]Capital!AA37+[1]Capital!AA39</f>
        <v>3476821.4264000002</v>
      </c>
      <c r="AC168" s="5">
        <f>[1]Capital!AB37+[1]Capital!AB39</f>
        <v>3532314.5965999998</v>
      </c>
      <c r="AD168" s="5">
        <f>[1]Capital!AC37+[1]Capital!AC39</f>
        <v>3588373.7563999998</v>
      </c>
      <c r="AE168" s="5">
        <f>[1]Capital!AD37+[1]Capital!AD39</f>
        <v>3644977.8015000001</v>
      </c>
      <c r="AF168" s="5">
        <f>[1]Capital!AE37+[1]Capital!AE39</f>
        <v>3702114.7292999998</v>
      </c>
      <c r="AG168" s="5">
        <f>[1]Capital!AF37+[1]Capital!AF39</f>
        <v>3759781.2017000001</v>
      </c>
      <c r="AH168" s="5">
        <f>[1]Capital!AG37+[1]Capital!AG39</f>
        <v>3817980.6348000001</v>
      </c>
      <c r="AI168" s="5">
        <f>[1]Capital!AH37+[1]Capital!AH39</f>
        <v>3876720.9462000001</v>
      </c>
      <c r="AJ168" s="5">
        <f>[1]Capital!AI37+[1]Capital!AI39</f>
        <v>3936012.5954999998</v>
      </c>
      <c r="AK168" s="5">
        <f>[1]Capital!AJ37+[1]Capital!AJ39</f>
        <v>3995867.1521000001</v>
      </c>
      <c r="AL168" s="5">
        <f>[1]Capital!AK37+[1]Capital!AK39</f>
        <v>4056296.4017999996</v>
      </c>
      <c r="AM168" s="5">
        <f>[1]Capital!AL37+[1]Capital!AL39</f>
        <v>4117214.6132</v>
      </c>
      <c r="AN168" s="5">
        <f>[1]Capital!AM37+[1]Capital!AM39</f>
        <v>4178569.6765000001</v>
      </c>
      <c r="AO168" s="5">
        <f>[1]Capital!AN37+[1]Capital!AN39</f>
        <v>4240332.1859999998</v>
      </c>
      <c r="AP168" s="5">
        <f>[1]Capital!AO37+[1]Capital!AO39</f>
        <v>4302487.1961000003</v>
      </c>
      <c r="AQ168" s="5">
        <f>[1]Capital!AP37+[1]Capital!AP39</f>
        <v>4365030.2625000002</v>
      </c>
      <c r="AR168" s="5">
        <f>[1]Capital!AQ37+[1]Capital!AQ39</f>
        <v>4427965.1791000003</v>
      </c>
      <c r="AS168" s="5">
        <f>[1]Capital!AR37+[1]Capital!AR39</f>
        <v>4491302.2568999995</v>
      </c>
      <c r="AT168" s="5">
        <f>[1]Capital!AS37+[1]Capital!AS39</f>
        <v>4555056.7986000003</v>
      </c>
      <c r="AU168" s="5">
        <f>[1]Capital!AT37+[1]Capital!AT39</f>
        <v>4619247.7501999997</v>
      </c>
      <c r="AV168" s="5">
        <f>[1]Capital!AU37+[1]Capital!AU39</f>
        <v>4683896.5971999997</v>
      </c>
      <c r="AW168" s="5">
        <f>[1]Capital!AV37+[1]Capital!AV39</f>
        <v>4749035.4183999998</v>
      </c>
      <c r="AX168" s="5">
        <f>[1]Capital!AW37+[1]Capital!AW39</f>
        <v>4814694.4593000002</v>
      </c>
      <c r="AY168" s="5">
        <f>[1]Capital!AX37+[1]Capital!AX39</f>
        <v>4880902.7228999995</v>
      </c>
      <c r="AZ168" s="5">
        <f>[1]Capital!AY37+[1]Capital!AY39</f>
        <v>4947688.0760000004</v>
      </c>
      <c r="BA168" s="5">
        <f>[1]Capital!AZ37+[1]Capital!AZ39</f>
        <v>5015077.3739</v>
      </c>
      <c r="BB168" s="5">
        <f>[1]Capital!BA37+[1]Capital!BA39</f>
        <v>5391191.7537000002</v>
      </c>
      <c r="BC168" s="5">
        <f>[1]Capital!BB37+[1]Capital!BB39</f>
        <v>5486764.8571000006</v>
      </c>
      <c r="BD168" s="5">
        <f>[1]Capital!BC37+[1]Capital!BC39</f>
        <v>5583821.4360000007</v>
      </c>
      <c r="BE168" s="5">
        <f>[1]Capital!BD37+[1]Capital!BD39</f>
        <v>5682371.216</v>
      </c>
      <c r="BF168" s="5">
        <f>[1]Capital!BE37+[1]Capital!BE39</f>
        <v>5782425.4280000003</v>
      </c>
    </row>
    <row r="169" spans="1:58" x14ac:dyDescent="0.35">
      <c r="B169" t="s">
        <v>29</v>
      </c>
      <c r="C169" s="5">
        <f>[1]Capital!B43+[1]Capital!B47</f>
        <v>22930.647962299998</v>
      </c>
      <c r="D169" s="5">
        <f>[1]Capital!C43+[1]Capital!C47</f>
        <v>23191.660401099998</v>
      </c>
      <c r="E169" s="5">
        <f>[1]Capital!D43+[1]Capital!D47</f>
        <v>23447.8429578</v>
      </c>
      <c r="F169" s="5">
        <f>[1]Capital!E43+[1]Capital!E47</f>
        <v>23699.838781899998</v>
      </c>
      <c r="G169" s="5">
        <f>[1]Capital!F43+[1]Capital!F47</f>
        <v>23949.752385799999</v>
      </c>
      <c r="H169" s="5">
        <f>[1]Capital!G43+[1]Capital!G47</f>
        <v>24200.066042599999</v>
      </c>
      <c r="I169" s="5">
        <f>[1]Capital!H43+[1]Capital!H47</f>
        <v>24452.219570599998</v>
      </c>
      <c r="J169" s="5">
        <f>[1]Capital!I43+[1]Capital!I47</f>
        <v>24707.5857521</v>
      </c>
      <c r="K169" s="5">
        <f>[1]Capital!J43+[1]Capital!J47</f>
        <v>24967.296806599999</v>
      </c>
      <c r="L169" s="5">
        <f>[1]Capital!K43+[1]Capital!K47</f>
        <v>25232.198608900002</v>
      </c>
      <c r="M169" s="5">
        <f>[1]Capital!L43+[1]Capital!L47</f>
        <v>25504.353024300002</v>
      </c>
      <c r="N169" s="5">
        <f>[1]Capital!M43+[1]Capital!M47</f>
        <v>25783.529653900001</v>
      </c>
      <c r="O169" s="5">
        <f>[1]Capital!N43+[1]Capital!N47</f>
        <v>26069.618658200001</v>
      </c>
      <c r="P169" s="5">
        <f>[1]Capital!O43+[1]Capital!O47</f>
        <v>26362.589626600002</v>
      </c>
      <c r="Q169" s="5">
        <f>[1]Capital!P43+[1]Capital!P47</f>
        <v>26662.414277</v>
      </c>
      <c r="R169" s="5">
        <f>[1]Capital!Q43+[1]Capital!Q47</f>
        <v>26969.0439468</v>
      </c>
      <c r="S169" s="5">
        <f>[1]Capital!R43+[1]Capital!R47</f>
        <v>27282.4109259</v>
      </c>
      <c r="T169" s="5">
        <f>[1]Capital!S43+[1]Capital!S47</f>
        <v>27602.436214500001</v>
      </c>
      <c r="U169" s="5">
        <f>[1]Capital!T43+[1]Capital!T47</f>
        <v>27929.0373482</v>
      </c>
      <c r="V169" s="5">
        <f>[1]Capital!U43+[1]Capital!U47</f>
        <v>28262.134362000001</v>
      </c>
      <c r="W169" s="5">
        <f>[1]Capital!V43+[1]Capital!V47</f>
        <v>28600.567961200002</v>
      </c>
      <c r="X169" s="5">
        <f>[1]Capital!W43+[1]Capital!W47</f>
        <v>28944.746195799999</v>
      </c>
      <c r="Y169" s="5">
        <f>[1]Capital!X43+[1]Capital!X47</f>
        <v>29294.8921371</v>
      </c>
      <c r="Z169" s="5">
        <f>[1]Capital!Y43+[1]Capital!Y47</f>
        <v>29651.105916300003</v>
      </c>
      <c r="AA169" s="5">
        <f>[1]Capital!Z43+[1]Capital!Z47</f>
        <v>30013.4434526</v>
      </c>
      <c r="AB169" s="5">
        <f>[1]Capital!AA43+[1]Capital!AA47</f>
        <v>30378.809379000002</v>
      </c>
      <c r="AC169" s="5">
        <f>[1]Capital!AB43+[1]Capital!AB47</f>
        <v>30747.122574899997</v>
      </c>
      <c r="AD169" s="5">
        <f>[1]Capital!AC43+[1]Capital!AC47</f>
        <v>31118.362427</v>
      </c>
      <c r="AE169" s="5">
        <f>[1]Capital!AD43+[1]Capital!AD47</f>
        <v>31492.487860999998</v>
      </c>
      <c r="AF169" s="5">
        <f>[1]Capital!AE43+[1]Capital!AE47</f>
        <v>31869.484005300001</v>
      </c>
      <c r="AG169" s="5">
        <f>[1]Capital!AF43+[1]Capital!AF47</f>
        <v>32249.3803138</v>
      </c>
      <c r="AH169" s="5">
        <f>[1]Capital!AG43+[1]Capital!AG47</f>
        <v>32632.249690799999</v>
      </c>
      <c r="AI169" s="5">
        <f>[1]Capital!AH43+[1]Capital!AH47</f>
        <v>33018.2000969</v>
      </c>
      <c r="AJ169" s="5">
        <f>[1]Capital!AI43+[1]Capital!AI47</f>
        <v>33407.364476099996</v>
      </c>
      <c r="AK169" s="5">
        <f>[1]Capital!AJ43+[1]Capital!AJ47</f>
        <v>33799.891620299997</v>
      </c>
      <c r="AL169" s="5">
        <f>[1]Capital!AK43+[1]Capital!AK47</f>
        <v>34195.938659199994</v>
      </c>
      <c r="AM169" s="5">
        <f>[1]Capital!AL43+[1]Capital!AL47</f>
        <v>34594.906595300003</v>
      </c>
      <c r="AN169" s="5">
        <f>[1]Capital!AM43+[1]Capital!AM47</f>
        <v>34996.5210219</v>
      </c>
      <c r="AO169" s="5">
        <f>[1]Capital!AN43+[1]Capital!AN47</f>
        <v>35400.693356300006</v>
      </c>
      <c r="AP169" s="5">
        <f>[1]Capital!AO43+[1]Capital!AO47</f>
        <v>35807.4267444</v>
      </c>
      <c r="AQ169" s="5">
        <f>[1]Capital!AP43+[1]Capital!AP47</f>
        <v>36216.777222899997</v>
      </c>
      <c r="AR169" s="5">
        <f>[1]Capital!AQ43+[1]Capital!AQ47</f>
        <v>36628.837439499999</v>
      </c>
      <c r="AS169" s="5">
        <f>[1]Capital!AR43+[1]Capital!AR47</f>
        <v>37043.727550599993</v>
      </c>
      <c r="AT169" s="5">
        <f>[1]Capital!AS43+[1]Capital!AS47</f>
        <v>37461.588393099999</v>
      </c>
      <c r="AU169" s="5">
        <f>[1]Capital!AT43+[1]Capital!AT47</f>
        <v>37882.575022000005</v>
      </c>
      <c r="AV169" s="5">
        <f>[1]Capital!AU43+[1]Capital!AU47</f>
        <v>38306.849917</v>
      </c>
      <c r="AW169" s="5">
        <f>[1]Capital!AV43+[1]Capital!AV47</f>
        <v>38734.640001800006</v>
      </c>
      <c r="AX169" s="5">
        <f>[1]Capital!AW43+[1]Capital!AW47</f>
        <v>39166.137875299995</v>
      </c>
      <c r="AY169" s="5">
        <f>[1]Capital!AX43+[1]Capital!AX47</f>
        <v>39601.508137600002</v>
      </c>
      <c r="AZ169" s="5">
        <f>[1]Capital!AY43+[1]Capital!AY47</f>
        <v>40040.922099799995</v>
      </c>
      <c r="BA169" s="5">
        <f>[1]Capital!AZ43+[1]Capital!AZ47</f>
        <v>40484.565203400001</v>
      </c>
      <c r="BB169" s="5">
        <f>[1]Capital!BA43+[1]Capital!BA47</f>
        <v>43271.201263000003</v>
      </c>
      <c r="BC169" s="5">
        <f>[1]Capital!BB43+[1]Capital!BB47</f>
        <v>43925.573724000002</v>
      </c>
      <c r="BD169" s="5">
        <f>[1]Capital!BC43+[1]Capital!BC47</f>
        <v>44590.604775</v>
      </c>
      <c r="BE169" s="5">
        <f>[1]Capital!BD43+[1]Capital!BD47</f>
        <v>45266.370203999999</v>
      </c>
      <c r="BF169" s="5">
        <f>[1]Capital!BE43+[1]Capital!BE47</f>
        <v>45952.961798999997</v>
      </c>
    </row>
    <row r="170" spans="1:58" x14ac:dyDescent="0.35">
      <c r="B170" t="s">
        <v>36</v>
      </c>
      <c r="C170" s="5">
        <f>[1]Capital!B45+[1]Capital!B49</f>
        <v>1942.1812264</v>
      </c>
      <c r="D170" s="5">
        <f>[1]Capital!C45+[1]Capital!C49</f>
        <v>1964.1139651000001</v>
      </c>
      <c r="E170" s="5">
        <f>[1]Capital!D45+[1]Capital!D49</f>
        <v>1985.4144655</v>
      </c>
      <c r="F170" s="5">
        <f>[1]Capital!E45+[1]Capital!E49</f>
        <v>2006.1488116</v>
      </c>
      <c r="G170" s="5">
        <f>[1]Capital!F45+[1]Capital!F49</f>
        <v>2026.5393736999999</v>
      </c>
      <c r="H170" s="5">
        <f>[1]Capital!G45+[1]Capital!G49</f>
        <v>2046.8383769</v>
      </c>
      <c r="I170" s="5">
        <f>[1]Capital!H45+[1]Capital!H49</f>
        <v>2067.2054673000002</v>
      </c>
      <c r="J170" s="5">
        <f>[1]Capital!I45+[1]Capital!I49</f>
        <v>2087.7823171</v>
      </c>
      <c r="K170" s="5">
        <f>[1]Capital!J45+[1]Capital!J49</f>
        <v>2108.6816563000002</v>
      </c>
      <c r="L170" s="5">
        <f>[1]Capital!K45+[1]Capital!K49</f>
        <v>2129.9871149999999</v>
      </c>
      <c r="M170" s="5">
        <f>[1]Capital!L45+[1]Capital!L49</f>
        <v>2151.8715192999998</v>
      </c>
      <c r="N170" s="5">
        <f>[1]Capital!M45+[1]Capital!M49</f>
        <v>2174.3284476999997</v>
      </c>
      <c r="O170" s="5">
        <f>[1]Capital!N45+[1]Capital!N49</f>
        <v>2197.3590383999999</v>
      </c>
      <c r="P170" s="5">
        <f>[1]Capital!O45+[1]Capital!O49</f>
        <v>2220.9674766000003</v>
      </c>
      <c r="Q170" s="5">
        <f>[1]Capital!P45+[1]Capital!P49</f>
        <v>2245.155714</v>
      </c>
      <c r="R170" s="5">
        <f>[1]Capital!Q45+[1]Capital!Q49</f>
        <v>2269.9223425</v>
      </c>
      <c r="S170" s="5">
        <f>[1]Capital!R45+[1]Capital!R49</f>
        <v>2295.2630931999997</v>
      </c>
      <c r="T170" s="5">
        <f>[1]Capital!S45+[1]Capital!S49</f>
        <v>2321.1717150999998</v>
      </c>
      <c r="U170" s="5">
        <f>[1]Capital!T45+[1]Capital!T49</f>
        <v>2347.6407648999998</v>
      </c>
      <c r="V170" s="5">
        <f>[1]Capital!U45+[1]Capital!U49</f>
        <v>2374.6622261000002</v>
      </c>
      <c r="W170" s="5">
        <f>[1]Capital!V45+[1]Capital!V49</f>
        <v>2402.1441449999998</v>
      </c>
      <c r="X170" s="5">
        <f>[1]Capital!W45+[1]Capital!W49</f>
        <v>2430.1142875999999</v>
      </c>
      <c r="Y170" s="5">
        <f>[1]Capital!X45+[1]Capital!X49</f>
        <v>2458.5851970000003</v>
      </c>
      <c r="Z170" s="5">
        <f>[1]Capital!Y45+[1]Capital!Y49</f>
        <v>2487.5603996999998</v>
      </c>
      <c r="AA170" s="5">
        <f>[1]Capital!Z45+[1]Capital!Z49</f>
        <v>2517.0402994999999</v>
      </c>
      <c r="AB170" s="5">
        <f>[1]Capital!AA45+[1]Capital!AA49</f>
        <v>2546.7821977000003</v>
      </c>
      <c r="AC170" s="5">
        <f>[1]Capital!AB45+[1]Capital!AB49</f>
        <v>2576.7741543000002</v>
      </c>
      <c r="AD170" s="5">
        <f>[1]Capital!AC45+[1]Capital!AC49</f>
        <v>2607.0064647999998</v>
      </c>
      <c r="AE170" s="5">
        <f>[1]Capital!AD45+[1]Capital!AD49</f>
        <v>2637.4685057000002</v>
      </c>
      <c r="AF170" s="5">
        <f>[1]Capital!AE45+[1]Capital!AE49</f>
        <v>2668.1526821999996</v>
      </c>
      <c r="AG170" s="5">
        <f>[1]Capital!AF45+[1]Capital!AF49</f>
        <v>2699.0557809000002</v>
      </c>
      <c r="AH170" s="5">
        <f>[1]Capital!AG45+[1]Capital!AG49</f>
        <v>2730.1787889999996</v>
      </c>
      <c r="AI170" s="5">
        <f>[1]Capital!AH45+[1]Capital!AH49</f>
        <v>2761.5261477999998</v>
      </c>
      <c r="AJ170" s="5">
        <f>[1]Capital!AI45+[1]Capital!AI49</f>
        <v>2793.104879</v>
      </c>
      <c r="AK170" s="5">
        <f>[1]Capital!AJ45+[1]Capital!AJ49</f>
        <v>2824.9238128000002</v>
      </c>
      <c r="AL170" s="5">
        <f>[1]Capital!AK45+[1]Capital!AK49</f>
        <v>2856.9929474999999</v>
      </c>
      <c r="AM170" s="5">
        <f>[1]Capital!AL45+[1]Capital!AL49</f>
        <v>2889.2644343000002</v>
      </c>
      <c r="AN170" s="5">
        <f>[1]Capital!AM45+[1]Capital!AM49</f>
        <v>2921.7155471999999</v>
      </c>
      <c r="AO170" s="5">
        <f>[1]Capital!AN45+[1]Capital!AN49</f>
        <v>2954.3375179</v>
      </c>
      <c r="AP170" s="5">
        <f>[1]Capital!AO45+[1]Capital!AO49</f>
        <v>2987.1287392999998</v>
      </c>
      <c r="AQ170" s="5">
        <f>[1]Capital!AP45+[1]Capital!AP49</f>
        <v>3020.0920698</v>
      </c>
      <c r="AR170" s="5">
        <f>[1]Capital!AQ45+[1]Capital!AQ49</f>
        <v>3053.2336878999999</v>
      </c>
      <c r="AS170" s="5">
        <f>[1]Capital!AR45+[1]Capital!AR49</f>
        <v>3086.5624164000001</v>
      </c>
      <c r="AT170" s="5">
        <f>[1]Capital!AS45+[1]Capital!AS49</f>
        <v>3120.0891627999999</v>
      </c>
      <c r="AU170" s="5">
        <f>[1]Capital!AT45+[1]Capital!AT49</f>
        <v>3153.8263900000002</v>
      </c>
      <c r="AV170" s="5">
        <f>[1]Capital!AU45+[1]Capital!AU49</f>
        <v>3187.7876275999997</v>
      </c>
      <c r="AW170" s="5">
        <f>[1]Capital!AV45+[1]Capital!AV49</f>
        <v>3221.9922220000003</v>
      </c>
      <c r="AX170" s="5">
        <f>[1]Capital!AW45+[1]Capital!AW49</f>
        <v>3256.4569181999996</v>
      </c>
      <c r="AY170" s="5">
        <f>[1]Capital!AX45+[1]Capital!AX49</f>
        <v>3291.1963126999999</v>
      </c>
      <c r="AZ170" s="5">
        <f>[1]Capital!AY45+[1]Capital!AY49</f>
        <v>3326.2252763000001</v>
      </c>
      <c r="BA170" s="5">
        <f>[1]Capital!AZ45+[1]Capital!AZ49</f>
        <v>3361.5595180999999</v>
      </c>
      <c r="BB170" s="5">
        <f>[1]Capital!BA45+[1]Capital!BA49</f>
        <v>3588.2409678999998</v>
      </c>
      <c r="BC170" s="5">
        <f>[1]Capital!BB45+[1]Capital!BB49</f>
        <v>3640.4128946999999</v>
      </c>
      <c r="BD170" s="5">
        <f>[1]Capital!BC45+[1]Capital!BC49</f>
        <v>3693.3943216000002</v>
      </c>
      <c r="BE170" s="5">
        <f>[1]Capital!BD45+[1]Capital!BD49</f>
        <v>3747.1915847999999</v>
      </c>
      <c r="BF170" s="5">
        <f>[1]Capital!BE45+[1]Capital!BE49</f>
        <v>3801.8124930999998</v>
      </c>
    </row>
    <row r="171" spans="1:58" x14ac:dyDescent="0.35">
      <c r="B171" t="s">
        <v>33</v>
      </c>
      <c r="C171" s="5">
        <f>[1]Capital!B51+[1]Capital!B53+[1]Capital!B55+[1]Capital!B57+[1]Capital!B59+[1]Capital!B61+[1]Capital!B63+[1]Capital!B65+[1]Capital!B67</f>
        <v>40302.096713759995</v>
      </c>
      <c r="D171" s="5">
        <f>[1]Capital!C51+[1]Capital!C53+[1]Capital!C55+[1]Capital!C57+[1]Capital!C59+[1]Capital!C61+[1]Capital!C63+[1]Capital!C65+[1]Capital!C67</f>
        <v>40759.510624930001</v>
      </c>
      <c r="E171" s="5">
        <f>[1]Capital!D51+[1]Capital!D53+[1]Capital!D55+[1]Capital!D57+[1]Capital!D59+[1]Capital!D61+[1]Capital!D63+[1]Capital!D65+[1]Capital!D67</f>
        <v>41206.675207150001</v>
      </c>
      <c r="F171" s="5">
        <f>[1]Capital!E51+[1]Capital!E53+[1]Capital!E55+[1]Capital!E57+[1]Capital!E59+[1]Capital!E61+[1]Capital!E63+[1]Capital!E65+[1]Capital!E67</f>
        <v>41642.179729310003</v>
      </c>
      <c r="G171" s="5">
        <f>[1]Capital!F51+[1]Capital!F53+[1]Capital!F55+[1]Capital!F57+[1]Capital!F59+[1]Capital!F61+[1]Capital!F63+[1]Capital!F65+[1]Capital!F67</f>
        <v>42067.16105106</v>
      </c>
      <c r="H171" s="5">
        <f>[1]Capital!G51+[1]Capital!G53+[1]Capital!G55+[1]Capital!G57+[1]Capital!G59+[1]Capital!G61+[1]Capital!G63+[1]Capital!G65+[1]Capital!G67</f>
        <v>42483.991788469997</v>
      </c>
      <c r="I171" s="5">
        <f>[1]Capital!H51+[1]Capital!H53+[1]Capital!H55+[1]Capital!H57+[1]Capital!H59+[1]Capital!H61+[1]Capital!H63+[1]Capital!H65+[1]Capital!H67</f>
        <v>42894.074909250005</v>
      </c>
      <c r="J171" s="5">
        <f>[1]Capital!I51+[1]Capital!I53+[1]Capital!I55+[1]Capital!I57+[1]Capital!I59+[1]Capital!I61+[1]Capital!I63+[1]Capital!I65+[1]Capital!I67</f>
        <v>43299.039717470005</v>
      </c>
      <c r="K171" s="5">
        <f>[1]Capital!J51+[1]Capital!J53+[1]Capital!J55+[1]Capital!J57+[1]Capital!J59+[1]Capital!J61+[1]Capital!J63+[1]Capital!J65+[1]Capital!J67</f>
        <v>43700.432811630009</v>
      </c>
      <c r="L171" s="5">
        <f>[1]Capital!K51+[1]Capital!K53+[1]Capital!K55+[1]Capital!K57+[1]Capital!K59+[1]Capital!K61+[1]Capital!K63+[1]Capital!K65+[1]Capital!K67</f>
        <v>44099.500900599996</v>
      </c>
      <c r="M171" s="5">
        <f>[1]Capital!L51+[1]Capital!L53+[1]Capital!L55+[1]Capital!L57+[1]Capital!L59+[1]Capital!L61+[1]Capital!L63+[1]Capital!L65+[1]Capital!L67</f>
        <v>44499.52344184</v>
      </c>
      <c r="N171" s="5">
        <f>[1]Capital!M51+[1]Capital!M53+[1]Capital!M55+[1]Capital!M57+[1]Capital!M59+[1]Capital!M61+[1]Capital!M63+[1]Capital!M65+[1]Capital!M67</f>
        <v>44900.426084959996</v>
      </c>
      <c r="O171" s="5">
        <f>[1]Capital!N51+[1]Capital!N53+[1]Capital!N55+[1]Capital!N57+[1]Capital!N59+[1]Capital!N61+[1]Capital!N63+[1]Capital!N65+[1]Capital!N67</f>
        <v>45301.977475500003</v>
      </c>
      <c r="P171" s="5">
        <f>[1]Capital!O51+[1]Capital!O53+[1]Capital!O55+[1]Capital!O57+[1]Capital!O59+[1]Capital!O61+[1]Capital!O63+[1]Capital!O65+[1]Capital!O67</f>
        <v>45704.096956530011</v>
      </c>
      <c r="Q171" s="5">
        <f>[1]Capital!P51+[1]Capital!P53+[1]Capital!P55+[1]Capital!P57+[1]Capital!P59+[1]Capital!P61+[1]Capital!P63+[1]Capital!P65+[1]Capital!P67</f>
        <v>46106.803824570001</v>
      </c>
      <c r="R171" s="5">
        <f>[1]Capital!Q51+[1]Capital!Q53+[1]Capital!Q55+[1]Capital!Q57+[1]Capital!Q59+[1]Capital!Q61+[1]Capital!Q63+[1]Capital!Q65+[1]Capital!Q67</f>
        <v>46510.175295749999</v>
      </c>
      <c r="S171" s="5">
        <f>[1]Capital!R51+[1]Capital!R53+[1]Capital!R55+[1]Capital!R57+[1]Capital!R59+[1]Capital!R61+[1]Capital!R63+[1]Capital!R65+[1]Capital!R67</f>
        <v>46914.333849579991</v>
      </c>
      <c r="T171" s="5">
        <f>[1]Capital!S51+[1]Capital!S53+[1]Capital!S55+[1]Capital!S57+[1]Capital!S59+[1]Capital!S61+[1]Capital!S63+[1]Capital!S65+[1]Capital!S67</f>
        <v>47319.448732010002</v>
      </c>
      <c r="U171" s="5">
        <f>[1]Capital!T51+[1]Capital!T53+[1]Capital!T55+[1]Capital!T57+[1]Capital!T59+[1]Capital!T61+[1]Capital!T63+[1]Capital!T65+[1]Capital!T67</f>
        <v>47725.74090456999</v>
      </c>
      <c r="V171" s="5">
        <f>[1]Capital!U51+[1]Capital!U53+[1]Capital!U55+[1]Capital!U57+[1]Capital!U59+[1]Capital!U61+[1]Capital!U63+[1]Capital!U65+[1]Capital!U67</f>
        <v>48133.486984730007</v>
      </c>
      <c r="W171" s="5">
        <f>[1]Capital!V51+[1]Capital!V53+[1]Capital!V55+[1]Capital!V57+[1]Capital!V59+[1]Capital!V61+[1]Capital!V63+[1]Capital!V65+[1]Capital!V67</f>
        <v>48541.33280453999</v>
      </c>
      <c r="X171" s="5">
        <f>[1]Capital!W51+[1]Capital!W53+[1]Capital!W55+[1]Capital!W57+[1]Capital!W59+[1]Capital!W61+[1]Capital!W63+[1]Capital!W65+[1]Capital!W67</f>
        <v>48950.201240539995</v>
      </c>
      <c r="Y171" s="5">
        <f>[1]Capital!X51+[1]Capital!X53+[1]Capital!X55+[1]Capital!X57+[1]Capital!X59+[1]Capital!X61+[1]Capital!X63+[1]Capital!X65+[1]Capital!X67</f>
        <v>49361.042679149985</v>
      </c>
      <c r="Z171" s="5">
        <f>[1]Capital!Y51+[1]Capital!Y53+[1]Capital!Y55+[1]Capital!Y57+[1]Capital!Y59+[1]Capital!Y61+[1]Capital!Y63+[1]Capital!Y65+[1]Capital!Y67</f>
        <v>49774.661638709986</v>
      </c>
      <c r="AA171" s="5">
        <f>[1]Capital!Z51+[1]Capital!Z53+[1]Capital!Z55+[1]Capital!Z57+[1]Capital!Z59+[1]Capital!Z61+[1]Capital!Z63+[1]Capital!Z65+[1]Capital!Z67</f>
        <v>50191.781636820007</v>
      </c>
      <c r="AB171" s="5">
        <f>[1]Capital!AA51+[1]Capital!AA53+[1]Capital!AA55+[1]Capital!AA57+[1]Capital!AA59+[1]Capital!AA61+[1]Capital!AA63+[1]Capital!AA65+[1]Capital!AA67</f>
        <v>50608.30018857</v>
      </c>
      <c r="AC171" s="5">
        <f>[1]Capital!AB51+[1]Capital!AB53+[1]Capital!AB55+[1]Capital!AB57+[1]Capital!AB59+[1]Capital!AB61+[1]Capital!AB63+[1]Capital!AB65+[1]Capital!AB67</f>
        <v>51024.136993830005</v>
      </c>
      <c r="AD171" s="5">
        <f>[1]Capital!AC51+[1]Capital!AC53+[1]Capital!AC55+[1]Capital!AC57+[1]Capital!AC59+[1]Capital!AC61+[1]Capital!AC63+[1]Capital!AC65+[1]Capital!AC67</f>
        <v>51439.820862859997</v>
      </c>
      <c r="AE171" s="5">
        <f>[1]Capital!AD51+[1]Capital!AD53+[1]Capital!AD55+[1]Capital!AD57+[1]Capital!AD59+[1]Capital!AD61+[1]Capital!AD63+[1]Capital!AD65+[1]Capital!AD67</f>
        <v>51855.992518790008</v>
      </c>
      <c r="AF171" s="5">
        <f>[1]Capital!AE51+[1]Capital!AE53+[1]Capital!AE55+[1]Capital!AE57+[1]Capital!AE59+[1]Capital!AE61+[1]Capital!AE63+[1]Capital!AE65+[1]Capital!AE67</f>
        <v>52273.355861539996</v>
      </c>
      <c r="AG171" s="5">
        <f>[1]Capital!AF51+[1]Capital!AF53+[1]Capital!AF55+[1]Capital!AF57+[1]Capital!AF59+[1]Capital!AF61+[1]Capital!AF63+[1]Capital!AF65+[1]Capital!AF67</f>
        <v>52692.671129329996</v>
      </c>
      <c r="AH171" s="5">
        <f>[1]Capital!AG51+[1]Capital!AG53+[1]Capital!AG55+[1]Capital!AG57+[1]Capital!AG59+[1]Capital!AG61+[1]Capital!AG63+[1]Capital!AG65+[1]Capital!AG67</f>
        <v>53114.739763019999</v>
      </c>
      <c r="AI171" s="5">
        <f>[1]Capital!AH51+[1]Capital!AH53+[1]Capital!AH55+[1]Capital!AH57+[1]Capital!AH59+[1]Capital!AH61+[1]Capital!AH63+[1]Capital!AH65+[1]Capital!AH67</f>
        <v>53540.382977940011</v>
      </c>
      <c r="AJ171" s="5">
        <f>[1]Capital!AI51+[1]Capital!AI53+[1]Capital!AI55+[1]Capital!AI57+[1]Capital!AI59+[1]Capital!AI61+[1]Capital!AI63+[1]Capital!AI65+[1]Capital!AI67</f>
        <v>53970.419915300001</v>
      </c>
      <c r="AK171" s="5">
        <f>[1]Capital!AJ51+[1]Capital!AJ53+[1]Capital!AJ55+[1]Capital!AJ57+[1]Capital!AJ59+[1]Capital!AJ61+[1]Capital!AJ63+[1]Capital!AJ65+[1]Capital!AJ67</f>
        <v>54405.648693600007</v>
      </c>
      <c r="AL171" s="5">
        <f>[1]Capital!AK51+[1]Capital!AK53+[1]Capital!AK55+[1]Capital!AK57+[1]Capital!AK59+[1]Capital!AK61+[1]Capital!AK63+[1]Capital!AK65+[1]Capital!AK67</f>
        <v>54846.831850399998</v>
      </c>
      <c r="AM171" s="5">
        <f>[1]Capital!AL51+[1]Capital!AL53+[1]Capital!AL55+[1]Capital!AL57+[1]Capital!AL59+[1]Capital!AL61+[1]Capital!AL63+[1]Capital!AL65+[1]Capital!AL67</f>
        <v>55293.564012550007</v>
      </c>
      <c r="AN171" s="5">
        <f>[1]Capital!AM51+[1]Capital!AM53+[1]Capital!AM55+[1]Capital!AM57+[1]Capital!AM59+[1]Capital!AM61+[1]Capital!AM63+[1]Capital!AM65+[1]Capital!AM67</f>
        <v>55745.733175919995</v>
      </c>
      <c r="AO171" s="5">
        <f>[1]Capital!AN51+[1]Capital!AN53+[1]Capital!AN55+[1]Capital!AN57+[1]Capital!AN59+[1]Capital!AN61+[1]Capital!AN63+[1]Capital!AN65+[1]Capital!AN67</f>
        <v>56203.501307060011</v>
      </c>
      <c r="AP171" s="5">
        <f>[1]Capital!AO51+[1]Capital!AO53+[1]Capital!AO55+[1]Capital!AO57+[1]Capital!AO59+[1]Capital!AO61+[1]Capital!AO63+[1]Capital!AO65+[1]Capital!AO67</f>
        <v>56667.181850879999</v>
      </c>
      <c r="AQ171" s="5">
        <f>[1]Capital!AP51+[1]Capital!AP53+[1]Capital!AP55+[1]Capital!AP57+[1]Capital!AP59+[1]Capital!AP61+[1]Capital!AP63+[1]Capital!AP65+[1]Capital!AP67</f>
        <v>57137.166675299995</v>
      </c>
      <c r="AR171" s="5">
        <f>[1]Capital!AQ51+[1]Capital!AQ53+[1]Capital!AQ55+[1]Capital!AQ57+[1]Capital!AQ59+[1]Capital!AQ61+[1]Capital!AQ63+[1]Capital!AQ65+[1]Capital!AQ67</f>
        <v>57613.888303700012</v>
      </c>
      <c r="AS171" s="5">
        <f>[1]Capital!AR51+[1]Capital!AR53+[1]Capital!AR55+[1]Capital!AR57+[1]Capital!AR59+[1]Capital!AR61+[1]Capital!AR63+[1]Capital!AR65+[1]Capital!AR67</f>
        <v>58097.798795130002</v>
      </c>
      <c r="AT171" s="5">
        <f>[1]Capital!AS51+[1]Capital!AS53+[1]Capital!AS55+[1]Capital!AS57+[1]Capital!AS59+[1]Capital!AS61+[1]Capital!AS63+[1]Capital!AS65+[1]Capital!AS67</f>
        <v>58589.356307840004</v>
      </c>
      <c r="AU171" s="5">
        <f>[1]Capital!AT51+[1]Capital!AT53+[1]Capital!AT55+[1]Capital!AT57+[1]Capital!AT59+[1]Capital!AT61+[1]Capital!AT63+[1]Capital!AT65+[1]Capital!AT67</f>
        <v>59089.014579339993</v>
      </c>
      <c r="AV171" s="5">
        <f>[1]Capital!AU51+[1]Capital!AU53+[1]Capital!AU55+[1]Capital!AU57+[1]Capital!AU59+[1]Capital!AU61+[1]Capital!AU63+[1]Capital!AU65+[1]Capital!AU67</f>
        <v>59597.210771980011</v>
      </c>
      <c r="AW171" s="5">
        <f>[1]Capital!AV51+[1]Capital!AV53+[1]Capital!AV55+[1]Capital!AV57+[1]Capital!AV59+[1]Capital!AV61+[1]Capital!AV63+[1]Capital!AV65+[1]Capital!AV67</f>
        <v>60114.435271690003</v>
      </c>
      <c r="AX171" s="5">
        <f>[1]Capital!AW51+[1]Capital!AW53+[1]Capital!AW55+[1]Capital!AW57+[1]Capital!AW59+[1]Capital!AW61+[1]Capital!AW63+[1]Capital!AW65+[1]Capital!AW67</f>
        <v>60640.98397519999</v>
      </c>
      <c r="AY171" s="5">
        <f>[1]Capital!AX51+[1]Capital!AX53+[1]Capital!AX55+[1]Capital!AX57+[1]Capital!AX59+[1]Capital!AX61+[1]Capital!AX63+[1]Capital!AX65+[1]Capital!AX67</f>
        <v>61177.005039850003</v>
      </c>
      <c r="AZ171" s="5">
        <f>[1]Capital!AY51+[1]Capital!AY53+[1]Capital!AY55+[1]Capital!AY57+[1]Capital!AY59+[1]Capital!AY61+[1]Capital!AY63+[1]Capital!AY65+[1]Capital!AY67</f>
        <v>61722.675767430002</v>
      </c>
      <c r="BA171" s="5">
        <f>[1]Capital!AZ51+[1]Capital!AZ53+[1]Capital!AZ55+[1]Capital!AZ57+[1]Capital!AZ59+[1]Capital!AZ61+[1]Capital!AZ63+[1]Capital!AZ65+[1]Capital!AZ67</f>
        <v>62278.258458599994</v>
      </c>
      <c r="BB171" s="5">
        <f>[1]Capital!BA51+[1]Capital!BA53+[1]Capital!BA55+[1]Capital!BA57+[1]Capital!BA59+[1]Capital!BA61+[1]Capital!BA63+[1]Capital!BA65+[1]Capital!BA67</f>
        <v>68008.589476100009</v>
      </c>
      <c r="BC171" s="5">
        <f>[1]Capital!BB51+[1]Capital!BB53+[1]Capital!BB55+[1]Capital!BB57+[1]Capital!BB59+[1]Capital!BB61+[1]Capital!BB63+[1]Capital!BB65+[1]Capital!BB67</f>
        <v>68908.919014700019</v>
      </c>
      <c r="BD171" s="5">
        <f>[1]Capital!BC51+[1]Capital!BC53+[1]Capital!BC55+[1]Capital!BC57+[1]Capital!BC59+[1]Capital!BC61+[1]Capital!BC63+[1]Capital!BC65+[1]Capital!BC67</f>
        <v>69826.220295000006</v>
      </c>
      <c r="BE171" s="5">
        <f>[1]Capital!BD51+[1]Capital!BD53+[1]Capital!BD55+[1]Capital!BD57+[1]Capital!BD59+[1]Capital!BD61+[1]Capital!BD63+[1]Capital!BD65+[1]Capital!BD67</f>
        <v>70760.591945599997</v>
      </c>
      <c r="BF171" s="5">
        <f>[1]Capital!BE51+[1]Capital!BE53+[1]Capital!BE55+[1]Capital!BE57+[1]Capital!BE59+[1]Capital!BE61+[1]Capital!BE63+[1]Capital!BE65+[1]Capital!BE67</f>
        <v>71712.145180200008</v>
      </c>
    </row>
    <row r="172" spans="1:58" x14ac:dyDescent="0.35"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</row>
    <row r="173" spans="1:58" x14ac:dyDescent="0.35">
      <c r="A173" s="12" t="s">
        <v>41</v>
      </c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</row>
    <row r="174" spans="1:58" x14ac:dyDescent="0.35">
      <c r="A174" t="s">
        <v>39</v>
      </c>
      <c r="B174" t="s">
        <v>40</v>
      </c>
      <c r="C174" s="5">
        <f>[1]Capital!B2</f>
        <v>5219791.7249999996</v>
      </c>
      <c r="D174" s="5">
        <f>[1]Capital!C2</f>
        <v>5273949.8779999996</v>
      </c>
      <c r="E174" s="5">
        <f>[1]Capital!D2</f>
        <v>5328143.2520000003</v>
      </c>
      <c r="F174" s="5">
        <f>[1]Capital!E2</f>
        <v>5383197.4850000003</v>
      </c>
      <c r="G174" s="5">
        <f>[1]Capital!F2</f>
        <v>5439609.9929999998</v>
      </c>
      <c r="H174" s="5">
        <f>[1]Capital!G2</f>
        <v>5497692.6100000003</v>
      </c>
      <c r="I174" s="5">
        <f>[1]Capital!H2</f>
        <v>5557453.4129999997</v>
      </c>
      <c r="J174" s="5">
        <f>[1]Capital!I2</f>
        <v>5618907.5810000002</v>
      </c>
      <c r="K174" s="5">
        <f>[1]Capital!J2</f>
        <v>5682083.1940000001</v>
      </c>
      <c r="L174" s="5">
        <f>[1]Capital!K2</f>
        <v>5747015.0530000003</v>
      </c>
      <c r="M174" s="5">
        <f>[1]Capital!L2</f>
        <v>5813712.2340000002</v>
      </c>
      <c r="N174" s="5">
        <f>[1]Capital!M2</f>
        <v>5882504.3030000003</v>
      </c>
      <c r="O174" s="5">
        <f>[1]Capital!N2</f>
        <v>5953556.0880000005</v>
      </c>
      <c r="P174" s="5">
        <f>[1]Capital!O2</f>
        <v>6026948.1900000004</v>
      </c>
      <c r="Q174" s="5">
        <f>[1]Capital!P2</f>
        <v>6102724.2570000002</v>
      </c>
      <c r="R174" s="5">
        <f>[1]Capital!Q2</f>
        <v>6180912.4450000003</v>
      </c>
      <c r="S174" s="5">
        <f>[1]Capital!R2</f>
        <v>6261515.8969999999</v>
      </c>
      <c r="T174" s="5">
        <f>[1]Capital!S2</f>
        <v>6344542.21</v>
      </c>
      <c r="U174" s="5">
        <f>[1]Capital!T2</f>
        <v>6430001.9110000003</v>
      </c>
      <c r="V174" s="5">
        <f>[1]Capital!U2</f>
        <v>6517906.8820000002</v>
      </c>
      <c r="W174" s="5">
        <f>[1]Capital!V2</f>
        <v>6608022.3090000004</v>
      </c>
      <c r="X174" s="5">
        <f>[1]Capital!W2</f>
        <v>6700437.6339999996</v>
      </c>
      <c r="Y174" s="5">
        <f>[1]Capital!X2</f>
        <v>6795220.0049999999</v>
      </c>
      <c r="Z174" s="5">
        <f>[1]Capital!Y2</f>
        <v>6892415.6780000003</v>
      </c>
      <c r="AA174" s="5">
        <f>[1]Capital!Z2</f>
        <v>6992058.5369999995</v>
      </c>
      <c r="AB174" s="5">
        <f>[1]Capital!AA2</f>
        <v>7093460.3099999996</v>
      </c>
      <c r="AC174" s="5">
        <f>[1]Capital!AB2</f>
        <v>7196532.3770000003</v>
      </c>
      <c r="AD174" s="5">
        <f>[1]Capital!AC2</f>
        <v>7301217.2539999997</v>
      </c>
      <c r="AE174" s="5">
        <f>[1]Capital!AD2</f>
        <v>7407467.8370000003</v>
      </c>
      <c r="AF174" s="5">
        <f>[1]Capital!AE2</f>
        <v>7515248.2249999996</v>
      </c>
      <c r="AG174" s="5">
        <f>[1]Capital!AF2</f>
        <v>7624532.6600000001</v>
      </c>
      <c r="AH174" s="5">
        <f>[1]Capital!AG2</f>
        <v>7735308.4850000003</v>
      </c>
      <c r="AI174" s="5">
        <f>[1]Capital!AH2</f>
        <v>7847565.0549999997</v>
      </c>
      <c r="AJ174" s="5">
        <f>[1]Capital!AI2</f>
        <v>7961291.4119999995</v>
      </c>
      <c r="AK174" s="5">
        <f>[1]Capital!AJ2</f>
        <v>8076474.4919999996</v>
      </c>
      <c r="AL174" s="5">
        <f>[1]Capital!AK2</f>
        <v>8193098.0120000001</v>
      </c>
      <c r="AM174" s="5">
        <f>[1]Capital!AL2</f>
        <v>8311024.1100000003</v>
      </c>
      <c r="AN174" s="5">
        <f>[1]Capital!AM2</f>
        <v>8430142.8509999998</v>
      </c>
      <c r="AO174" s="5">
        <f>[1]Capital!AN2</f>
        <v>8550365.7029999997</v>
      </c>
      <c r="AP174" s="5">
        <f>[1]Capital!AO2</f>
        <v>8671617.9330000002</v>
      </c>
      <c r="AQ174" s="5">
        <f>[1]Capital!AP2</f>
        <v>8793835.4220000003</v>
      </c>
      <c r="AR174" s="5">
        <f>[1]Capital!AQ2</f>
        <v>8916972.9360000007</v>
      </c>
      <c r="AS174" s="5">
        <f>[1]Capital!AR2</f>
        <v>9040990.6030000001</v>
      </c>
      <c r="AT174" s="5">
        <f>[1]Capital!AS2</f>
        <v>9165853.8870000001</v>
      </c>
      <c r="AU174" s="5">
        <f>[1]Capital!AT2</f>
        <v>9291533.1199999992</v>
      </c>
      <c r="AV174" s="5">
        <f>[1]Capital!AU2</f>
        <v>9418002.8550000004</v>
      </c>
      <c r="AW174" s="5">
        <f>[1]Capital!AV2</f>
        <v>9545290.9489999991</v>
      </c>
      <c r="AX174" s="5">
        <f>[1]Capital!AW2</f>
        <v>9673412.159</v>
      </c>
      <c r="AY174" s="5">
        <f>[1]Capital!AX2</f>
        <v>9802372.5</v>
      </c>
      <c r="AZ174" s="5">
        <f>[1]Capital!AY2</f>
        <v>9932172.9340000004</v>
      </c>
      <c r="BA174" s="5">
        <f>[1]Capital!AZ2</f>
        <v>10062812.029999999</v>
      </c>
      <c r="BB174" s="5">
        <f>[1]Capital!BA2</f>
        <v>11978567.880000001</v>
      </c>
      <c r="BC174" s="5">
        <f>[1]Capital!BB2</f>
        <v>12204228.35</v>
      </c>
      <c r="BD174" s="5">
        <f>[1]Capital!BC2</f>
        <v>12433206.91</v>
      </c>
      <c r="BE174" s="5">
        <f>[1]Capital!BD2</f>
        <v>12665453.859999999</v>
      </c>
      <c r="BF174" s="5">
        <f>[1]Capital!BE2</f>
        <v>12900919.949999999</v>
      </c>
    </row>
    <row r="175" spans="1:58" x14ac:dyDescent="0.35">
      <c r="B175" t="s">
        <v>7</v>
      </c>
      <c r="C175" s="5">
        <f>[1]Capital!B4+[1]Capital!B6</f>
        <v>49009.523358000006</v>
      </c>
      <c r="D175" s="5">
        <f>[1]Capital!C4+[1]Capital!C6</f>
        <v>49488.745254000001</v>
      </c>
      <c r="E175" s="5">
        <f>[1]Capital!D4+[1]Capital!D6</f>
        <v>49947.540793</v>
      </c>
      <c r="F175" s="5">
        <f>[1]Capital!E4+[1]Capital!E6</f>
        <v>50397.046091999997</v>
      </c>
      <c r="G175" s="5">
        <f>[1]Capital!F4+[1]Capital!F6</f>
        <v>50846.662444000001</v>
      </c>
      <c r="H175" s="5">
        <f>[1]Capital!G4+[1]Capital!G6</f>
        <v>51303.895066999998</v>
      </c>
      <c r="I175" s="5">
        <f>[1]Capital!H4+[1]Capital!H6</f>
        <v>51772.654703</v>
      </c>
      <c r="J175" s="5">
        <f>[1]Capital!I4+[1]Capital!I6</f>
        <v>52255.995726999994</v>
      </c>
      <c r="K175" s="5">
        <f>[1]Capital!J4+[1]Capital!J6</f>
        <v>52756.292322000001</v>
      </c>
      <c r="L175" s="5">
        <f>[1]Capital!K4+[1]Capital!K6</f>
        <v>53275.326186999999</v>
      </c>
      <c r="M175" s="5">
        <f>[1]Capital!L4+[1]Capital!L6</f>
        <v>53813.322837</v>
      </c>
      <c r="N175" s="5">
        <f>[1]Capital!M4+[1]Capital!M6</f>
        <v>54375.206822</v>
      </c>
      <c r="O175" s="5">
        <f>[1]Capital!N4+[1]Capital!N6</f>
        <v>54963.175221999998</v>
      </c>
      <c r="P175" s="5">
        <f>[1]Capital!O4+[1]Capital!O6</f>
        <v>55578.110485000005</v>
      </c>
      <c r="Q175" s="5">
        <f>[1]Capital!P4+[1]Capital!P6</f>
        <v>56220.321743</v>
      </c>
      <c r="R175" s="5">
        <f>[1]Capital!Q4+[1]Capital!Q6</f>
        <v>56889.835508000004</v>
      </c>
      <c r="S175" s="5">
        <f>[1]Capital!R4+[1]Capital!R6</f>
        <v>57586.314707000005</v>
      </c>
      <c r="T175" s="5">
        <f>[1]Capital!S4+[1]Capital!S6</f>
        <v>58309.387845999998</v>
      </c>
      <c r="U175" s="5">
        <f>[1]Capital!T4+[1]Capital!T6</f>
        <v>59058.641736000005</v>
      </c>
      <c r="V175" s="5">
        <f>[1]Capital!U4+[1]Capital!U6</f>
        <v>59833.642395999996</v>
      </c>
      <c r="W175" s="5">
        <f>[1]Capital!V4+[1]Capital!V6</f>
        <v>60631.638230999997</v>
      </c>
      <c r="X175" s="5">
        <f>[1]Capital!W4+[1]Capital!W6</f>
        <v>61452.818211999998</v>
      </c>
      <c r="Y175" s="5">
        <f>[1]Capital!X4+[1]Capital!X6</f>
        <v>62297.319226</v>
      </c>
      <c r="Z175" s="5">
        <f>[1]Capital!Y4+[1]Capital!Y6</f>
        <v>63165.156983999994</v>
      </c>
      <c r="AA175" s="5">
        <f>[1]Capital!Z4+[1]Capital!Z6</f>
        <v>64056.280389</v>
      </c>
      <c r="AB175" s="5">
        <f>[1]Capital!AA4+[1]Capital!AA6</f>
        <v>64963.909718000003</v>
      </c>
      <c r="AC175" s="5">
        <f>[1]Capital!AB4+[1]Capital!AB6</f>
        <v>65886.622275999995</v>
      </c>
      <c r="AD175" s="5">
        <f>[1]Capital!AC4+[1]Capital!AC6</f>
        <v>66823.570278999992</v>
      </c>
      <c r="AE175" s="5">
        <f>[1]Capital!AD4+[1]Capital!AD6</f>
        <v>67774.207479000004</v>
      </c>
      <c r="AF175" s="5">
        <f>[1]Capital!AE4+[1]Capital!AE6</f>
        <v>68738.253312999994</v>
      </c>
      <c r="AG175" s="5">
        <f>[1]Capital!AF4+[1]Capital!AF6</f>
        <v>69715.648505999998</v>
      </c>
      <c r="AH175" s="5">
        <f>[1]Capital!AG4+[1]Capital!AG6</f>
        <v>70706.557577999993</v>
      </c>
      <c r="AI175" s="5">
        <f>[1]Capital!AH4+[1]Capital!AH6</f>
        <v>71711.227998000002</v>
      </c>
      <c r="AJ175" s="5">
        <f>[1]Capital!AI4+[1]Capital!AI6</f>
        <v>72729.951180000004</v>
      </c>
      <c r="AK175" s="5">
        <f>[1]Capital!AJ4+[1]Capital!AJ6</f>
        <v>73763.02608299999</v>
      </c>
      <c r="AL175" s="5">
        <f>[1]Capital!AK4+[1]Capital!AK6</f>
        <v>74810.736913999994</v>
      </c>
      <c r="AM175" s="5">
        <f>[1]Capital!AL4+[1]Capital!AL6</f>
        <v>75872.298214000009</v>
      </c>
      <c r="AN175" s="5">
        <f>[1]Capital!AM4+[1]Capital!AM6</f>
        <v>76947.092290999994</v>
      </c>
      <c r="AO175" s="5">
        <f>[1]Capital!AN4+[1]Capital!AN6</f>
        <v>78034.741819999996</v>
      </c>
      <c r="AP175" s="5">
        <f>[1]Capital!AO4+[1]Capital!AO6</f>
        <v>79135.025167</v>
      </c>
      <c r="AQ175" s="5">
        <f>[1]Capital!AP4+[1]Capital!AP6</f>
        <v>80247.838567999992</v>
      </c>
      <c r="AR175" s="5">
        <f>[1]Capital!AQ4+[1]Capital!AQ6</f>
        <v>81373.280595000004</v>
      </c>
      <c r="AS175" s="5">
        <f>[1]Capital!AR4+[1]Capital!AR6</f>
        <v>82511.503339999996</v>
      </c>
      <c r="AT175" s="5">
        <f>[1]Capital!AS4+[1]Capital!AS6</f>
        <v>83662.710535999999</v>
      </c>
      <c r="AU175" s="5">
        <f>[1]Capital!AT4+[1]Capital!AT6</f>
        <v>84827.137639000008</v>
      </c>
      <c r="AV175" s="5">
        <f>[1]Capital!AU4+[1]Capital!AU6</f>
        <v>86005.035881000003</v>
      </c>
      <c r="AW175" s="5">
        <f>[1]Capital!AV4+[1]Capital!AV6</f>
        <v>87197.171789</v>
      </c>
      <c r="AX175" s="5">
        <f>[1]Capital!AW4+[1]Capital!AW6</f>
        <v>88404.147280999998</v>
      </c>
      <c r="AY175" s="5">
        <f>[1]Capital!AX4+[1]Capital!AX6</f>
        <v>89626.453187999999</v>
      </c>
      <c r="AZ175" s="5">
        <f>[1]Capital!AY4+[1]Capital!AY6</f>
        <v>90864.475580999992</v>
      </c>
      <c r="BA175" s="5">
        <f>[1]Capital!AZ4+[1]Capital!AZ6</f>
        <v>92118.513326</v>
      </c>
      <c r="BB175" s="5">
        <f>[1]Capital!BA4+[1]Capital!BA6</f>
        <v>105834.417663</v>
      </c>
      <c r="BC175" s="5">
        <f>[1]Capital!BB4+[1]Capital!BB6</f>
        <v>107731.277131</v>
      </c>
      <c r="BD175" s="5">
        <f>[1]Capital!BC4+[1]Capital!BC6</f>
        <v>109661.173695</v>
      </c>
      <c r="BE175" s="5">
        <f>[1]Capital!BD4+[1]Capital!BD6</f>
        <v>111624.429311</v>
      </c>
      <c r="BF175" s="5">
        <f>[1]Capital!BE4+[1]Capital!BE6</f>
        <v>113621.388359</v>
      </c>
    </row>
    <row r="176" spans="1:58" x14ac:dyDescent="0.35">
      <c r="B176" t="s">
        <v>30</v>
      </c>
      <c r="C176" s="5">
        <f>[1]Capital!B8+[1]Capital!B10+[1]Capital!B13+[1]Capital!B14+[1]Capital!B16+[1]Capital!B18+[1]Capital!B20+[1]Capital!B22+[1]Capital!B24+[1]Capital!B26+[1]Capital!B40</f>
        <v>2593267.7411079998</v>
      </c>
      <c r="D176" s="5">
        <f>[1]Capital!C8+[1]Capital!C10+[1]Capital!C13+[1]Capital!C14+[1]Capital!C16+[1]Capital!C18+[1]Capital!C20+[1]Capital!C22+[1]Capital!C24+[1]Capital!C26+[1]Capital!C40</f>
        <v>2619962.1823589997</v>
      </c>
      <c r="E176" s="5">
        <f>[1]Capital!D8+[1]Capital!D10+[1]Capital!D13+[1]Capital!D14+[1]Capital!D16+[1]Capital!D18+[1]Capital!D20+[1]Capital!D22+[1]Capital!D24+[1]Capital!D26+[1]Capital!D40</f>
        <v>2646749.7911839997</v>
      </c>
      <c r="F176" s="5">
        <f>[1]Capital!E8+[1]Capital!E10+[1]Capital!E13+[1]Capital!E14+[1]Capital!E16+[1]Capital!E18+[1]Capital!E20+[1]Capital!E22+[1]Capital!E24+[1]Capital!E26+[1]Capital!E40</f>
        <v>2674036.5035740002</v>
      </c>
      <c r="G176" s="5">
        <f>[1]Capital!F8+[1]Capital!F10+[1]Capital!F13+[1]Capital!F14+[1]Capital!F16+[1]Capital!F18+[1]Capital!F20+[1]Capital!F22+[1]Capital!F24+[1]Capital!F26+[1]Capital!F40</f>
        <v>2702039.0054629999</v>
      </c>
      <c r="H176" s="5">
        <f>[1]Capital!G8+[1]Capital!G10+[1]Capital!G13+[1]Capital!G14+[1]Capital!G16+[1]Capital!G18+[1]Capital!G20+[1]Capital!G22+[1]Capital!G24+[1]Capital!G26+[1]Capital!G40</f>
        <v>2730875.0102909999</v>
      </c>
      <c r="I176" s="5">
        <f>[1]Capital!H8+[1]Capital!H10+[1]Capital!H13+[1]Capital!H14+[1]Capital!H16+[1]Capital!H18+[1]Capital!H20+[1]Capital!H22+[1]Capital!H24+[1]Capital!H26+[1]Capital!H40</f>
        <v>2760525.5708100004</v>
      </c>
      <c r="J176" s="5">
        <f>[1]Capital!I8+[1]Capital!I10+[1]Capital!I13+[1]Capital!I14+[1]Capital!I16+[1]Capital!I18+[1]Capital!I20+[1]Capital!I22+[1]Capital!I24+[1]Capital!I26+[1]Capital!I40</f>
        <v>2790973.9236549996</v>
      </c>
      <c r="K176" s="5">
        <f>[1]Capital!J8+[1]Capital!J10+[1]Capital!J13+[1]Capital!J14+[1]Capital!J16+[1]Capital!J18+[1]Capital!J20+[1]Capital!J22+[1]Capital!J24+[1]Capital!J26+[1]Capital!J40</f>
        <v>2822214.847722</v>
      </c>
      <c r="L176" s="5">
        <f>[1]Capital!K8+[1]Capital!K10+[1]Capital!K13+[1]Capital!K14+[1]Capital!K16+[1]Capital!K18+[1]Capital!K20+[1]Capital!K22+[1]Capital!K24+[1]Capital!K26+[1]Capital!K40</f>
        <v>2854253.8306129999</v>
      </c>
      <c r="M176" s="5">
        <f>[1]Capital!L8+[1]Capital!L10+[1]Capital!L13+[1]Capital!L14+[1]Capital!L16+[1]Capital!L18+[1]Capital!L20+[1]Capital!L22+[1]Capital!L24+[1]Capital!L26+[1]Capital!L40</f>
        <v>2887052.1783599998</v>
      </c>
      <c r="N176" s="5">
        <f>[1]Capital!M8+[1]Capital!M10+[1]Capital!M13+[1]Capital!M14+[1]Capital!M16+[1]Capital!M18+[1]Capital!M20+[1]Capital!M22+[1]Capital!M24+[1]Capital!M26+[1]Capital!M40</f>
        <v>2920814.513055</v>
      </c>
      <c r="O176" s="5">
        <f>[1]Capital!N8+[1]Capital!N10+[1]Capital!N13+[1]Capital!N14+[1]Capital!N16+[1]Capital!N18+[1]Capital!N20+[1]Capital!N22+[1]Capital!N24+[1]Capital!N26+[1]Capital!N40</f>
        <v>2955643.8478410002</v>
      </c>
      <c r="P176" s="5">
        <f>[1]Capital!O8+[1]Capital!O10+[1]Capital!O13+[1]Capital!O14+[1]Capital!O16+[1]Capital!O18+[1]Capital!O20+[1]Capital!O22+[1]Capital!O24+[1]Capital!O26+[1]Capital!O40</f>
        <v>2991595.5078770001</v>
      </c>
      <c r="Q176" s="5">
        <f>[1]Capital!P8+[1]Capital!P10+[1]Capital!P13+[1]Capital!P14+[1]Capital!P16+[1]Capital!P18+[1]Capital!P20+[1]Capital!P22+[1]Capital!P24+[1]Capital!P26+[1]Capital!P40</f>
        <v>3028705.136041</v>
      </c>
      <c r="R176" s="5">
        <f>[1]Capital!Q8+[1]Capital!Q10+[1]Capital!Q13+[1]Capital!Q14+[1]Capital!Q16+[1]Capital!Q18+[1]Capital!Q20+[1]Capital!Q22+[1]Capital!Q24+[1]Capital!Q26+[1]Capital!Q40</f>
        <v>3067001.1125289998</v>
      </c>
      <c r="S176" s="5">
        <f>[1]Capital!R8+[1]Capital!R10+[1]Capital!R13+[1]Capital!R14+[1]Capital!R16+[1]Capital!R18+[1]Capital!R20+[1]Capital!R22+[1]Capital!R24+[1]Capital!R26+[1]Capital!R40</f>
        <v>3106499.6588750002</v>
      </c>
      <c r="T176" s="5">
        <f>[1]Capital!S8+[1]Capital!S10+[1]Capital!S13+[1]Capital!S14+[1]Capital!S16+[1]Capital!S18+[1]Capital!S20+[1]Capital!S22+[1]Capital!S24+[1]Capital!S26+[1]Capital!S40</f>
        <v>3147221.2194589996</v>
      </c>
      <c r="U176" s="5">
        <f>[1]Capital!T8+[1]Capital!T10+[1]Capital!T13+[1]Capital!T14+[1]Capital!T16+[1]Capital!T18+[1]Capital!T20+[1]Capital!T22+[1]Capital!T24+[1]Capital!T26+[1]Capital!T40</f>
        <v>3189189.111517</v>
      </c>
      <c r="V176" s="5">
        <f>[1]Capital!U8+[1]Capital!U10+[1]Capital!U13+[1]Capital!U14+[1]Capital!U16+[1]Capital!U18+[1]Capital!U20+[1]Capital!U22+[1]Capital!U24+[1]Capital!U26+[1]Capital!U40</f>
        <v>3232428.3053460005</v>
      </c>
      <c r="W176" s="5">
        <f>[1]Capital!V8+[1]Capital!V10+[1]Capital!V13+[1]Capital!V14+[1]Capital!V16+[1]Capital!V18+[1]Capital!V20+[1]Capital!V22+[1]Capital!V24+[1]Capital!V26+[1]Capital!V40</f>
        <v>3276857.0122870002</v>
      </c>
      <c r="X176" s="5">
        <f>[1]Capital!W8+[1]Capital!W10+[1]Capital!W13+[1]Capital!W14+[1]Capital!W16+[1]Capital!W18+[1]Capital!W20+[1]Capital!W22+[1]Capital!W24+[1]Capital!W26+[1]Capital!W40</f>
        <v>3322526.926403</v>
      </c>
      <c r="Y176" s="5">
        <f>[1]Capital!X8+[1]Capital!X10+[1]Capital!X13+[1]Capital!X14+[1]Capital!X16+[1]Capital!X18+[1]Capital!X20+[1]Capital!X22+[1]Capital!X24+[1]Capital!X26+[1]Capital!X40</f>
        <v>3369485.0290649999</v>
      </c>
      <c r="Z176" s="5">
        <f>[1]Capital!Y8+[1]Capital!Y10+[1]Capital!Y13+[1]Capital!Y14+[1]Capital!Y16+[1]Capital!Y18+[1]Capital!Y20+[1]Capital!Y22+[1]Capital!Y24+[1]Capital!Y26+[1]Capital!Y40</f>
        <v>3417770.4276609998</v>
      </c>
      <c r="AA176" s="5">
        <f>[1]Capital!Z8+[1]Capital!Z10+[1]Capital!Z13+[1]Capital!Z14+[1]Capital!Z16+[1]Capital!Z18+[1]Capital!Z20+[1]Capital!Z22+[1]Capital!Z24+[1]Capital!Z26+[1]Capital!Z40</f>
        <v>3467416.1196909999</v>
      </c>
      <c r="AB176" s="5">
        <f>[1]Capital!AA8+[1]Capital!AA10+[1]Capital!AA13+[1]Capital!AA14+[1]Capital!AA16+[1]Capital!AA18+[1]Capital!AA20+[1]Capital!AA22+[1]Capital!AA24+[1]Capital!AA26+[1]Capital!AA40</f>
        <v>3518140.0149699999</v>
      </c>
      <c r="AC176" s="5">
        <f>[1]Capital!AB8+[1]Capital!AB10+[1]Capital!AB13+[1]Capital!AB14+[1]Capital!AB16+[1]Capital!AB18+[1]Capital!AB20+[1]Capital!AB22+[1]Capital!AB24+[1]Capital!AB26+[1]Capital!AB40</f>
        <v>3569896.9516939996</v>
      </c>
      <c r="AD176" s="5">
        <f>[1]Capital!AC8+[1]Capital!AC10+[1]Capital!AC13+[1]Capital!AC14+[1]Capital!AC16+[1]Capital!AC18+[1]Capital!AC20+[1]Capital!AC22+[1]Capital!AC24+[1]Capital!AC26+[1]Capital!AC40</f>
        <v>3622658.0375920003</v>
      </c>
      <c r="AE176" s="5">
        <f>[1]Capital!AD8+[1]Capital!AD10+[1]Capital!AD13+[1]Capital!AD14+[1]Capital!AD16+[1]Capital!AD18+[1]Capital!AD20+[1]Capital!AD22+[1]Capital!AD24+[1]Capital!AD26+[1]Capital!AD40</f>
        <v>3676399.2867670003</v>
      </c>
      <c r="AF176" s="5">
        <f>[1]Capital!AE8+[1]Capital!AE10+[1]Capital!AE13+[1]Capital!AE14+[1]Capital!AE16+[1]Capital!AE18+[1]Capital!AE20+[1]Capital!AE22+[1]Capital!AE24+[1]Capital!AE26+[1]Capital!AE40</f>
        <v>3731099.9956339998</v>
      </c>
      <c r="AG176" s="5">
        <f>[1]Capital!AF8+[1]Capital!AF10+[1]Capital!AF13+[1]Capital!AF14+[1]Capital!AF16+[1]Capital!AF18+[1]Capital!AF20+[1]Capital!AF22+[1]Capital!AF24+[1]Capital!AF26+[1]Capital!AF40</f>
        <v>3786741.6950960001</v>
      </c>
      <c r="AH176" s="5">
        <f>[1]Capital!AG8+[1]Capital!AG10+[1]Capital!AG13+[1]Capital!AG14+[1]Capital!AG16+[1]Capital!AG18+[1]Capital!AG20+[1]Capital!AG22+[1]Capital!AG24+[1]Capital!AG26+[1]Capital!AG40</f>
        <v>3843310.1219319999</v>
      </c>
      <c r="AI176" s="5">
        <f>[1]Capital!AH8+[1]Capital!AH10+[1]Capital!AH13+[1]Capital!AH14+[1]Capital!AH16+[1]Capital!AH18+[1]Capital!AH20+[1]Capital!AH22+[1]Capital!AH24+[1]Capital!AH26+[1]Capital!AH40</f>
        <v>3900789.693126</v>
      </c>
      <c r="AJ176" s="5">
        <f>[1]Capital!AI8+[1]Capital!AI10+[1]Capital!AI13+[1]Capital!AI14+[1]Capital!AI16+[1]Capital!AI18+[1]Capital!AI20+[1]Capital!AI22+[1]Capital!AI24+[1]Capital!AI26+[1]Capital!AI40</f>
        <v>3959162.8590000002</v>
      </c>
      <c r="AK176" s="5">
        <f>[1]Capital!AJ8+[1]Capital!AJ10+[1]Capital!AJ13+[1]Capital!AJ14+[1]Capital!AJ16+[1]Capital!AJ18+[1]Capital!AJ20+[1]Capital!AJ22+[1]Capital!AJ24+[1]Capital!AJ26+[1]Capital!AJ40</f>
        <v>4018409.5042299996</v>
      </c>
      <c r="AL176" s="5">
        <f>[1]Capital!AK8+[1]Capital!AK10+[1]Capital!AK13+[1]Capital!AK14+[1]Capital!AK16+[1]Capital!AK18+[1]Capital!AK20+[1]Capital!AK22+[1]Capital!AK24+[1]Capital!AK26+[1]Capital!AK40</f>
        <v>4078506.580629</v>
      </c>
      <c r="AM176" s="5">
        <f>[1]Capital!AL8+[1]Capital!AL10+[1]Capital!AL13+[1]Capital!AL14+[1]Capital!AL16+[1]Capital!AL18+[1]Capital!AL20+[1]Capital!AL22+[1]Capital!AL24+[1]Capital!AL26+[1]Capital!AL40</f>
        <v>4139382.9293750003</v>
      </c>
      <c r="AN176" s="5">
        <f>[1]Capital!AM8+[1]Capital!AM10+[1]Capital!AM13+[1]Capital!AM14+[1]Capital!AM16+[1]Capital!AM18+[1]Capital!AM20+[1]Capital!AM22+[1]Capital!AM24+[1]Capital!AM26+[1]Capital!AM40</f>
        <v>4200969.656773</v>
      </c>
      <c r="AO176" s="5">
        <f>[1]Capital!AN8+[1]Capital!AN10+[1]Capital!AN13+[1]Capital!AN14+[1]Capital!AN16+[1]Capital!AN18+[1]Capital!AN20+[1]Capital!AN22+[1]Capital!AN24+[1]Capital!AN26+[1]Capital!AN40</f>
        <v>4263203.2136210008</v>
      </c>
      <c r="AP176" s="5">
        <f>[1]Capital!AO8+[1]Capital!AO10+[1]Capital!AO13+[1]Capital!AO14+[1]Capital!AO16+[1]Capital!AO18+[1]Capital!AO20+[1]Capital!AO22+[1]Capital!AO24+[1]Capital!AO26+[1]Capital!AO40</f>
        <v>4326024.2593719997</v>
      </c>
      <c r="AQ176" s="5">
        <f>[1]Capital!AP8+[1]Capital!AP10+[1]Capital!AP13+[1]Capital!AP14+[1]Capital!AP16+[1]Capital!AP18+[1]Capital!AP20+[1]Capital!AP22+[1]Capital!AP24+[1]Capital!AP26+[1]Capital!AP40</f>
        <v>4389376.9593590004</v>
      </c>
      <c r="AR176" s="5">
        <f>[1]Capital!AQ8+[1]Capital!AQ10+[1]Capital!AQ13+[1]Capital!AQ14+[1]Capital!AQ16+[1]Capital!AQ18+[1]Capital!AQ20+[1]Capital!AQ22+[1]Capital!AQ24+[1]Capital!AQ26+[1]Capital!AQ40</f>
        <v>4453214.0322010005</v>
      </c>
      <c r="AS176" s="5">
        <f>[1]Capital!AR8+[1]Capital!AR10+[1]Capital!AR13+[1]Capital!AR14+[1]Capital!AR16+[1]Capital!AR18+[1]Capital!AR20+[1]Capital!AR22+[1]Capital!AR24+[1]Capital!AR26+[1]Capital!AR40</f>
        <v>4517489.8371369997</v>
      </c>
      <c r="AT176" s="5">
        <f>[1]Capital!AS8+[1]Capital!AS10+[1]Capital!AS13+[1]Capital!AS14+[1]Capital!AS16+[1]Capital!AS18+[1]Capital!AS20+[1]Capital!AS22+[1]Capital!AS24+[1]Capital!AS26+[1]Capital!AS40</f>
        <v>4582161.0488589993</v>
      </c>
      <c r="AU176" s="5">
        <f>[1]Capital!AT8+[1]Capital!AT10+[1]Capital!AT13+[1]Capital!AT14+[1]Capital!AT16+[1]Capital!AT18+[1]Capital!AT20+[1]Capital!AT22+[1]Capital!AT24+[1]Capital!AT26+[1]Capital!AT40</f>
        <v>4647186.8874279996</v>
      </c>
      <c r="AV176" s="5">
        <f>[1]Capital!AU8+[1]Capital!AU10+[1]Capital!AU13+[1]Capital!AU14+[1]Capital!AU16+[1]Capital!AU18+[1]Capital!AU20+[1]Capital!AU22+[1]Capital!AU24+[1]Capital!AU26+[1]Capital!AU40</f>
        <v>4712529.1617959999</v>
      </c>
      <c r="AW176" s="5">
        <f>[1]Capital!AV8+[1]Capital!AV10+[1]Capital!AV13+[1]Capital!AV14+[1]Capital!AV16+[1]Capital!AV18+[1]Capital!AV20+[1]Capital!AV22+[1]Capital!AV24+[1]Capital!AV26+[1]Capital!AV40</f>
        <v>4778177.6357810004</v>
      </c>
      <c r="AX176" s="5">
        <f>[1]Capital!AW8+[1]Capital!AW10+[1]Capital!AW13+[1]Capital!AW14+[1]Capital!AW16+[1]Capital!AW18+[1]Capital!AW20+[1]Capital!AW22+[1]Capital!AW24+[1]Capital!AW26+[1]Capital!AW40</f>
        <v>4844116.6737969993</v>
      </c>
      <c r="AY176" s="5">
        <f>[1]Capital!AX8+[1]Capital!AX10+[1]Capital!AX13+[1]Capital!AX14+[1]Capital!AX16+[1]Capital!AX18+[1]Capital!AX20+[1]Capital!AX22+[1]Capital!AX24+[1]Capital!AX26+[1]Capital!AX40</f>
        <v>4910327.8383400002</v>
      </c>
      <c r="AZ176" s="5">
        <f>[1]Capital!AY8+[1]Capital!AY10+[1]Capital!AY13+[1]Capital!AY14+[1]Capital!AY16+[1]Capital!AY18+[1]Capital!AY20+[1]Capital!AY22+[1]Capital!AY24+[1]Capital!AY26+[1]Capital!AY40</f>
        <v>4976791.6648399998</v>
      </c>
      <c r="BA176" s="5">
        <f>[1]Capital!AZ8+[1]Capital!AZ10+[1]Capital!AZ13+[1]Capital!AZ14+[1]Capital!AZ16+[1]Capital!AZ18+[1]Capital!AZ20+[1]Capital!AZ22+[1]Capital!AZ24+[1]Capital!AZ26+[1]Capital!AZ40</f>
        <v>5043488.9320799997</v>
      </c>
      <c r="BB176" s="5">
        <f>[1]Capital!BA8+[1]Capital!BA10+[1]Capital!BA13+[1]Capital!BA14+[1]Capital!BA16+[1]Capital!BA18+[1]Capital!BA20+[1]Capital!BA22+[1]Capital!BA24+[1]Capital!BA26+[1]Capital!BA40</f>
        <v>6209852.2842600001</v>
      </c>
      <c r="BC176" s="5">
        <f>[1]Capital!BB8+[1]Capital!BB10+[1]Capital!BB13+[1]Capital!BB14+[1]Capital!BB16+[1]Capital!BB18+[1]Capital!BB20+[1]Capital!BB22+[1]Capital!BB24+[1]Capital!BB26+[1]Capital!BB40</f>
        <v>6334641.4243200002</v>
      </c>
      <c r="BD176" s="5">
        <f>[1]Capital!BC8+[1]Capital!BC10+[1]Capital!BC13+[1]Capital!BC14+[1]Capital!BC16+[1]Capital!BC18+[1]Capital!BC20+[1]Capital!BC22+[1]Capital!BC24+[1]Capital!BC26+[1]Capital!BC40</f>
        <v>6461142.51413</v>
      </c>
      <c r="BE176" s="5">
        <f>[1]Capital!BD8+[1]Capital!BD10+[1]Capital!BD13+[1]Capital!BD14+[1]Capital!BD16+[1]Capital!BD18+[1]Capital!BD20+[1]Capital!BD22+[1]Capital!BD24+[1]Capital!BD26+[1]Capital!BD40</f>
        <v>6589295.0747100003</v>
      </c>
      <c r="BF176" s="5">
        <f>[1]Capital!BE8+[1]Capital!BE10+[1]Capital!BE13+[1]Capital!BE14+[1]Capital!BE16+[1]Capital!BE18+[1]Capital!BE20+[1]Capital!BE22+[1]Capital!BE24+[1]Capital!BE26+[1]Capital!BE40</f>
        <v>6719038.0679900004</v>
      </c>
    </row>
    <row r="177" spans="1:58" x14ac:dyDescent="0.35">
      <c r="B177" t="s">
        <v>9</v>
      </c>
      <c r="C177" s="5">
        <f>[1]Capital!B28+[1]Capital!B30+[1]Capital!B32+[1]Capital!B34</f>
        <v>88414.128259000005</v>
      </c>
      <c r="D177" s="5">
        <f>[1]Capital!C28+[1]Capital!C30+[1]Capital!C32+[1]Capital!C34</f>
        <v>89249.940673999998</v>
      </c>
      <c r="E177" s="5">
        <f>[1]Capital!D28+[1]Capital!D30+[1]Capital!D32+[1]Capital!D34</f>
        <v>90086.815920000008</v>
      </c>
      <c r="F177" s="5">
        <f>[1]Capital!E28+[1]Capital!E30+[1]Capital!E32+[1]Capital!E34</f>
        <v>90941.324632999997</v>
      </c>
      <c r="G177" s="5">
        <f>[1]Capital!F28+[1]Capital!F30+[1]Capital!F32+[1]Capital!F34</f>
        <v>91821.477976000009</v>
      </c>
      <c r="H177" s="5">
        <f>[1]Capital!G28+[1]Capital!G30+[1]Capital!G32+[1]Capital!G34</f>
        <v>92731.495443000007</v>
      </c>
      <c r="I177" s="5">
        <f>[1]Capital!H28+[1]Capital!H30+[1]Capital!H32+[1]Capital!H34</f>
        <v>93669.336945999996</v>
      </c>
      <c r="J177" s="5">
        <f>[1]Capital!I28+[1]Capital!I30+[1]Capital!I32+[1]Capital!I34</f>
        <v>94634.088828000007</v>
      </c>
      <c r="K177" s="5">
        <f>[1]Capital!J28+[1]Capital!J30+[1]Capital!J32+[1]Capital!J34</f>
        <v>95625.189560999992</v>
      </c>
      <c r="L177" s="5">
        <f>[1]Capital!K28+[1]Capital!K30+[1]Capital!K32+[1]Capital!K34</f>
        <v>96642.074460000003</v>
      </c>
      <c r="M177" s="5">
        <f>[1]Capital!L28+[1]Capital!L30+[1]Capital!L32+[1]Capital!L34</f>
        <v>97678.963774000003</v>
      </c>
      <c r="N177" s="5">
        <f>[1]Capital!M28+[1]Capital!M30+[1]Capital!M32+[1]Capital!M34</f>
        <v>98747.017819000001</v>
      </c>
      <c r="O177" s="5">
        <f>[1]Capital!N28+[1]Capital!N30+[1]Capital!N32+[1]Capital!N34</f>
        <v>99849.425820999997</v>
      </c>
      <c r="P177" s="5">
        <f>[1]Capital!O28+[1]Capital!O30+[1]Capital!O32+[1]Capital!O34</f>
        <v>100986.319982</v>
      </c>
      <c r="Q177" s="5">
        <f>[1]Capital!P28+[1]Capital!P30+[1]Capital!P32+[1]Capital!P34</f>
        <v>102156.83841999999</v>
      </c>
      <c r="R177" s="5">
        <f>[1]Capital!Q28+[1]Capital!Q30+[1]Capital!Q32+[1]Capital!Q34</f>
        <v>103359.855025</v>
      </c>
      <c r="S177" s="5">
        <f>[1]Capital!R28+[1]Capital!R30+[1]Capital!R32+[1]Capital!R34</f>
        <v>104593.61343100001</v>
      </c>
      <c r="T177" s="5">
        <f>[1]Capital!S28+[1]Capital!S30+[1]Capital!S32+[1]Capital!S34</f>
        <v>105856.81466399999</v>
      </c>
      <c r="U177" s="5">
        <f>[1]Capital!T28+[1]Capital!T30+[1]Capital!T32+[1]Capital!T34</f>
        <v>107148.435384</v>
      </c>
      <c r="V177" s="5">
        <f>[1]Capital!U28+[1]Capital!U30+[1]Capital!U32+[1]Capital!U34</f>
        <v>108467.648656</v>
      </c>
      <c r="W177" s="5">
        <f>[1]Capital!V28+[1]Capital!V30+[1]Capital!V32+[1]Capital!V34</f>
        <v>109808.66614900001</v>
      </c>
      <c r="X177" s="5">
        <f>[1]Capital!W28+[1]Capital!W30+[1]Capital!W32+[1]Capital!W34</f>
        <v>111173.669559</v>
      </c>
      <c r="Y177" s="5">
        <f>[1]Capital!X28+[1]Capital!X30+[1]Capital!X32+[1]Capital!X34</f>
        <v>112563.59354599999</v>
      </c>
      <c r="Z177" s="5">
        <f>[1]Capital!Y28+[1]Capital!Y30+[1]Capital!Y32+[1]Capital!Y34</f>
        <v>113978.83196500002</v>
      </c>
      <c r="AA177" s="5">
        <f>[1]Capital!Z28+[1]Capital!Z30+[1]Capital!Z32+[1]Capital!Z34</f>
        <v>115419.628088</v>
      </c>
      <c r="AB177" s="5">
        <f>[1]Capital!AA28+[1]Capital!AA30+[1]Capital!AA32+[1]Capital!AA34</f>
        <v>116871.492921</v>
      </c>
      <c r="AC177" s="5">
        <f>[1]Capital!AB28+[1]Capital!AB30+[1]Capital!AB32+[1]Capital!AB34</f>
        <v>118335.67524700001</v>
      </c>
      <c r="AD177" s="5">
        <f>[1]Capital!AC28+[1]Capital!AC30+[1]Capital!AC32+[1]Capital!AC34</f>
        <v>119812.858729</v>
      </c>
      <c r="AE177" s="5">
        <f>[1]Capital!AD28+[1]Capital!AD30+[1]Capital!AD32+[1]Capital!AD34</f>
        <v>121303.488144</v>
      </c>
      <c r="AF177" s="5">
        <f>[1]Capital!AE28+[1]Capital!AE30+[1]Capital!AE32+[1]Capital!AE34</f>
        <v>122808.073475</v>
      </c>
      <c r="AG177" s="5">
        <f>[1]Capital!AF28+[1]Capital!AF30+[1]Capital!AF32+[1]Capital!AF34</f>
        <v>124327.257277</v>
      </c>
      <c r="AH177" s="5">
        <f>[1]Capital!AG28+[1]Capital!AG30+[1]Capital!AG32+[1]Capital!AG34</f>
        <v>125861.97665299999</v>
      </c>
      <c r="AI177" s="5">
        <f>[1]Capital!AH28+[1]Capital!AH30+[1]Capital!AH32+[1]Capital!AH34</f>
        <v>127413.113625</v>
      </c>
      <c r="AJ177" s="5">
        <f>[1]Capital!AI28+[1]Capital!AI30+[1]Capital!AI32+[1]Capital!AI34</f>
        <v>128981.50565799999</v>
      </c>
      <c r="AK177" s="5">
        <f>[1]Capital!AJ28+[1]Capital!AJ30+[1]Capital!AJ32+[1]Capital!AJ34</f>
        <v>130567.931836</v>
      </c>
      <c r="AL177" s="5">
        <f>[1]Capital!AK28+[1]Capital!AK30+[1]Capital!AK32+[1]Capital!AK34</f>
        <v>132173.097454</v>
      </c>
      <c r="AM177" s="5">
        <f>[1]Capital!AL28+[1]Capital!AL30+[1]Capital!AL32+[1]Capital!AL34</f>
        <v>133795.89720400001</v>
      </c>
      <c r="AN177" s="5">
        <f>[1]Capital!AM28+[1]Capital!AM30+[1]Capital!AM32+[1]Capital!AM34</f>
        <v>135435.88174099999</v>
      </c>
      <c r="AO177" s="5">
        <f>[1]Capital!AN28+[1]Capital!AN30+[1]Capital!AN32+[1]Capital!AN34</f>
        <v>137092.949242</v>
      </c>
      <c r="AP177" s="5">
        <f>[1]Capital!AO28+[1]Capital!AO30+[1]Capital!AO32+[1]Capital!AO34</f>
        <v>138767.16125599999</v>
      </c>
      <c r="AQ177" s="5">
        <f>[1]Capital!AP28+[1]Capital!AP30+[1]Capital!AP32+[1]Capital!AP34</f>
        <v>140458.67641300001</v>
      </c>
      <c r="AR177" s="5">
        <f>[1]Capital!AQ28+[1]Capital!AQ30+[1]Capital!AQ32+[1]Capital!AQ34</f>
        <v>142168.032855</v>
      </c>
      <c r="AS177" s="5">
        <f>[1]Capital!AR28+[1]Capital!AR30+[1]Capital!AR32+[1]Capital!AR34</f>
        <v>143895.651343</v>
      </c>
      <c r="AT177" s="5">
        <f>[1]Capital!AS28+[1]Capital!AS30+[1]Capital!AS32+[1]Capital!AS34</f>
        <v>145641.91600900001</v>
      </c>
      <c r="AU177" s="5">
        <f>[1]Capital!AT28+[1]Capital!AT30+[1]Capital!AT32+[1]Capital!AT34</f>
        <v>147407.19722599999</v>
      </c>
      <c r="AV177" s="5">
        <f>[1]Capital!AU28+[1]Capital!AU30+[1]Capital!AU32+[1]Capital!AU34</f>
        <v>149191.851494</v>
      </c>
      <c r="AW177" s="5">
        <f>[1]Capital!AV28+[1]Capital!AV30+[1]Capital!AV32+[1]Capital!AV34</f>
        <v>150997.63513000001</v>
      </c>
      <c r="AX177" s="5">
        <f>[1]Capital!AW28+[1]Capital!AW30+[1]Capital!AW32+[1]Capital!AW34</f>
        <v>152825.49669</v>
      </c>
      <c r="AY177" s="5">
        <f>[1]Capital!AX28+[1]Capital!AX30+[1]Capital!AX32+[1]Capital!AX34</f>
        <v>154676.00816</v>
      </c>
      <c r="AZ177" s="5">
        <f>[1]Capital!AY28+[1]Capital!AY30+[1]Capital!AY32+[1]Capital!AY34</f>
        <v>156549.55560300002</v>
      </c>
      <c r="BA177" s="5">
        <f>[1]Capital!AZ28+[1]Capital!AZ30+[1]Capital!AZ32+[1]Capital!AZ34</f>
        <v>158446.42094700001</v>
      </c>
      <c r="BB177" s="5">
        <f>[1]Capital!BA28+[1]Capital!BA30+[1]Capital!BA32+[1]Capital!BA34</f>
        <v>188979.61027599999</v>
      </c>
      <c r="BC177" s="5">
        <f>[1]Capital!BB28+[1]Capital!BB30+[1]Capital!BB32+[1]Capital!BB34</f>
        <v>192243.26931099998</v>
      </c>
      <c r="BD177" s="5">
        <f>[1]Capital!BC28+[1]Capital!BC30+[1]Capital!BC32+[1]Capital!BC34</f>
        <v>195567.47106400001</v>
      </c>
      <c r="BE177" s="5">
        <f>[1]Capital!BD28+[1]Capital!BD30+[1]Capital!BD32+[1]Capital!BD34</f>
        <v>198953.04954800001</v>
      </c>
      <c r="BF177" s="5">
        <f>[1]Capital!BE28+[1]Capital!BE30+[1]Capital!BE32+[1]Capital!BE34</f>
        <v>202400.852641</v>
      </c>
    </row>
    <row r="178" spans="1:58" x14ac:dyDescent="0.35">
      <c r="B178" t="s">
        <v>10</v>
      </c>
      <c r="C178" s="5">
        <f>[1]Capital!B36+[1]Capital!B38</f>
        <v>2424015.9117999999</v>
      </c>
      <c r="D178" s="5">
        <f>[1]Capital!C36+[1]Capital!C38</f>
        <v>2449561.9739999999</v>
      </c>
      <c r="E178" s="5">
        <f>[1]Capital!D36+[1]Capital!D38</f>
        <v>2475112.3447000002</v>
      </c>
      <c r="F178" s="5">
        <f>[1]Capital!E36+[1]Capital!E38</f>
        <v>2501050.8010999998</v>
      </c>
      <c r="G178" s="5">
        <f>[1]Capital!F36+[1]Capital!F38</f>
        <v>2527631.8391</v>
      </c>
      <c r="H178" s="5">
        <f>[1]Capital!G36+[1]Capital!G38</f>
        <v>2555029.0485</v>
      </c>
      <c r="I178" s="5">
        <f>[1]Capital!H36+[1]Capital!H38</f>
        <v>2583262.0862999996</v>
      </c>
      <c r="J178" s="5">
        <f>[1]Capital!I36+[1]Capital!I38</f>
        <v>2612356.0285</v>
      </c>
      <c r="K178" s="5">
        <f>[1]Capital!J36+[1]Capital!J38</f>
        <v>2642338.6864</v>
      </c>
      <c r="L178" s="5">
        <f>[1]Capital!K36+[1]Capital!K38</f>
        <v>2673235.7064999999</v>
      </c>
      <c r="M178" s="5">
        <f>[1]Capital!L36+[1]Capital!L38</f>
        <v>2705101.8854</v>
      </c>
      <c r="N178" s="5">
        <f>[1]Capital!M36+[1]Capital!M38</f>
        <v>2738039.5192</v>
      </c>
      <c r="O178" s="5">
        <f>[1]Capital!N36+[1]Capital!N38</f>
        <v>2772101.9408</v>
      </c>
      <c r="P178" s="5">
        <f>[1]Capital!O36+[1]Capital!O38</f>
        <v>2807312.0482999999</v>
      </c>
      <c r="Q178" s="5">
        <f>[1]Capital!P36+[1]Capital!P38</f>
        <v>2843677.7204999998</v>
      </c>
      <c r="R178" s="5">
        <f>[1]Capital!Q36+[1]Capital!Q38</f>
        <v>2881199.4501999998</v>
      </c>
      <c r="S178" s="5">
        <f>[1]Capital!R36+[1]Capital!R38</f>
        <v>2919866.3021</v>
      </c>
      <c r="T178" s="5">
        <f>[1]Capital!S36+[1]Capital!S38</f>
        <v>2959667.1458000001</v>
      </c>
      <c r="U178" s="5">
        <f>[1]Capital!T36+[1]Capital!T38</f>
        <v>3000590.6686999998</v>
      </c>
      <c r="V178" s="5">
        <f>[1]Capital!U36+[1]Capital!U38</f>
        <v>3042625.0641999999</v>
      </c>
      <c r="W178" s="5">
        <f>[1]Capital!V36+[1]Capital!V38</f>
        <v>3085628.4405</v>
      </c>
      <c r="X178" s="5">
        <f>[1]Capital!W36+[1]Capital!W38</f>
        <v>3129635.1772999996</v>
      </c>
      <c r="Y178" s="5">
        <f>[1]Capital!X36+[1]Capital!X38</f>
        <v>3174663.5057999999</v>
      </c>
      <c r="Z178" s="5">
        <f>[1]Capital!Y36+[1]Capital!Y38</f>
        <v>3220719.5384</v>
      </c>
      <c r="AA178" s="5">
        <f>[1]Capital!Z36+[1]Capital!Z38</f>
        <v>3267803.4449</v>
      </c>
      <c r="AB178" s="5">
        <f>[1]Capital!AA36+[1]Capital!AA38</f>
        <v>3315537.1742000002</v>
      </c>
      <c r="AC178" s="5">
        <f>[1]Capital!AB36+[1]Capital!AB38</f>
        <v>3363877.6127999998</v>
      </c>
      <c r="AD178" s="5">
        <f>[1]Capital!AC36+[1]Capital!AC38</f>
        <v>3412795.8400999997</v>
      </c>
      <c r="AE178" s="5">
        <f>[1]Capital!AD36+[1]Capital!AD38</f>
        <v>3462268.2364999996</v>
      </c>
      <c r="AF178" s="5">
        <f>[1]Capital!AE36+[1]Capital!AE38</f>
        <v>3512278.6729000001</v>
      </c>
      <c r="AG178" s="5">
        <f>[1]Capital!AF36+[1]Capital!AF38</f>
        <v>3562818.4578</v>
      </c>
      <c r="AH178" s="5">
        <f>[1]Capital!AG36+[1]Capital!AG38</f>
        <v>3613887.1093000001</v>
      </c>
      <c r="AI178" s="5">
        <f>[1]Capital!AH36+[1]Capital!AH38</f>
        <v>3665487.4047000003</v>
      </c>
      <c r="AJ178" s="5">
        <f>[1]Capital!AI36+[1]Capital!AI38</f>
        <v>3717623.7648999998</v>
      </c>
      <c r="AK178" s="5">
        <f>[1]Capital!AJ36+[1]Capital!AJ38</f>
        <v>3770301.1291</v>
      </c>
      <c r="AL178" s="5">
        <f>[1]Capital!AK36+[1]Capital!AK38</f>
        <v>3823524.2763999999</v>
      </c>
      <c r="AM178" s="5">
        <f>[1]Capital!AL36+[1]Capital!AL38</f>
        <v>3877228.4394000005</v>
      </c>
      <c r="AN178" s="5">
        <f>[1]Capital!AM36+[1]Capital!AM38</f>
        <v>3931373.4192000004</v>
      </c>
      <c r="AO178" s="5">
        <f>[1]Capital!AN36+[1]Capital!AN38</f>
        <v>3985934.227</v>
      </c>
      <c r="AP178" s="5">
        <f>[1]Capital!AO36+[1]Capital!AO38</f>
        <v>4040895.0674999999</v>
      </c>
      <c r="AQ178" s="5">
        <f>[1]Capital!AP36+[1]Capital!AP38</f>
        <v>4096247.0316999997</v>
      </c>
      <c r="AR178" s="5">
        <f>[1]Capital!AQ36+[1]Capital!AQ38</f>
        <v>4151990.8651000001</v>
      </c>
      <c r="AS178" s="5">
        <f>[1]Capital!AR36+[1]Capital!AR38</f>
        <v>4208131.1792000001</v>
      </c>
      <c r="AT178" s="5">
        <f>[1]Capital!AS36+[1]Capital!AS38</f>
        <v>4264675.6557999998</v>
      </c>
      <c r="AU178" s="5">
        <f>[1]Capital!AT36+[1]Capital!AT38</f>
        <v>4321634.3474000003</v>
      </c>
      <c r="AV178" s="5">
        <f>[1]Capital!AU36+[1]Capital!AU38</f>
        <v>4379018.9990999997</v>
      </c>
      <c r="AW178" s="5">
        <f>[1]Capital!AV36+[1]Capital!AV38</f>
        <v>4436864.2775999997</v>
      </c>
      <c r="AX178" s="5">
        <f>[1]Capital!AW36+[1]Capital!AW38</f>
        <v>4495198.3746999996</v>
      </c>
      <c r="AY178" s="5">
        <f>[1]Capital!AX36+[1]Capital!AX38</f>
        <v>4554044.2261999995</v>
      </c>
      <c r="AZ178" s="5">
        <f>[1]Capital!AY36+[1]Capital!AY38</f>
        <v>4613421.1814000001</v>
      </c>
      <c r="BA178" s="5">
        <f>[1]Capital!AZ36+[1]Capital!AZ38</f>
        <v>4673346.2653000001</v>
      </c>
      <c r="BB178" s="5">
        <f>[1]Capital!BA36+[1]Capital!BA38</f>
        <v>5359346.3844000008</v>
      </c>
      <c r="BC178" s="5">
        <f>[1]Capital!BB36+[1]Capital!BB38</f>
        <v>5453406.2421000004</v>
      </c>
      <c r="BD178" s="5">
        <f>[1]Capital!BC36+[1]Capital!BC38</f>
        <v>5548944.1100000003</v>
      </c>
      <c r="BE178" s="5">
        <f>[1]Capital!BD36+[1]Capital!BD38</f>
        <v>5645969.352</v>
      </c>
      <c r="BF178" s="5">
        <f>[1]Capital!BE36+[1]Capital!BE38</f>
        <v>5744492.3270000005</v>
      </c>
    </row>
    <row r="179" spans="1:58" x14ac:dyDescent="0.35">
      <c r="B179" t="s">
        <v>29</v>
      </c>
      <c r="C179" s="5">
        <f>[1]Capital!B42+[1]Capital!B46</f>
        <v>22901.777761699999</v>
      </c>
      <c r="D179" s="5">
        <f>[1]Capital!C42+[1]Capital!C46</f>
        <v>23119.4779987</v>
      </c>
      <c r="E179" s="5">
        <f>[1]Capital!D42+[1]Capital!D46</f>
        <v>23324.0622841</v>
      </c>
      <c r="F179" s="5">
        <f>[1]Capital!E42+[1]Capital!E46</f>
        <v>23518.340963900002</v>
      </c>
      <c r="G179" s="5">
        <f>[1]Capital!F42+[1]Capital!F46</f>
        <v>23705.3885505</v>
      </c>
      <c r="H179" s="5">
        <f>[1]Capital!G42+[1]Capital!G46</f>
        <v>23888.246308599999</v>
      </c>
      <c r="I179" s="5">
        <f>[1]Capital!H42+[1]Capital!H46</f>
        <v>24068.7570978</v>
      </c>
      <c r="J179" s="5">
        <f>[1]Capital!I42+[1]Capital!I46</f>
        <v>24248.632366500002</v>
      </c>
      <c r="K179" s="5">
        <f>[1]Capital!J42+[1]Capital!J46</f>
        <v>24429.292055599999</v>
      </c>
      <c r="L179" s="5">
        <f>[1]Capital!K42+[1]Capital!K46</f>
        <v>24611.799725500001</v>
      </c>
      <c r="M179" s="5">
        <f>[1]Capital!L42+[1]Capital!L46</f>
        <v>24795.818258899999</v>
      </c>
      <c r="N179" s="5">
        <f>[1]Capital!M42+[1]Capital!M46</f>
        <v>24984.226313699997</v>
      </c>
      <c r="O179" s="5">
        <f>[1]Capital!N42+[1]Capital!N46</f>
        <v>25178.418452000002</v>
      </c>
      <c r="P179" s="5">
        <f>[1]Capital!O42+[1]Capital!O46</f>
        <v>25379.051930600002</v>
      </c>
      <c r="Q179" s="5">
        <f>[1]Capital!P42+[1]Capital!P46</f>
        <v>25586.4692239</v>
      </c>
      <c r="R179" s="5">
        <f>[1]Capital!Q42+[1]Capital!Q46</f>
        <v>25800.859240199999</v>
      </c>
      <c r="S179" s="5">
        <f>[1]Capital!R42+[1]Capital!R46</f>
        <v>26022.2135438</v>
      </c>
      <c r="T179" s="5">
        <f>[1]Capital!S42+[1]Capital!S46</f>
        <v>26250.513355799998</v>
      </c>
      <c r="U179" s="5">
        <f>[1]Capital!T42+[1]Capital!T46</f>
        <v>26485.7157066</v>
      </c>
      <c r="V179" s="5">
        <f>[1]Capital!U42+[1]Capital!U46</f>
        <v>26727.749946700002</v>
      </c>
      <c r="W179" s="5">
        <f>[1]Capital!V42+[1]Capital!V46</f>
        <v>26975.5463184</v>
      </c>
      <c r="X179" s="5">
        <f>[1]Capital!W42+[1]Capital!W46</f>
        <v>27229.416352300002</v>
      </c>
      <c r="Y179" s="5">
        <f>[1]Capital!X42+[1]Capital!X46</f>
        <v>27489.494357600001</v>
      </c>
      <c r="Z179" s="5">
        <f>[1]Capital!Y42+[1]Capital!Y46</f>
        <v>27755.792963299999</v>
      </c>
      <c r="AA179" s="5">
        <f>[1]Capital!Z42+[1]Capital!Z46</f>
        <v>28028.277353200003</v>
      </c>
      <c r="AB179" s="5">
        <f>[1]Capital!AA42+[1]Capital!AA46</f>
        <v>28304.107765299999</v>
      </c>
      <c r="AC179" s="5">
        <f>[1]Capital!AB42+[1]Capital!AB46</f>
        <v>28583.1572758</v>
      </c>
      <c r="AD179" s="5">
        <f>[1]Capital!AC42+[1]Capital!AC46</f>
        <v>28865.340572599998</v>
      </c>
      <c r="AE179" s="5">
        <f>[1]Capital!AD42+[1]Capital!AD46</f>
        <v>29150.552263400001</v>
      </c>
      <c r="AF179" s="5">
        <f>[1]Capital!AE42+[1]Capital!AE46</f>
        <v>29438.715262099999</v>
      </c>
      <c r="AG179" s="5">
        <f>[1]Capital!AF42+[1]Capital!AF46</f>
        <v>29729.7989404</v>
      </c>
      <c r="AH179" s="5">
        <f>[1]Capital!AG42+[1]Capital!AG46</f>
        <v>30023.848440900001</v>
      </c>
      <c r="AI179" s="5">
        <f>[1]Capital!AH42+[1]Capital!AH46</f>
        <v>30320.929706899999</v>
      </c>
      <c r="AJ179" s="5">
        <f>[1]Capital!AI42+[1]Capital!AI46</f>
        <v>30621.128384299998</v>
      </c>
      <c r="AK179" s="5">
        <f>[1]Capital!AJ42+[1]Capital!AJ46</f>
        <v>30924.544858400001</v>
      </c>
      <c r="AL179" s="5">
        <f>[1]Capital!AK42+[1]Capital!AK46</f>
        <v>31231.2891194</v>
      </c>
      <c r="AM179" s="5">
        <f>[1]Capital!AL42+[1]Capital!AL46</f>
        <v>31541.1015186</v>
      </c>
      <c r="AN179" s="5">
        <f>[1]Capital!AM42+[1]Capital!AM46</f>
        <v>31853.8436358</v>
      </c>
      <c r="AO179" s="5">
        <f>[1]Capital!AN42+[1]Capital!AN46</f>
        <v>32169.471018</v>
      </c>
      <c r="AP179" s="5">
        <f>[1]Capital!AO42+[1]Capital!AO46</f>
        <v>32487.995709999999</v>
      </c>
      <c r="AQ179" s="5">
        <f>[1]Capital!AP42+[1]Capital!AP46</f>
        <v>32809.466334500001</v>
      </c>
      <c r="AR179" s="5">
        <f>[1]Capital!AQ42+[1]Capital!AQ46</f>
        <v>33134.005868300002</v>
      </c>
      <c r="AS179" s="5">
        <f>[1]Capital!AR42+[1]Capital!AR46</f>
        <v>33461.730090000005</v>
      </c>
      <c r="AT179" s="5">
        <f>[1]Capital!AS42+[1]Capital!AS46</f>
        <v>33792.756613199999</v>
      </c>
      <c r="AU179" s="5">
        <f>[1]Capital!AT42+[1]Capital!AT46</f>
        <v>34127.207460099999</v>
      </c>
      <c r="AV179" s="5">
        <f>[1]Capital!AU42+[1]Capital!AU46</f>
        <v>34465.207712699994</v>
      </c>
      <c r="AW179" s="5">
        <f>[1]Capital!AV42+[1]Capital!AV46</f>
        <v>34807.114814300003</v>
      </c>
      <c r="AX179" s="5">
        <f>[1]Capital!AW42+[1]Capital!AW46</f>
        <v>35153.167519900002</v>
      </c>
      <c r="AY179" s="5">
        <f>[1]Capital!AX42+[1]Capital!AX46</f>
        <v>35503.546605199997</v>
      </c>
      <c r="AZ179" s="5">
        <f>[1]Capital!AY42+[1]Capital!AY46</f>
        <v>35858.407061400001</v>
      </c>
      <c r="BA179" s="5">
        <f>[1]Capital!AZ42+[1]Capital!AZ46</f>
        <v>36217.890107899999</v>
      </c>
      <c r="BB179" s="5">
        <f>[1]Capital!BA42+[1]Capital!BA46</f>
        <v>43084.703591199999</v>
      </c>
      <c r="BC179" s="5">
        <f>[1]Capital!BB42+[1]Capital!BB46</f>
        <v>43734.392432000001</v>
      </c>
      <c r="BD179" s="5">
        <f>[1]Capital!BC42+[1]Capital!BC46</f>
        <v>44395.129217000002</v>
      </c>
      <c r="BE179" s="5">
        <f>[1]Capital!BD42+[1]Capital!BD46</f>
        <v>45066.992703000004</v>
      </c>
      <c r="BF179" s="5">
        <f>[1]Capital!BE42+[1]Capital!BE46</f>
        <v>45750.076520999995</v>
      </c>
    </row>
    <row r="180" spans="1:58" x14ac:dyDescent="0.35">
      <c r="B180" t="s">
        <v>36</v>
      </c>
      <c r="C180" s="5">
        <f>[1]Capital!B44+[1]Capital!B48</f>
        <v>1940.0014983000001</v>
      </c>
      <c r="D180" s="5">
        <f>[1]Capital!C44+[1]Capital!C48</f>
        <v>1958.6592301000001</v>
      </c>
      <c r="E180" s="5">
        <f>[1]Capital!D44+[1]Capital!D48</f>
        <v>1976.0343857</v>
      </c>
      <c r="F180" s="5">
        <f>[1]Capital!E44+[1]Capital!E48</f>
        <v>1992.3449562000001</v>
      </c>
      <c r="G180" s="5">
        <f>[1]Capital!F44+[1]Capital!F48</f>
        <v>2007.8777203</v>
      </c>
      <c r="H180" s="5">
        <f>[1]Capital!G44+[1]Capital!G48</f>
        <v>2022.9253592</v>
      </c>
      <c r="I180" s="5">
        <f>[1]Capital!H44+[1]Capital!H48</f>
        <v>2037.6815369999999</v>
      </c>
      <c r="J180" s="5">
        <f>[1]Capital!I44+[1]Capital!I48</f>
        <v>2052.3195624999998</v>
      </c>
      <c r="K180" s="5">
        <f>[1]Capital!J44+[1]Capital!J48</f>
        <v>2066.9810249000002</v>
      </c>
      <c r="L180" s="5">
        <f>[1]Capital!K44+[1]Capital!K48</f>
        <v>2081.7739856999997</v>
      </c>
      <c r="M180" s="5">
        <f>[1]Capital!L44+[1]Capital!L48</f>
        <v>2096.692681</v>
      </c>
      <c r="N180" s="5">
        <f>[1]Capital!M44+[1]Capital!M48</f>
        <v>2111.9748093000003</v>
      </c>
      <c r="O180" s="5">
        <f>[1]Capital!N44+[1]Capital!N48</f>
        <v>2127.7375569999999</v>
      </c>
      <c r="P180" s="5">
        <f>[1]Capital!O44+[1]Capital!O48</f>
        <v>2144.0407799999998</v>
      </c>
      <c r="Q180" s="5">
        <f>[1]Capital!P44+[1]Capital!P48</f>
        <v>2160.9196590000001</v>
      </c>
      <c r="R180" s="5">
        <f>[1]Capital!Q44+[1]Capital!Q48</f>
        <v>2178.3966375</v>
      </c>
      <c r="S180" s="5">
        <f>[1]Capital!R44+[1]Capital!R48</f>
        <v>2196.4784475000001</v>
      </c>
      <c r="T180" s="5">
        <f>[1]Capital!S44+[1]Capital!S48</f>
        <v>2215.1692479000003</v>
      </c>
      <c r="U180" s="5">
        <f>[1]Capital!T44+[1]Capital!T48</f>
        <v>2234.4695545</v>
      </c>
      <c r="V180" s="5">
        <f>[1]Capital!U44+[1]Capital!U48</f>
        <v>2254.3762120000001</v>
      </c>
      <c r="W180" s="5">
        <f>[1]Capital!V44+[1]Capital!V48</f>
        <v>2274.8075088000001</v>
      </c>
      <c r="X180" s="5">
        <f>[1]Capital!W44+[1]Capital!W48</f>
        <v>2295.7864018</v>
      </c>
      <c r="Y180" s="5">
        <f>[1]Capital!X44+[1]Capital!X48</f>
        <v>2317.3207542999999</v>
      </c>
      <c r="Z180" s="5">
        <f>[1]Capital!Y44+[1]Capital!Y48</f>
        <v>2339.4088655</v>
      </c>
      <c r="AA180" s="5">
        <f>[1]Capital!Z44+[1]Capital!Z48</f>
        <v>2362.0450624999999</v>
      </c>
      <c r="AB180" s="5">
        <f>[1]Capital!AA44+[1]Capital!AA48</f>
        <v>2385.0063473</v>
      </c>
      <c r="AC180" s="5">
        <f>[1]Capital!AB44+[1]Capital!AB48</f>
        <v>2408.2763507</v>
      </c>
      <c r="AD180" s="5">
        <f>[1]Capital!AC44+[1]Capital!AC48</f>
        <v>2431.8397594000003</v>
      </c>
      <c r="AE180" s="5">
        <f>[1]Capital!AD44+[1]Capital!AD48</f>
        <v>2455.6802584000002</v>
      </c>
      <c r="AF180" s="5">
        <f>[1]Capital!AE44+[1]Capital!AE48</f>
        <v>2479.7845001000001</v>
      </c>
      <c r="AG180" s="5">
        <f>[1]Capital!AF44+[1]Capital!AF48</f>
        <v>2504.1434499999996</v>
      </c>
      <c r="AH180" s="5">
        <f>[1]Capital!AG44+[1]Capital!AG48</f>
        <v>2528.7544081999999</v>
      </c>
      <c r="AI180" s="5">
        <f>[1]Capital!AH44+[1]Capital!AH48</f>
        <v>2553.6170394000001</v>
      </c>
      <c r="AJ180" s="5">
        <f>[1]Capital!AI44+[1]Capital!AI48</f>
        <v>2578.7332407000004</v>
      </c>
      <c r="AK180" s="5">
        <f>[1]Capital!AJ44+[1]Capital!AJ48</f>
        <v>2604.1067116999998</v>
      </c>
      <c r="AL180" s="5">
        <f>[1]Capital!AK44+[1]Capital!AK48</f>
        <v>2629.7424925999999</v>
      </c>
      <c r="AM180" s="5">
        <f>[1]Capital!AL44+[1]Capital!AL48</f>
        <v>2655.6156578999999</v>
      </c>
      <c r="AN180" s="5">
        <f>[1]Capital!AM44+[1]Capital!AM48</f>
        <v>2681.7117154000002</v>
      </c>
      <c r="AO180" s="5">
        <f>[1]Capital!AN44+[1]Capital!AN48</f>
        <v>2708.0240912999998</v>
      </c>
      <c r="AP180" s="5">
        <f>[1]Capital!AO44+[1]Capital!AO48</f>
        <v>2734.5511624999999</v>
      </c>
      <c r="AQ180" s="5">
        <f>[1]Capital!AP44+[1]Capital!AP48</f>
        <v>2761.2947823</v>
      </c>
      <c r="AR180" s="5">
        <f>[1]Capital!AQ44+[1]Capital!AQ48</f>
        <v>2788.2629410999998</v>
      </c>
      <c r="AS180" s="5">
        <f>[1]Capital!AR44+[1]Capital!AR48</f>
        <v>2815.4639391000001</v>
      </c>
      <c r="AT180" s="5">
        <f>[1]Capital!AS44+[1]Capital!AS48</f>
        <v>2842.907025</v>
      </c>
      <c r="AU180" s="5">
        <f>[1]Capital!AT44+[1]Capital!AT48</f>
        <v>2870.6024566999999</v>
      </c>
      <c r="AV180" s="5">
        <f>[1]Capital!AU44+[1]Capital!AU48</f>
        <v>2898.5612813000002</v>
      </c>
      <c r="AW180" s="5">
        <f>[1]Capital!AV44+[1]Capital!AV48</f>
        <v>2926.8119034000001</v>
      </c>
      <c r="AX180" s="5">
        <f>[1]Capital!AW44+[1]Capital!AW48</f>
        <v>2955.3745481999999</v>
      </c>
      <c r="AY180" s="5">
        <f>[1]Capital!AX44+[1]Capital!AX48</f>
        <v>2984.2658529999999</v>
      </c>
      <c r="AZ180" s="5">
        <f>[1]Capital!AY44+[1]Capital!AY48</f>
        <v>3013.5009670999998</v>
      </c>
      <c r="BA180" s="5">
        <f>[1]Capital!AZ44+[1]Capital!AZ48</f>
        <v>3043.0942848999998</v>
      </c>
      <c r="BB180" s="5">
        <f>[1]Capital!BA44+[1]Capital!BA48</f>
        <v>3576.4547395999998</v>
      </c>
      <c r="BC180" s="5">
        <f>[1]Capital!BB44+[1]Capital!BB48</f>
        <v>3628.4320534999997</v>
      </c>
      <c r="BD180" s="5">
        <f>[1]Capital!BC44+[1]Capital!BC48</f>
        <v>3681.2543048999996</v>
      </c>
      <c r="BE180" s="5">
        <f>[1]Capital!BD44+[1]Capital!BD48</f>
        <v>3734.9281551999998</v>
      </c>
      <c r="BF180" s="5">
        <f>[1]Capital!BE44+[1]Capital!BE48</f>
        <v>3789.4617128</v>
      </c>
    </row>
    <row r="181" spans="1:58" x14ac:dyDescent="0.35">
      <c r="B181" t="s">
        <v>33</v>
      </c>
      <c r="C181" s="5">
        <f>[1]Capital!B50+[1]Capital!B52+[1]Capital!B54+[1]Capital!B56+[1]Capital!B58+[1]Capital!B60+[1]Capital!B62+[1]Capital!B64+[1]Capital!B66</f>
        <v>40258.748630919996</v>
      </c>
      <c r="D181" s="5">
        <f>[1]Capital!C50+[1]Capital!C52+[1]Capital!C54+[1]Capital!C56+[1]Capital!C58+[1]Capital!C60+[1]Capital!C62+[1]Capital!C64+[1]Capital!C66</f>
        <v>40650.610640910003</v>
      </c>
      <c r="E181" s="5">
        <f>[1]Capital!D50+[1]Capital!D52+[1]Capital!D54+[1]Capital!D56+[1]Capital!D58+[1]Capital!D60+[1]Capital!D62+[1]Capital!D64+[1]Capital!D66</f>
        <v>41019.780754039995</v>
      </c>
      <c r="F181" s="5">
        <f>[1]Capital!E50+[1]Capital!E52+[1]Capital!E54+[1]Capital!E56+[1]Capital!E58+[1]Capital!E60+[1]Capital!E62+[1]Capital!E64+[1]Capital!E66</f>
        <v>41369.64067398</v>
      </c>
      <c r="G181" s="5">
        <f>[1]Capital!F50+[1]Capital!F52+[1]Capital!F54+[1]Capital!F56+[1]Capital!F58+[1]Capital!F60+[1]Capital!F62+[1]Capital!F64+[1]Capital!F66</f>
        <v>41704.786166270002</v>
      </c>
      <c r="H181" s="5">
        <f>[1]Capital!G50+[1]Capital!G52+[1]Capital!G54+[1]Capital!G56+[1]Capital!G58+[1]Capital!G60+[1]Capital!G62+[1]Capital!G64+[1]Capital!G66</f>
        <v>42030.286568539996</v>
      </c>
      <c r="I181" s="5">
        <f>[1]Capital!H50+[1]Capital!H52+[1]Capital!H54+[1]Capital!H56+[1]Capital!H58+[1]Capital!H60+[1]Capital!H62+[1]Capital!H64+[1]Capital!H66</f>
        <v>42349.4472264</v>
      </c>
      <c r="J181" s="5">
        <f>[1]Capital!I50+[1]Capital!I52+[1]Capital!I54+[1]Capital!I56+[1]Capital!I58+[1]Capital!I60+[1]Capital!I62+[1]Capital!I64+[1]Capital!I66</f>
        <v>42665.062031880007</v>
      </c>
      <c r="K181" s="5">
        <f>[1]Capital!J50+[1]Capital!J52+[1]Capital!J54+[1]Capital!J56+[1]Capital!J58+[1]Capital!J60+[1]Capital!J62+[1]Capital!J64+[1]Capital!J66</f>
        <v>42979.250778289999</v>
      </c>
      <c r="L181" s="5">
        <f>[1]Capital!K50+[1]Capital!K52+[1]Capital!K54+[1]Capital!K56+[1]Capital!K58+[1]Capital!K60+[1]Capital!K62+[1]Capital!K64+[1]Capital!K66</f>
        <v>43293.323590459993</v>
      </c>
      <c r="M181" s="5">
        <f>[1]Capital!L50+[1]Capital!L52+[1]Capital!L54+[1]Capital!L56+[1]Capital!L58+[1]Capital!L60+[1]Capital!L62+[1]Capital!L64+[1]Capital!L66</f>
        <v>43607.538057029997</v>
      </c>
      <c r="N181" s="5">
        <f>[1]Capital!M50+[1]Capital!M52+[1]Capital!M54+[1]Capital!M56+[1]Capital!M58+[1]Capital!M60+[1]Capital!M62+[1]Capital!M64+[1]Capital!M66</f>
        <v>43923.895226879999</v>
      </c>
      <c r="O181" s="5">
        <f>[1]Capital!N50+[1]Capital!N52+[1]Capital!N54+[1]Capital!N56+[1]Capital!N58+[1]Capital!N60+[1]Capital!N62+[1]Capital!N64+[1]Capital!N66</f>
        <v>44243.289349470004</v>
      </c>
      <c r="P181" s="5">
        <f>[1]Capital!O50+[1]Capital!O52+[1]Capital!O54+[1]Capital!O56+[1]Capital!O58+[1]Capital!O60+[1]Capital!O62+[1]Capital!O64+[1]Capital!O66</f>
        <v>44566.096005559994</v>
      </c>
      <c r="Q181" s="5">
        <f>[1]Capital!P50+[1]Capital!P52+[1]Capital!P54+[1]Capital!P56+[1]Capital!P58+[1]Capital!P60+[1]Capital!P62+[1]Capital!P64+[1]Capital!P66</f>
        <v>44892.521843080001</v>
      </c>
      <c r="R181" s="5">
        <f>[1]Capital!Q50+[1]Capital!Q52+[1]Capital!Q54+[1]Capital!Q56+[1]Capital!Q58+[1]Capital!Q60+[1]Capital!Q62+[1]Capital!Q64+[1]Capital!Q66</f>
        <v>45222.713093059996</v>
      </c>
      <c r="S181" s="5">
        <f>[1]Capital!R50+[1]Capital!R52+[1]Capital!R54+[1]Capital!R56+[1]Capital!R58+[1]Capital!R60+[1]Capital!R62+[1]Capital!R64+[1]Capital!R66</f>
        <v>45556.6830845</v>
      </c>
      <c r="T181" s="5">
        <f>[1]Capital!S50+[1]Capital!S52+[1]Capital!S54+[1]Capital!S56+[1]Capital!S58+[1]Capital!S60+[1]Capital!S62+[1]Capital!S64+[1]Capital!S66</f>
        <v>45894.436997489996</v>
      </c>
      <c r="U181" s="5">
        <f>[1]Capital!T50+[1]Capital!T52+[1]Capital!T54+[1]Capital!T56+[1]Capital!T58+[1]Capital!T60+[1]Capital!T62+[1]Capital!T64+[1]Capital!T66</f>
        <v>46235.994232209996</v>
      </c>
      <c r="V181" s="5">
        <f>[1]Capital!U50+[1]Capital!U52+[1]Capital!U54+[1]Capital!U56+[1]Capital!U58+[1]Capital!U60+[1]Capital!U62+[1]Capital!U64+[1]Capital!U66</f>
        <v>46581.409373740004</v>
      </c>
      <c r="W181" s="5">
        <f>[1]Capital!V50+[1]Capital!V52+[1]Capital!V54+[1]Capital!V56+[1]Capital!V58+[1]Capital!V60+[1]Capital!V62+[1]Capital!V64+[1]Capital!V66</f>
        <v>46929.175147080001</v>
      </c>
      <c r="X181" s="5">
        <f>[1]Capital!W50+[1]Capital!W52+[1]Capital!W54+[1]Capital!W56+[1]Capital!W58+[1]Capital!W60+[1]Capital!W62+[1]Capital!W64+[1]Capital!W66</f>
        <v>47279.946382459995</v>
      </c>
      <c r="Y181" s="5">
        <f>[1]Capital!X50+[1]Capital!X52+[1]Capital!X54+[1]Capital!X56+[1]Capital!X58+[1]Capital!X60+[1]Capital!X62+[1]Capital!X64+[1]Capital!X66</f>
        <v>47634.422191080004</v>
      </c>
      <c r="Z181" s="5">
        <f>[1]Capital!Y50+[1]Capital!Y52+[1]Capital!Y54+[1]Capital!Y56+[1]Capital!Y58+[1]Capital!Y60+[1]Capital!Y62+[1]Capital!Y64+[1]Capital!Y66</f>
        <v>47993.178439280004</v>
      </c>
      <c r="AA181" s="5">
        <f>[1]Capital!Z50+[1]Capital!Z52+[1]Capital!Z54+[1]Capital!Z56+[1]Capital!Z58+[1]Capital!Z60+[1]Capital!Z62+[1]Capital!Z64+[1]Capital!Z66</f>
        <v>48356.732697419997</v>
      </c>
      <c r="AB181" s="5">
        <f>[1]Capital!AA50+[1]Capital!AA52+[1]Capital!AA54+[1]Capital!AA56+[1]Capital!AA58+[1]Capital!AA60+[1]Capital!AA62+[1]Capital!AA64+[1]Capital!AA66</f>
        <v>48721.037606500002</v>
      </c>
      <c r="AC181" s="5">
        <f>[1]Capital!AB50+[1]Capital!AB52+[1]Capital!AB54+[1]Capital!AB56+[1]Capital!AB58+[1]Capital!AB60+[1]Capital!AB62+[1]Capital!AB64+[1]Capital!AB66</f>
        <v>49085.916657059999</v>
      </c>
      <c r="AD181" s="5">
        <f>[1]Capital!AC50+[1]Capital!AC52+[1]Capital!AC54+[1]Capital!AC56+[1]Capital!AC58+[1]Capital!AC60+[1]Capital!AC62+[1]Capital!AC64+[1]Capital!AC66</f>
        <v>49451.821938720008</v>
      </c>
      <c r="AE181" s="5">
        <f>[1]Capital!AD50+[1]Capital!AD52+[1]Capital!AD54+[1]Capital!AD56+[1]Capital!AD58+[1]Capital!AD60+[1]Capital!AD62+[1]Capital!AD64+[1]Capital!AD66</f>
        <v>49819.3421972</v>
      </c>
      <c r="AF181" s="5">
        <f>[1]Capital!AE50+[1]Capital!AE52+[1]Capital!AE54+[1]Capital!AE56+[1]Capital!AE58+[1]Capital!AE60+[1]Capital!AE62+[1]Capital!AE64+[1]Capital!AE66</f>
        <v>50189.142718860006</v>
      </c>
      <c r="AG181" s="5">
        <f>[1]Capital!AF50+[1]Capital!AF52+[1]Capital!AF54+[1]Capital!AF56+[1]Capital!AF58+[1]Capital!AF60+[1]Capital!AF62+[1]Capital!AF64+[1]Capital!AF66</f>
        <v>50561.954796339996</v>
      </c>
      <c r="AH181" s="5">
        <f>[1]Capital!AG50+[1]Capital!AG52+[1]Capital!AG54+[1]Capital!AG56+[1]Capital!AG58+[1]Capital!AG60+[1]Capital!AG62+[1]Capital!AG64+[1]Capital!AG66</f>
        <v>50938.584113999997</v>
      </c>
      <c r="AI181" s="5">
        <f>[1]Capital!AH50+[1]Capital!AH52+[1]Capital!AH54+[1]Capital!AH56+[1]Capital!AH58+[1]Capital!AH60+[1]Capital!AH62+[1]Capital!AH64+[1]Capital!AH66</f>
        <v>51319.864232730011</v>
      </c>
      <c r="AJ181" s="5">
        <f>[1]Capital!AI50+[1]Capital!AI52+[1]Capital!AI54+[1]Capital!AI56+[1]Capital!AI58+[1]Capital!AI60+[1]Capital!AI62+[1]Capital!AI64+[1]Capital!AI66</f>
        <v>51706.631927249997</v>
      </c>
      <c r="AK181" s="5">
        <f>[1]Capital!AJ50+[1]Capital!AJ52+[1]Capital!AJ54+[1]Capital!AJ56+[1]Capital!AJ58+[1]Capital!AJ60+[1]Capital!AJ62+[1]Capital!AJ64+[1]Capital!AJ66</f>
        <v>52099.704259059996</v>
      </c>
      <c r="AL181" s="5">
        <f>[1]Capital!AK50+[1]Capital!AK52+[1]Capital!AK54+[1]Capital!AK56+[1]Capital!AK58+[1]Capital!AK60+[1]Capital!AK62+[1]Capital!AK64+[1]Capital!AK66</f>
        <v>52499.862528420002</v>
      </c>
      <c r="AM181" s="5">
        <f>[1]Capital!AL50+[1]Capital!AL52+[1]Capital!AL54+[1]Capital!AL56+[1]Capital!AL58+[1]Capital!AL60+[1]Capital!AL62+[1]Capital!AL64+[1]Capital!AL66</f>
        <v>52906.990737159998</v>
      </c>
      <c r="AN181" s="5">
        <f>[1]Capital!AM50+[1]Capital!AM52+[1]Capital!AM54+[1]Capital!AM56+[1]Capital!AM58+[1]Capital!AM60+[1]Capital!AM62+[1]Capital!AM64+[1]Capital!AM66</f>
        <v>53321.223595859985</v>
      </c>
      <c r="AO181" s="5">
        <f>[1]Capital!AN50+[1]Capital!AN52+[1]Capital!AN54+[1]Capital!AN56+[1]Capital!AN58+[1]Capital!AN60+[1]Capital!AN62+[1]Capital!AN64+[1]Capital!AN66</f>
        <v>53742.914459519998</v>
      </c>
      <c r="AP181" s="5">
        <f>[1]Capital!AO50+[1]Capital!AO52+[1]Capital!AO54+[1]Capital!AO56+[1]Capital!AO58+[1]Capital!AO60+[1]Capital!AO62+[1]Capital!AO64+[1]Capital!AO66</f>
        <v>54172.489897030006</v>
      </c>
      <c r="AQ181" s="5">
        <f>[1]Capital!AP50+[1]Capital!AP52+[1]Capital!AP54+[1]Capital!AP56+[1]Capital!AP58+[1]Capital!AP60+[1]Capital!AP62+[1]Capital!AP64+[1]Capital!AP66</f>
        <v>54610.378358029993</v>
      </c>
      <c r="AR181" s="5">
        <f>[1]Capital!AQ50+[1]Capital!AQ52+[1]Capital!AQ54+[1]Capital!AQ56+[1]Capital!AQ58+[1]Capital!AQ60+[1]Capital!AQ62+[1]Capital!AQ64+[1]Capital!AQ66</f>
        <v>55057.017305280002</v>
      </c>
      <c r="AS181" s="5">
        <f>[1]Capital!AR50+[1]Capital!AR52+[1]Capital!AR54+[1]Capital!AR56+[1]Capital!AR58+[1]Capital!AR60+[1]Capital!AR62+[1]Capital!AR64+[1]Capital!AR66</f>
        <v>55512.808909739993</v>
      </c>
      <c r="AT181" s="5">
        <f>[1]Capital!AS50+[1]Capital!AS52+[1]Capital!AS54+[1]Capital!AS56+[1]Capital!AS58+[1]Capital!AS60+[1]Capital!AS62+[1]Capital!AS64+[1]Capital!AS66</f>
        <v>55978.113432339997</v>
      </c>
      <c r="AU181" s="5">
        <f>[1]Capital!AT50+[1]Capital!AT52+[1]Capital!AT54+[1]Capital!AT56+[1]Capital!AT58+[1]Capital!AT60+[1]Capital!AT62+[1]Capital!AT64+[1]Capital!AT66</f>
        <v>56453.242710950006</v>
      </c>
      <c r="AV181" s="5">
        <f>[1]Capital!AU50+[1]Capital!AU52+[1]Capital!AU54+[1]Capital!AU56+[1]Capital!AU58+[1]Capital!AU60+[1]Capital!AU62+[1]Capital!AU64+[1]Capital!AU66</f>
        <v>56938.458865220004</v>
      </c>
      <c r="AW181" s="5">
        <f>[1]Capital!AV50+[1]Capital!AV52+[1]Capital!AV54+[1]Capital!AV56+[1]Capital!AV58+[1]Capital!AV60+[1]Capital!AV62+[1]Capital!AV64+[1]Capital!AV66</f>
        <v>57434.18879213</v>
      </c>
      <c r="AX181" s="5">
        <f>[1]Capital!AW50+[1]Capital!AW52+[1]Capital!AW54+[1]Capital!AW56+[1]Capital!AW58+[1]Capital!AW60+[1]Capital!AW62+[1]Capital!AW64+[1]Capital!AW66</f>
        <v>57940.785023970006</v>
      </c>
      <c r="AY181" s="5">
        <f>[1]Capital!AX50+[1]Capital!AX52+[1]Capital!AX54+[1]Capital!AX56+[1]Capital!AX58+[1]Capital!AX60+[1]Capital!AX62+[1]Capital!AX64+[1]Capital!AX66</f>
        <v>58458.515046610002</v>
      </c>
      <c r="AZ181" s="5">
        <f>[1]Capital!AY50+[1]Capital!AY52+[1]Capital!AY54+[1]Capital!AY56+[1]Capital!AY58+[1]Capital!AY60+[1]Capital!AY62+[1]Capital!AY64+[1]Capital!AY66</f>
        <v>58987.553790910009</v>
      </c>
      <c r="BA181" s="5">
        <f>[1]Capital!AZ50+[1]Capital!AZ52+[1]Capital!AZ54+[1]Capital!AZ56+[1]Capital!AZ58+[1]Capital!AZ60+[1]Capital!AZ62+[1]Capital!AZ64+[1]Capital!AZ66</f>
        <v>59527.992913489994</v>
      </c>
      <c r="BB181" s="5">
        <f>[1]Capital!BA50+[1]Capital!BA52+[1]Capital!BA54+[1]Capital!BA56+[1]Capital!BA58+[1]Capital!BA60+[1]Capital!BA62+[1]Capital!BA64+[1]Capital!BA66</f>
        <v>68170.981550700002</v>
      </c>
      <c r="BC181" s="5">
        <f>[1]Capital!BB50+[1]Capital!BB52+[1]Capital!BB54+[1]Capital!BB56+[1]Capital!BB58+[1]Capital!BB60+[1]Capital!BB62+[1]Capital!BB64+[1]Capital!BB66</f>
        <v>69131.744166999997</v>
      </c>
      <c r="BD181" s="5">
        <f>[1]Capital!BC50+[1]Capital!BC52+[1]Capital!BC54+[1]Capital!BC56+[1]Capital!BC58+[1]Capital!BC60+[1]Capital!BC62+[1]Capital!BC64+[1]Capital!BC66</f>
        <v>70114.828281199996</v>
      </c>
      <c r="BE181" s="5">
        <f>[1]Capital!BD50+[1]Capital!BD52+[1]Capital!BD54+[1]Capital!BD56+[1]Capital!BD58+[1]Capital!BD60+[1]Capital!BD62+[1]Capital!BD64+[1]Capital!BD66</f>
        <v>71120.353023399992</v>
      </c>
      <c r="BF181" s="5">
        <f>[1]Capital!BE50+[1]Capital!BE52+[1]Capital!BE54+[1]Capital!BE56+[1]Capital!BE58+[1]Capital!BE60+[1]Capital!BE62+[1]Capital!BE64+[1]Capital!BE66</f>
        <v>72148.430556299994</v>
      </c>
    </row>
    <row r="182" spans="1:58" x14ac:dyDescent="0.35"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</row>
    <row r="183" spans="1:58" x14ac:dyDescent="0.35">
      <c r="C183" s="2">
        <v>42005</v>
      </c>
      <c r="D183" s="2">
        <v>42370</v>
      </c>
      <c r="E183" s="2">
        <v>42736</v>
      </c>
      <c r="F183" s="2">
        <v>43101</v>
      </c>
      <c r="G183" s="2">
        <v>43466</v>
      </c>
      <c r="H183" s="2">
        <v>43831</v>
      </c>
      <c r="I183" s="2">
        <v>44197</v>
      </c>
      <c r="J183" s="2">
        <v>44562</v>
      </c>
      <c r="K183" s="2">
        <v>44927</v>
      </c>
      <c r="L183" s="2">
        <v>45292</v>
      </c>
      <c r="M183" s="2">
        <v>45658</v>
      </c>
      <c r="N183" s="2">
        <v>46023</v>
      </c>
      <c r="O183" s="2">
        <v>46388</v>
      </c>
      <c r="P183" s="2">
        <v>46753</v>
      </c>
      <c r="Q183" s="2">
        <v>47119</v>
      </c>
      <c r="R183" s="2">
        <v>47484</v>
      </c>
      <c r="S183" s="2">
        <v>47849</v>
      </c>
      <c r="T183" s="2">
        <v>48214</v>
      </c>
      <c r="U183" s="2">
        <v>48580</v>
      </c>
      <c r="V183" s="2">
        <v>48945</v>
      </c>
      <c r="W183" s="2">
        <v>49310</v>
      </c>
      <c r="X183" s="2">
        <v>49675</v>
      </c>
      <c r="Y183" s="2">
        <v>50041</v>
      </c>
      <c r="Z183" s="2">
        <v>50406</v>
      </c>
      <c r="AA183" s="2">
        <v>50771</v>
      </c>
      <c r="AB183" s="2">
        <v>51136</v>
      </c>
      <c r="AC183" s="2">
        <v>51502</v>
      </c>
      <c r="AD183" s="2">
        <v>51867</v>
      </c>
      <c r="AE183" s="2">
        <v>52232</v>
      </c>
      <c r="AF183" s="2">
        <v>52597</v>
      </c>
      <c r="AG183" s="2">
        <v>52963</v>
      </c>
      <c r="AH183" s="2">
        <v>53328</v>
      </c>
      <c r="AI183" s="2">
        <v>53693</v>
      </c>
      <c r="AJ183" s="2">
        <v>54058</v>
      </c>
      <c r="AK183" s="2">
        <v>54424</v>
      </c>
      <c r="AL183" s="2">
        <v>54789</v>
      </c>
      <c r="AM183" s="2">
        <v>54790</v>
      </c>
      <c r="AN183" s="2">
        <v>54791</v>
      </c>
      <c r="AO183" s="2">
        <v>54792</v>
      </c>
      <c r="AP183" s="2">
        <v>54793</v>
      </c>
      <c r="AQ183" s="2">
        <v>54794</v>
      </c>
      <c r="AR183" s="2">
        <v>54795</v>
      </c>
      <c r="AS183" s="2">
        <v>54796</v>
      </c>
      <c r="AT183" s="2">
        <v>54797</v>
      </c>
      <c r="AU183" s="2">
        <v>54798</v>
      </c>
      <c r="AV183" s="2">
        <v>54799</v>
      </c>
      <c r="AW183" s="2">
        <v>54800</v>
      </c>
      <c r="AX183" s="2">
        <v>54801</v>
      </c>
      <c r="AY183" s="2">
        <v>54802</v>
      </c>
      <c r="AZ183" s="2">
        <v>54803</v>
      </c>
      <c r="BA183" s="2">
        <v>54804</v>
      </c>
      <c r="BB183" s="2">
        <v>54805</v>
      </c>
      <c r="BC183" s="2">
        <v>54806</v>
      </c>
      <c r="BD183" s="2">
        <v>54807</v>
      </c>
      <c r="BE183" s="2">
        <v>54808</v>
      </c>
      <c r="BF183" s="2">
        <v>54809</v>
      </c>
    </row>
    <row r="184" spans="1:58" x14ac:dyDescent="0.35">
      <c r="A184" s="12" t="s">
        <v>42</v>
      </c>
      <c r="B184" t="s">
        <v>40</v>
      </c>
      <c r="C184" s="9">
        <f t="shared" ref="C184:AL184" si="68">C174/C136/(C164/C125)-1</f>
        <v>1.4104159056971266E-2</v>
      </c>
      <c r="D184" s="9">
        <f t="shared" si="68"/>
        <v>1.7595645534212112E-2</v>
      </c>
      <c r="E184" s="9">
        <f t="shared" si="68"/>
        <v>1.9593848396557867E-2</v>
      </c>
      <c r="F184" s="9">
        <f t="shared" si="68"/>
        <v>2.0730168302115048E-2</v>
      </c>
      <c r="G184" s="9">
        <f t="shared" si="68"/>
        <v>2.1265684773866145E-2</v>
      </c>
      <c r="H184" s="9">
        <f t="shared" si="68"/>
        <v>2.1354454242900722E-2</v>
      </c>
      <c r="I184" s="9">
        <f t="shared" si="68"/>
        <v>2.1126879817674915E-2</v>
      </c>
      <c r="J184" s="9">
        <f t="shared" si="68"/>
        <v>2.0642467352744553E-2</v>
      </c>
      <c r="K184" s="9">
        <f t="shared" si="68"/>
        <v>1.9958124765136143E-2</v>
      </c>
      <c r="L184" s="9">
        <f t="shared" si="68"/>
        <v>1.9120212976577511E-2</v>
      </c>
      <c r="M184" s="9">
        <f t="shared" si="68"/>
        <v>1.9191437502823927E-2</v>
      </c>
      <c r="N184" s="9">
        <f t="shared" si="68"/>
        <v>1.7645837405452891E-2</v>
      </c>
      <c r="O184" s="9">
        <f t="shared" si="68"/>
        <v>1.584877673302576E-2</v>
      </c>
      <c r="P184" s="9">
        <f t="shared" si="68"/>
        <v>1.3943407843586275E-2</v>
      </c>
      <c r="Q184" s="9">
        <f t="shared" si="68"/>
        <v>1.1994551558958566E-2</v>
      </c>
      <c r="R184" s="9">
        <f t="shared" si="68"/>
        <v>1.004273521132637E-2</v>
      </c>
      <c r="S184" s="9">
        <f t="shared" si="68"/>
        <v>8.16329415478112E-3</v>
      </c>
      <c r="T184" s="9">
        <f t="shared" si="68"/>
        <v>6.3431317002813348E-3</v>
      </c>
      <c r="U184" s="9">
        <f t="shared" si="68"/>
        <v>4.5954009539588281E-3</v>
      </c>
      <c r="V184" s="9">
        <f t="shared" si="68"/>
        <v>2.9305252406008897E-3</v>
      </c>
      <c r="W184" s="9">
        <f t="shared" si="68"/>
        <v>1.3578523322665959E-3</v>
      </c>
      <c r="X184" s="9">
        <f t="shared" si="68"/>
        <v>-1.2257900407819378E-4</v>
      </c>
      <c r="Y184" s="9">
        <f t="shared" si="68"/>
        <v>-1.5079018606135586E-3</v>
      </c>
      <c r="Z184" s="9">
        <f t="shared" si="68"/>
        <v>-2.7978531781885918E-3</v>
      </c>
      <c r="AA184" s="9">
        <f t="shared" si="68"/>
        <v>-3.9940823204223097E-3</v>
      </c>
      <c r="AB184" s="9">
        <f t="shared" si="68"/>
        <v>-5.0961710190653431E-3</v>
      </c>
      <c r="AC184" s="9">
        <f t="shared" si="68"/>
        <v>-6.1310414846229566E-3</v>
      </c>
      <c r="AD184" s="9">
        <f t="shared" si="68"/>
        <v>-7.0869415665042457E-3</v>
      </c>
      <c r="AE184" s="9">
        <f t="shared" si="68"/>
        <v>-7.9647830494123939E-3</v>
      </c>
      <c r="AF184" s="9">
        <f t="shared" si="68"/>
        <v>-8.7662169554508784E-3</v>
      </c>
      <c r="AG184" s="9">
        <f t="shared" si="68"/>
        <v>-9.4935152081703222E-3</v>
      </c>
      <c r="AH184" s="9">
        <f t="shared" si="68"/>
        <v>-1.0160171462523904E-2</v>
      </c>
      <c r="AI184" s="9">
        <f t="shared" si="68"/>
        <v>-1.0760337692607869E-2</v>
      </c>
      <c r="AJ184" s="9">
        <f t="shared" si="68"/>
        <v>-1.1295354534937463E-2</v>
      </c>
      <c r="AK184" s="9">
        <f t="shared" si="68"/>
        <v>-1.1766836038900941E-2</v>
      </c>
      <c r="AL184" s="9">
        <f t="shared" si="68"/>
        <v>-1.2176478096803001E-2</v>
      </c>
      <c r="AM184" s="9">
        <f t="shared" ref="AM184:BC184" si="69">AM174/AM136/(AM164/AM125)-1</f>
        <v>-1.2622506505013509E-2</v>
      </c>
      <c r="AN184" s="9">
        <f t="shared" si="69"/>
        <v>-1.3028956725253171E-2</v>
      </c>
      <c r="AO184" s="9">
        <f t="shared" si="69"/>
        <v>-1.3385782910991906E-2</v>
      </c>
      <c r="AP184" s="9">
        <f t="shared" si="69"/>
        <v>-1.3686668856336515E-2</v>
      </c>
      <c r="AQ184" s="9">
        <f t="shared" si="69"/>
        <v>-1.3927878105417735E-2</v>
      </c>
      <c r="AR184" s="9">
        <f t="shared" si="69"/>
        <v>-1.412324209798832E-2</v>
      </c>
      <c r="AS184" s="9">
        <f t="shared" si="69"/>
        <v>-1.426048672192437E-2</v>
      </c>
      <c r="AT184" s="9">
        <f t="shared" si="69"/>
        <v>-1.4338498321629922E-2</v>
      </c>
      <c r="AU184" s="9">
        <f t="shared" si="69"/>
        <v>-1.4357386332080724E-2</v>
      </c>
      <c r="AV184" s="9">
        <f t="shared" si="69"/>
        <v>-1.4318065087560616E-2</v>
      </c>
      <c r="AW184" s="9">
        <f t="shared" si="69"/>
        <v>-1.4274148259829866E-2</v>
      </c>
      <c r="AX184" s="9">
        <f t="shared" si="69"/>
        <v>-1.4186687353039074E-2</v>
      </c>
      <c r="AY184" s="9">
        <f t="shared" si="69"/>
        <v>-1.405107609385825E-2</v>
      </c>
      <c r="AZ184" s="9">
        <f t="shared" si="69"/>
        <v>-1.3865661130215368E-2</v>
      </c>
      <c r="BA184" s="9">
        <f t="shared" si="69"/>
        <v>-1.3630660684130436E-2</v>
      </c>
      <c r="BB184" s="9">
        <f t="shared" si="69"/>
        <v>-3.7714110063516992E-3</v>
      </c>
      <c r="BC184" s="9">
        <f t="shared" si="69"/>
        <v>-3.8419386882917461E-3</v>
      </c>
      <c r="BD184" s="9">
        <f t="shared" ref="BD184:BF184" si="70">BD174/BD136/(BD164/BD125)-1</f>
        <v>-3.9012745783723046E-3</v>
      </c>
      <c r="BE184" s="9">
        <f t="shared" si="70"/>
        <v>-3.948911519975451E-3</v>
      </c>
      <c r="BF184" s="9">
        <f t="shared" si="70"/>
        <v>-3.984532117403683E-3</v>
      </c>
    </row>
    <row r="185" spans="1:58" x14ac:dyDescent="0.35">
      <c r="A185" t="s">
        <v>85</v>
      </c>
      <c r="B185" t="s">
        <v>7</v>
      </c>
      <c r="C185" s="9">
        <f t="shared" ref="C185:AL185" si="71">C175/C137/(C165/C126)-1</f>
        <v>1.5920747412602188E-2</v>
      </c>
      <c r="D185" s="9">
        <f t="shared" si="71"/>
        <v>2.0586457558361193E-2</v>
      </c>
      <c r="E185" s="9">
        <f t="shared" si="71"/>
        <v>2.3695160583380614E-2</v>
      </c>
      <c r="F185" s="9">
        <f t="shared" si="71"/>
        <v>2.5722791969282621E-2</v>
      </c>
      <c r="G185" s="9">
        <f t="shared" si="71"/>
        <v>2.6917299135680528E-2</v>
      </c>
      <c r="H185" s="9">
        <f t="shared" si="71"/>
        <v>2.7504167432158777E-2</v>
      </c>
      <c r="I185" s="9">
        <f t="shared" si="71"/>
        <v>2.7679627603612422E-2</v>
      </c>
      <c r="J185" s="9">
        <f t="shared" si="71"/>
        <v>2.756078079585067E-2</v>
      </c>
      <c r="K185" s="9">
        <f t="shared" si="71"/>
        <v>2.7250842506950868E-2</v>
      </c>
      <c r="L185" s="9">
        <f t="shared" si="71"/>
        <v>2.6831221250074311E-2</v>
      </c>
      <c r="M185" s="9">
        <f t="shared" si="71"/>
        <v>2.7588169759147574E-2</v>
      </c>
      <c r="N185" s="9">
        <f t="shared" si="71"/>
        <v>2.6459441462563182E-2</v>
      </c>
      <c r="O185" s="9">
        <f t="shared" si="71"/>
        <v>2.5142653628627443E-2</v>
      </c>
      <c r="P185" s="9">
        <f t="shared" si="71"/>
        <v>2.3785884182609518E-2</v>
      </c>
      <c r="Q185" s="9">
        <f t="shared" si="71"/>
        <v>2.2458638028467037E-2</v>
      </c>
      <c r="R185" s="9">
        <f t="shared" si="71"/>
        <v>2.1210995506009356E-2</v>
      </c>
      <c r="S185" s="9">
        <f t="shared" si="71"/>
        <v>2.0133508047978088E-2</v>
      </c>
      <c r="T185" s="9">
        <f t="shared" si="71"/>
        <v>1.9225658433166926E-2</v>
      </c>
      <c r="U185" s="9">
        <f t="shared" si="71"/>
        <v>1.8503021189341329E-2</v>
      </c>
      <c r="V185" s="9">
        <f t="shared" si="71"/>
        <v>1.7973038777075567E-2</v>
      </c>
      <c r="W185" s="9">
        <f t="shared" si="71"/>
        <v>1.7633432811194893E-2</v>
      </c>
      <c r="X185" s="9">
        <f t="shared" si="71"/>
        <v>1.7493149651300888E-2</v>
      </c>
      <c r="Y185" s="9">
        <f t="shared" si="71"/>
        <v>1.7535944424951211E-2</v>
      </c>
      <c r="Z185" s="9">
        <f t="shared" si="71"/>
        <v>1.7754272605944754E-2</v>
      </c>
      <c r="AA185" s="9">
        <f t="shared" si="71"/>
        <v>1.8138421906001456E-2</v>
      </c>
      <c r="AB185" s="9">
        <f t="shared" si="71"/>
        <v>1.8660482687497426E-2</v>
      </c>
      <c r="AC185" s="9">
        <f t="shared" si="71"/>
        <v>1.9324425492839969E-2</v>
      </c>
      <c r="AD185" s="9">
        <f t="shared" si="71"/>
        <v>2.0109931691065341E-2</v>
      </c>
      <c r="AE185" s="9">
        <f t="shared" si="71"/>
        <v>2.1007940488443788E-2</v>
      </c>
      <c r="AF185" s="9">
        <f t="shared" si="71"/>
        <v>2.2010537223891014E-2</v>
      </c>
      <c r="AG185" s="9">
        <f t="shared" si="71"/>
        <v>2.310952191734672E-2</v>
      </c>
      <c r="AH185" s="9">
        <f t="shared" si="71"/>
        <v>2.428425108425758E-2</v>
      </c>
      <c r="AI185" s="9">
        <f t="shared" si="71"/>
        <v>2.5533598940496116E-2</v>
      </c>
      <c r="AJ185" s="9">
        <f t="shared" si="71"/>
        <v>2.6851254315203521E-2</v>
      </c>
      <c r="AK185" s="9">
        <f t="shared" si="71"/>
        <v>2.8231569749729291E-2</v>
      </c>
      <c r="AL185" s="9">
        <f t="shared" si="71"/>
        <v>2.9669198924779261E-2</v>
      </c>
      <c r="AM185" s="9">
        <f t="shared" ref="AM185:BC185" si="72">AM175/AM137/(AM165/AM126)-1</f>
        <v>3.1044475739036459E-2</v>
      </c>
      <c r="AN185" s="9">
        <f t="shared" si="72"/>
        <v>3.2426977351570851E-2</v>
      </c>
      <c r="AO185" s="9">
        <f t="shared" si="72"/>
        <v>3.3825630746414204E-2</v>
      </c>
      <c r="AP185" s="9">
        <f t="shared" si="72"/>
        <v>3.5251013948718102E-2</v>
      </c>
      <c r="AQ185" s="9">
        <f t="shared" si="72"/>
        <v>3.6710902115616895E-2</v>
      </c>
      <c r="AR185" s="9">
        <f t="shared" si="72"/>
        <v>3.8191920110776989E-2</v>
      </c>
      <c r="AS185" s="9">
        <f t="shared" si="72"/>
        <v>3.9705569062373547E-2</v>
      </c>
      <c r="AT185" s="9">
        <f t="shared" si="72"/>
        <v>4.1253486431219732E-2</v>
      </c>
      <c r="AU185" s="9">
        <f t="shared" si="72"/>
        <v>4.2836190150991271E-2</v>
      </c>
      <c r="AV185" s="9">
        <f t="shared" si="72"/>
        <v>4.4452705708332818E-2</v>
      </c>
      <c r="AW185" s="9">
        <f t="shared" si="72"/>
        <v>4.6040689780365796E-2</v>
      </c>
      <c r="AX185" s="9">
        <f t="shared" si="72"/>
        <v>4.7632425059308536E-2</v>
      </c>
      <c r="AY185" s="9">
        <f t="shared" si="72"/>
        <v>4.9235219990929835E-2</v>
      </c>
      <c r="AZ185" s="9">
        <f t="shared" si="72"/>
        <v>5.0855172619711064E-2</v>
      </c>
      <c r="BA185" s="9">
        <f t="shared" si="72"/>
        <v>5.2495939947779569E-2</v>
      </c>
      <c r="BB185" s="9">
        <f t="shared" si="72"/>
        <v>5.6381957856215248E-3</v>
      </c>
      <c r="BC185" s="9">
        <f t="shared" si="72"/>
        <v>6.185596096760948E-3</v>
      </c>
      <c r="BD185" s="9">
        <f t="shared" ref="BD185:BF185" si="73">BD175/BD137/(BD165/BD126)-1</f>
        <v>6.7571042982161877E-3</v>
      </c>
      <c r="BE185" s="9">
        <f t="shared" si="73"/>
        <v>7.352203953093106E-3</v>
      </c>
      <c r="BF185" s="9">
        <f t="shared" si="73"/>
        <v>7.9700543077732E-3</v>
      </c>
    </row>
    <row r="186" spans="1:58" x14ac:dyDescent="0.35">
      <c r="B186" t="s">
        <v>30</v>
      </c>
      <c r="C186" s="9">
        <f t="shared" ref="C186:AL186" si="74">C176/C138/(C166/C127)-1</f>
        <v>2.1232404649103698E-2</v>
      </c>
      <c r="D186" s="9">
        <f t="shared" si="74"/>
        <v>2.4972740841717078E-2</v>
      </c>
      <c r="E186" s="9">
        <f t="shared" si="74"/>
        <v>2.7185079149276481E-2</v>
      </c>
      <c r="F186" s="9">
        <f t="shared" si="74"/>
        <v>2.8517647121854006E-2</v>
      </c>
      <c r="G186" s="9">
        <f t="shared" si="74"/>
        <v>2.9269960135705375E-2</v>
      </c>
      <c r="H186" s="9">
        <f t="shared" si="74"/>
        <v>2.9618112734362878E-2</v>
      </c>
      <c r="I186" s="9">
        <f t="shared" si="74"/>
        <v>2.9707179167592246E-2</v>
      </c>
      <c r="J186" s="9">
        <f t="shared" si="74"/>
        <v>2.9584492589707079E-2</v>
      </c>
      <c r="K186" s="9">
        <f t="shared" si="74"/>
        <v>2.9296277969859563E-2</v>
      </c>
      <c r="L186" s="9">
        <f t="shared" si="74"/>
        <v>2.8876841538317599E-2</v>
      </c>
      <c r="M186" s="9">
        <f t="shared" si="74"/>
        <v>2.9941010885073283E-2</v>
      </c>
      <c r="N186" s="9">
        <f t="shared" si="74"/>
        <v>2.8443605485845902E-2</v>
      </c>
      <c r="O186" s="9">
        <f t="shared" si="74"/>
        <v>2.6708811050106362E-2</v>
      </c>
      <c r="P186" s="9">
        <f t="shared" si="74"/>
        <v>2.4887359137752307E-2</v>
      </c>
      <c r="Q186" s="9">
        <f t="shared" si="74"/>
        <v>2.3044084860793346E-2</v>
      </c>
      <c r="R186" s="9">
        <f t="shared" si="74"/>
        <v>2.1213159746675592E-2</v>
      </c>
      <c r="S186" s="9">
        <f t="shared" si="74"/>
        <v>1.9486953948808949E-2</v>
      </c>
      <c r="T186" s="9">
        <f t="shared" si="74"/>
        <v>1.7816753726568546E-2</v>
      </c>
      <c r="U186" s="9">
        <f t="shared" si="74"/>
        <v>1.6208302211079051E-2</v>
      </c>
      <c r="V186" s="9">
        <f t="shared" si="74"/>
        <v>1.4666553962047857E-2</v>
      </c>
      <c r="W186" s="9">
        <f t="shared" si="74"/>
        <v>1.3194259717038692E-2</v>
      </c>
      <c r="X186" s="9">
        <f t="shared" si="74"/>
        <v>1.1797489108005044E-2</v>
      </c>
      <c r="Y186" s="9">
        <f t="shared" si="74"/>
        <v>1.0472539064328323E-2</v>
      </c>
      <c r="Z186" s="9">
        <f t="shared" si="74"/>
        <v>9.2205885197926829E-3</v>
      </c>
      <c r="AA186" s="9">
        <f t="shared" si="74"/>
        <v>8.0414889727240535E-3</v>
      </c>
      <c r="AB186" s="9">
        <f t="shared" si="74"/>
        <v>6.9290291997670117E-3</v>
      </c>
      <c r="AC186" s="9">
        <f t="shared" si="74"/>
        <v>5.8671737074804664E-3</v>
      </c>
      <c r="AD186" s="9">
        <f t="shared" si="74"/>
        <v>4.8716460999882472E-3</v>
      </c>
      <c r="AE186" s="9">
        <f t="shared" si="74"/>
        <v>3.9443916764856368E-3</v>
      </c>
      <c r="AF186" s="9">
        <f t="shared" si="74"/>
        <v>3.0867860782262113E-3</v>
      </c>
      <c r="AG186" s="9">
        <f t="shared" si="74"/>
        <v>2.2997673596945045E-3</v>
      </c>
      <c r="AH186" s="9">
        <f t="shared" si="74"/>
        <v>1.5668689456524998E-3</v>
      </c>
      <c r="AI186" s="9">
        <f t="shared" si="74"/>
        <v>9.0343561779571147E-4</v>
      </c>
      <c r="AJ186" s="9">
        <f t="shared" si="74"/>
        <v>3.1124103398916247E-4</v>
      </c>
      <c r="AK186" s="9">
        <f t="shared" si="74"/>
        <v>-2.0831809401877788E-4</v>
      </c>
      <c r="AL186" s="9">
        <f t="shared" si="74"/>
        <v>-6.5408751770223983E-4</v>
      </c>
      <c r="AM186" s="9">
        <f t="shared" ref="AM186:BC186" si="75">AM176/AM138/(AM166/AM127)-1</f>
        <v>-1.1794952450304708E-3</v>
      </c>
      <c r="AN186" s="9">
        <f t="shared" si="75"/>
        <v>-1.6462080142058966E-3</v>
      </c>
      <c r="AO186" s="9">
        <f t="shared" si="75"/>
        <v>-2.0429537305045598E-3</v>
      </c>
      <c r="AP186" s="9">
        <f t="shared" si="75"/>
        <v>-2.3616927876436433E-3</v>
      </c>
      <c r="AQ186" s="9">
        <f t="shared" si="75"/>
        <v>-2.5969518415442927E-3</v>
      </c>
      <c r="AR186" s="9">
        <f t="shared" si="75"/>
        <v>-2.7699656991031496E-3</v>
      </c>
      <c r="AS186" s="9">
        <f t="shared" si="75"/>
        <v>-2.8586628553007865E-3</v>
      </c>
      <c r="AT186" s="9">
        <f t="shared" si="75"/>
        <v>-2.8613191766763135E-3</v>
      </c>
      <c r="AU186" s="9">
        <f t="shared" si="75"/>
        <v>-2.7776744230783024E-3</v>
      </c>
      <c r="AV186" s="9">
        <f t="shared" si="75"/>
        <v>-2.6084826036930631E-3</v>
      </c>
      <c r="AW186" s="9">
        <f t="shared" si="75"/>
        <v>-2.4369505640078337E-3</v>
      </c>
      <c r="AX186" s="9">
        <f t="shared" si="75"/>
        <v>-2.1950729574170547E-3</v>
      </c>
      <c r="AY186" s="9">
        <f t="shared" si="75"/>
        <v>-1.8785456417770297E-3</v>
      </c>
      <c r="AZ186" s="9">
        <f t="shared" si="75"/>
        <v>-1.4861370467145196E-3</v>
      </c>
      <c r="BA186" s="9">
        <f t="shared" si="75"/>
        <v>-1.0184922203826385E-3</v>
      </c>
      <c r="BB186" s="9">
        <f t="shared" si="75"/>
        <v>-3.2821464647670995E-3</v>
      </c>
      <c r="BC186" s="9">
        <f t="shared" si="75"/>
        <v>-3.3394258183653269E-3</v>
      </c>
      <c r="BD186" s="9">
        <f t="shared" ref="BD186:BF186" si="76">BD176/BD138/(BD166/BD127)-1</f>
        <v>-3.3843333408267728E-3</v>
      </c>
      <c r="BE186" s="9">
        <f t="shared" si="76"/>
        <v>-3.4160345222543631E-3</v>
      </c>
      <c r="BF186" s="9">
        <f t="shared" si="76"/>
        <v>-3.4338280245942432E-3</v>
      </c>
    </row>
    <row r="187" spans="1:58" x14ac:dyDescent="0.35">
      <c r="B187" t="s">
        <v>9</v>
      </c>
      <c r="C187" s="9">
        <f t="shared" ref="C187:AL187" si="77">C177/C139/(C167/C128)-1</f>
        <v>1.9708891401547524E-2</v>
      </c>
      <c r="D187" s="9">
        <f t="shared" si="77"/>
        <v>2.1698227775448498E-2</v>
      </c>
      <c r="E187" s="9">
        <f t="shared" si="77"/>
        <v>2.253865142649869E-2</v>
      </c>
      <c r="F187" s="9">
        <f t="shared" si="77"/>
        <v>2.2735515347082735E-2</v>
      </c>
      <c r="G187" s="9">
        <f t="shared" si="77"/>
        <v>2.2467067310220301E-2</v>
      </c>
      <c r="H187" s="9">
        <f t="shared" si="77"/>
        <v>2.1843444952511781E-2</v>
      </c>
      <c r="I187" s="9">
        <f t="shared" si="77"/>
        <v>2.0984026002120126E-2</v>
      </c>
      <c r="J187" s="9">
        <f t="shared" si="77"/>
        <v>1.9935543084257379E-2</v>
      </c>
      <c r="K187" s="9">
        <f t="shared" si="77"/>
        <v>1.8756092349867304E-2</v>
      </c>
      <c r="L187" s="9">
        <f t="shared" si="77"/>
        <v>1.74941099214454E-2</v>
      </c>
      <c r="M187" s="9">
        <f t="shared" si="77"/>
        <v>1.7704083494580303E-2</v>
      </c>
      <c r="N187" s="9">
        <f t="shared" si="77"/>
        <v>1.5441414534069775E-2</v>
      </c>
      <c r="O187" s="9">
        <f t="shared" si="77"/>
        <v>1.309360188454356E-2</v>
      </c>
      <c r="P187" s="9">
        <f t="shared" si="77"/>
        <v>1.0788180798988689E-2</v>
      </c>
      <c r="Q187" s="9">
        <f t="shared" si="77"/>
        <v>8.5725640039691076E-3</v>
      </c>
      <c r="R187" s="9">
        <f t="shared" si="77"/>
        <v>6.4708564865501028E-3</v>
      </c>
      <c r="S187" s="9">
        <f t="shared" si="77"/>
        <v>4.5657643064551667E-3</v>
      </c>
      <c r="T187" s="9">
        <f t="shared" si="77"/>
        <v>2.7998226739422982E-3</v>
      </c>
      <c r="U187" s="9">
        <f t="shared" si="77"/>
        <v>1.1725026989981568E-3</v>
      </c>
      <c r="V187" s="9">
        <f t="shared" si="77"/>
        <v>-3.1881682265766376E-4</v>
      </c>
      <c r="W187" s="9">
        <f t="shared" si="77"/>
        <v>-1.6836918107032695E-3</v>
      </c>
      <c r="X187" s="9">
        <f t="shared" si="77"/>
        <v>-2.9194683295228341E-3</v>
      </c>
      <c r="Y187" s="9">
        <f t="shared" si="77"/>
        <v>-4.0430347639468511E-3</v>
      </c>
      <c r="Z187" s="9">
        <f t="shared" si="77"/>
        <v>-5.0640382052579147E-3</v>
      </c>
      <c r="AA187" s="9">
        <f t="shared" si="77"/>
        <v>-5.9930712066464942E-3</v>
      </c>
      <c r="AB187" s="9">
        <f t="shared" si="77"/>
        <v>-6.8564280501618446E-3</v>
      </c>
      <c r="AC187" s="9">
        <f t="shared" si="77"/>
        <v>-7.6620371916578112E-3</v>
      </c>
      <c r="AD187" s="9">
        <f t="shared" si="77"/>
        <v>-8.4055027850217234E-3</v>
      </c>
      <c r="AE187" s="9">
        <f t="shared" si="77"/>
        <v>-9.0934770222724781E-3</v>
      </c>
      <c r="AF187" s="9">
        <f t="shared" si="77"/>
        <v>-9.7327140664554834E-3</v>
      </c>
      <c r="AG187" s="9">
        <f t="shared" si="77"/>
        <v>-1.0329604081724675E-2</v>
      </c>
      <c r="AH187" s="9">
        <f t="shared" si="77"/>
        <v>-1.0906573629831384E-2</v>
      </c>
      <c r="AI187" s="9">
        <f t="shared" si="77"/>
        <v>-1.1452862950369735E-2</v>
      </c>
      <c r="AJ187" s="9">
        <f t="shared" si="77"/>
        <v>-1.1971664121153802E-2</v>
      </c>
      <c r="AK187" s="9">
        <f t="shared" si="77"/>
        <v>-1.2465912825547654E-2</v>
      </c>
      <c r="AL187" s="9">
        <f t="shared" si="77"/>
        <v>-1.2938104375054826E-2</v>
      </c>
      <c r="AM187" s="9">
        <f t="shared" ref="AM187:BC187" si="78">AM177/AM139/(AM167/AM128)-1</f>
        <v>-1.3543039424147474E-2</v>
      </c>
      <c r="AN187" s="9">
        <f t="shared" si="78"/>
        <v>-1.4132561202629956E-2</v>
      </c>
      <c r="AO187" s="9">
        <f t="shared" si="78"/>
        <v>-1.4698580494858837E-2</v>
      </c>
      <c r="AP187" s="9">
        <f t="shared" si="78"/>
        <v>-1.5236808902096333E-2</v>
      </c>
      <c r="AQ187" s="9">
        <f t="shared" si="78"/>
        <v>-1.5744880737903588E-2</v>
      </c>
      <c r="AR187" s="9">
        <f t="shared" si="78"/>
        <v>-1.6245639792672795E-2</v>
      </c>
      <c r="AS187" s="9">
        <f t="shared" si="78"/>
        <v>-1.6716468598243162E-2</v>
      </c>
      <c r="AT187" s="9">
        <f t="shared" si="78"/>
        <v>-1.7156259157135811E-2</v>
      </c>
      <c r="AU187" s="9">
        <f t="shared" si="78"/>
        <v>-1.7564958582029777E-2</v>
      </c>
      <c r="AV187" s="9">
        <f t="shared" si="78"/>
        <v>-1.7943088931805629E-2</v>
      </c>
      <c r="AW187" s="9">
        <f t="shared" si="78"/>
        <v>-1.8371525315296844E-2</v>
      </c>
      <c r="AX187" s="9">
        <f t="shared" si="78"/>
        <v>-1.8775542184781613E-2</v>
      </c>
      <c r="AY187" s="9">
        <f t="shared" si="78"/>
        <v>-1.9150389055156536E-2</v>
      </c>
      <c r="AZ187" s="9">
        <f t="shared" si="78"/>
        <v>-1.949450079052073E-2</v>
      </c>
      <c r="BA187" s="9">
        <f t="shared" si="78"/>
        <v>-1.9807896687555115E-2</v>
      </c>
      <c r="BB187" s="9">
        <f t="shared" si="78"/>
        <v>-4.8690593586189213E-3</v>
      </c>
      <c r="BC187" s="9">
        <f t="shared" si="78"/>
        <v>-5.0537698595797265E-3</v>
      </c>
      <c r="BD187" s="9">
        <f t="shared" ref="BD187:BF187" si="79">BD177/BD139/(BD167/BD128)-1</f>
        <v>-5.2348142376216211E-3</v>
      </c>
      <c r="BE187" s="9">
        <f t="shared" si="79"/>
        <v>-5.4118195360129961E-3</v>
      </c>
      <c r="BF187" s="9">
        <f t="shared" si="79"/>
        <v>-5.5845337401694284E-3</v>
      </c>
    </row>
    <row r="188" spans="1:58" x14ac:dyDescent="0.35">
      <c r="B188" t="s">
        <v>10</v>
      </c>
      <c r="C188" s="9">
        <f t="shared" ref="C188:AL188" si="80">C178/C140/(C168/C129)-1</f>
        <v>1.0997515153896575E-2</v>
      </c>
      <c r="D188" s="9">
        <f t="shared" si="80"/>
        <v>1.4518951755474685E-2</v>
      </c>
      <c r="E188" s="9">
        <f t="shared" si="80"/>
        <v>1.6561232559413552E-2</v>
      </c>
      <c r="F188" s="9">
        <f t="shared" si="80"/>
        <v>1.7755409119127652E-2</v>
      </c>
      <c r="G188" s="9">
        <f t="shared" si="80"/>
        <v>1.8364504196777931E-2</v>
      </c>
      <c r="H188" s="9">
        <f t="shared" si="80"/>
        <v>1.8536654925788376E-2</v>
      </c>
      <c r="I188" s="9">
        <f t="shared" si="80"/>
        <v>1.8395235819909983E-2</v>
      </c>
      <c r="J188" s="9">
        <f t="shared" si="80"/>
        <v>1.8002936763021227E-2</v>
      </c>
      <c r="K188" s="9">
        <f t="shared" si="80"/>
        <v>1.7419717663395673E-2</v>
      </c>
      <c r="L188" s="9">
        <f t="shared" si="80"/>
        <v>1.6695097394372249E-2</v>
      </c>
      <c r="M188" s="9">
        <f t="shared" si="80"/>
        <v>1.6656578525789945E-2</v>
      </c>
      <c r="N188" s="9">
        <f t="shared" si="80"/>
        <v>1.5431985129932935E-2</v>
      </c>
      <c r="O188" s="9">
        <f t="shared" si="80"/>
        <v>1.3966135511518152E-2</v>
      </c>
      <c r="P188" s="9">
        <f t="shared" si="80"/>
        <v>1.2398501941503826E-2</v>
      </c>
      <c r="Q188" s="9">
        <f t="shared" si="80"/>
        <v>1.0794522098935388E-2</v>
      </c>
      <c r="R188" s="9">
        <f t="shared" si="80"/>
        <v>9.1970126827167764E-3</v>
      </c>
      <c r="S188" s="9">
        <f t="shared" si="80"/>
        <v>7.6733600670206847E-3</v>
      </c>
      <c r="T188" s="9">
        <f t="shared" si="80"/>
        <v>6.2230805398022504E-3</v>
      </c>
      <c r="U188" s="9">
        <f t="shared" si="80"/>
        <v>4.8604092444077818E-3</v>
      </c>
      <c r="V188" s="9">
        <f t="shared" si="80"/>
        <v>3.5958457672824462E-3</v>
      </c>
      <c r="W188" s="9">
        <f t="shared" si="80"/>
        <v>2.4393901222794501E-3</v>
      </c>
      <c r="X188" s="9">
        <f t="shared" si="80"/>
        <v>1.3850609389471913E-3</v>
      </c>
      <c r="Y188" s="9">
        <f t="shared" si="80"/>
        <v>4.3685008700555805E-4</v>
      </c>
      <c r="Z188" s="9">
        <f t="shared" si="80"/>
        <v>-4.0784611862509923E-4</v>
      </c>
      <c r="AA188" s="9">
        <f t="shared" si="80"/>
        <v>-1.1537489558980374E-3</v>
      </c>
      <c r="AB188" s="9">
        <f t="shared" si="80"/>
        <v>-1.7993241104341529E-3</v>
      </c>
      <c r="AC188" s="9">
        <f t="shared" si="80"/>
        <v>-2.3811751510570689E-3</v>
      </c>
      <c r="AD188" s="9">
        <f t="shared" si="80"/>
        <v>-2.8896026803008068E-3</v>
      </c>
      <c r="AE188" s="9">
        <f t="shared" si="80"/>
        <v>-3.3286784337297481E-3</v>
      </c>
      <c r="AF188" s="9">
        <f t="shared" si="80"/>
        <v>-3.7031875033975981E-3</v>
      </c>
      <c r="AG188" s="9">
        <f t="shared" si="80"/>
        <v>-4.0184990670565357E-3</v>
      </c>
      <c r="AH188" s="9">
        <f t="shared" si="80"/>
        <v>-4.2886797768050267E-3</v>
      </c>
      <c r="AI188" s="9">
        <f t="shared" si="80"/>
        <v>-4.5131638333787416E-3</v>
      </c>
      <c r="AJ188" s="9">
        <f t="shared" si="80"/>
        <v>-4.6959392555732116E-3</v>
      </c>
      <c r="AK188" s="9">
        <f t="shared" si="80"/>
        <v>-4.8410728575163375E-3</v>
      </c>
      <c r="AL188" s="9">
        <f t="shared" si="80"/>
        <v>-4.9524631702796418E-3</v>
      </c>
      <c r="AM188" s="9">
        <f t="shared" ref="AM188:BC188" si="81">AM178/AM140/(AM168/AM129)-1</f>
        <v>-5.1077607429911298E-3</v>
      </c>
      <c r="AN188" s="9">
        <f t="shared" si="81"/>
        <v>-5.2565875427345032E-3</v>
      </c>
      <c r="AO188" s="9">
        <f t="shared" si="81"/>
        <v>-5.3899076925659761E-3</v>
      </c>
      <c r="AP188" s="9">
        <f t="shared" si="81"/>
        <v>-5.5026300903279202E-3</v>
      </c>
      <c r="AQ188" s="9">
        <f t="shared" si="81"/>
        <v>-5.5920877303033967E-3</v>
      </c>
      <c r="AR188" s="9">
        <f t="shared" si="81"/>
        <v>-5.6694698514008213E-3</v>
      </c>
      <c r="AS188" s="9">
        <f t="shared" si="81"/>
        <v>-5.7262916407906372E-3</v>
      </c>
      <c r="AT188" s="9">
        <f t="shared" si="81"/>
        <v>-5.7614708210856902E-3</v>
      </c>
      <c r="AU188" s="9">
        <f t="shared" si="81"/>
        <v>-5.7748866199713866E-3</v>
      </c>
      <c r="AV188" s="9">
        <f t="shared" si="81"/>
        <v>-5.7669359748144799E-3</v>
      </c>
      <c r="AW188" s="9">
        <f t="shared" si="81"/>
        <v>-5.7789861733619219E-3</v>
      </c>
      <c r="AX188" s="9">
        <f t="shared" si="81"/>
        <v>-5.781799813791344E-3</v>
      </c>
      <c r="AY188" s="9">
        <f t="shared" si="81"/>
        <v>-5.7695167315153784E-3</v>
      </c>
      <c r="AZ188" s="9">
        <f t="shared" si="81"/>
        <v>-5.7400755925604008E-3</v>
      </c>
      <c r="BA188" s="9">
        <f t="shared" si="81"/>
        <v>-5.6930704661015685E-3</v>
      </c>
      <c r="BB188" s="9">
        <f t="shared" si="81"/>
        <v>-4.5152881580919901E-3</v>
      </c>
      <c r="BC188" s="9">
        <f t="shared" si="81"/>
        <v>-4.6558780453577198E-3</v>
      </c>
      <c r="BD188" s="9">
        <f t="shared" ref="BD188:BF188" si="82">BD178/BD140/(BD168/BD129)-1</f>
        <v>-4.7912267583254398E-3</v>
      </c>
      <c r="BE188" s="9">
        <f t="shared" si="82"/>
        <v>-4.9210641484708217E-3</v>
      </c>
      <c r="BF188" s="9">
        <f t="shared" si="82"/>
        <v>-5.0452665356431892E-3</v>
      </c>
    </row>
    <row r="189" spans="1:58" x14ac:dyDescent="0.35">
      <c r="B189" t="s">
        <v>29</v>
      </c>
      <c r="C189" s="9">
        <f t="shared" ref="C189:AL189" si="83">(C179+C180)/(C141+C142)/((C169+C170)/(C130+C131))-1</f>
        <v>1.8739547040874882E-2</v>
      </c>
      <c r="D189" s="9">
        <f t="shared" si="83"/>
        <v>2.1033684155375321E-2</v>
      </c>
      <c r="E189" s="9">
        <f t="shared" si="83"/>
        <v>2.2294493142587912E-2</v>
      </c>
      <c r="F189" s="9">
        <f t="shared" si="83"/>
        <v>2.323274981119039E-2</v>
      </c>
      <c r="G189" s="9">
        <f t="shared" si="83"/>
        <v>2.3845294603364708E-2</v>
      </c>
      <c r="H189" s="9">
        <f t="shared" si="83"/>
        <v>2.4170046105491005E-2</v>
      </c>
      <c r="I189" s="9">
        <f t="shared" si="83"/>
        <v>2.4263518710582188E-2</v>
      </c>
      <c r="J189" s="9">
        <f t="shared" si="83"/>
        <v>2.4139820625234565E-2</v>
      </c>
      <c r="K189" s="9">
        <f t="shared" si="83"/>
        <v>2.3835053807783391E-2</v>
      </c>
      <c r="L189" s="9">
        <f t="shared" si="83"/>
        <v>2.3398724058816711E-2</v>
      </c>
      <c r="M189" s="9">
        <f t="shared" si="83"/>
        <v>2.4428898316260828E-2</v>
      </c>
      <c r="N189" s="9">
        <f t="shared" si="83"/>
        <v>2.2924074055435062E-2</v>
      </c>
      <c r="O189" s="9">
        <f t="shared" si="83"/>
        <v>2.1164080610090785E-2</v>
      </c>
      <c r="P189" s="9">
        <f t="shared" si="83"/>
        <v>1.933598948310844E-2</v>
      </c>
      <c r="Q189" s="9">
        <f t="shared" si="83"/>
        <v>1.7494369905650231E-2</v>
      </c>
      <c r="R189" s="9">
        <f t="shared" si="83"/>
        <v>1.567015942748351E-2</v>
      </c>
      <c r="S189" s="9">
        <f t="shared" si="83"/>
        <v>1.3949700591471714E-2</v>
      </c>
      <c r="T189" s="9">
        <f t="shared" si="83"/>
        <v>1.2297043856050571E-2</v>
      </c>
      <c r="U189" s="9">
        <f t="shared" si="83"/>
        <v>1.072485408446866E-2</v>
      </c>
      <c r="V189" s="9">
        <f t="shared" si="83"/>
        <v>9.2445663225548813E-3</v>
      </c>
      <c r="W189" s="9">
        <f t="shared" si="83"/>
        <v>7.8529426628075605E-3</v>
      </c>
      <c r="X189" s="9">
        <f t="shared" si="83"/>
        <v>6.5789506184210644E-3</v>
      </c>
      <c r="Y189" s="9">
        <f t="shared" si="83"/>
        <v>5.408200835232968E-3</v>
      </c>
      <c r="Z189" s="9">
        <f t="shared" si="83"/>
        <v>4.3386719197884283E-3</v>
      </c>
      <c r="AA189" s="9">
        <f t="shared" si="83"/>
        <v>3.3666866117723071E-3</v>
      </c>
      <c r="AB189" s="9">
        <f t="shared" si="83"/>
        <v>2.4526404700027093E-3</v>
      </c>
      <c r="AC189" s="9">
        <f t="shared" si="83"/>
        <v>1.6275823021825175E-3</v>
      </c>
      <c r="AD189" s="9">
        <f t="shared" si="83"/>
        <v>8.8531801898095175E-4</v>
      </c>
      <c r="AE189" s="9">
        <f t="shared" si="83"/>
        <v>2.1906893866674437E-4</v>
      </c>
      <c r="AF189" s="9">
        <f t="shared" si="83"/>
        <v>-3.786950490984875E-4</v>
      </c>
      <c r="AG189" s="9">
        <f t="shared" si="83"/>
        <v>-9.1502146627642222E-4</v>
      </c>
      <c r="AH189" s="9">
        <f t="shared" si="83"/>
        <v>-1.4111946530639408E-3</v>
      </c>
      <c r="AI189" s="9">
        <f t="shared" si="83"/>
        <v>-1.8588643852156528E-3</v>
      </c>
      <c r="AJ189" s="9">
        <f t="shared" si="83"/>
        <v>-2.2619518521681536E-3</v>
      </c>
      <c r="AK189" s="9">
        <f t="shared" si="83"/>
        <v>-2.6244265710857473E-3</v>
      </c>
      <c r="AL189" s="9">
        <f t="shared" si="83"/>
        <v>-2.9501702799689111E-3</v>
      </c>
      <c r="AM189" s="9">
        <f t="shared" ref="AM189:BC189" si="84">(AM179+AM180)/(AM141+AM142)/((AM169+AM170)/(AM130+AM131))-1</f>
        <v>-3.3859143198160524E-3</v>
      </c>
      <c r="AN189" s="9">
        <f t="shared" si="84"/>
        <v>-3.795526205460531E-3</v>
      </c>
      <c r="AO189" s="9">
        <f t="shared" si="84"/>
        <v>-4.1733003597078655E-3</v>
      </c>
      <c r="AP189" s="9">
        <f t="shared" si="84"/>
        <v>-4.519580431677217E-3</v>
      </c>
      <c r="AQ189" s="9">
        <f t="shared" si="84"/>
        <v>-4.8351094151490859E-3</v>
      </c>
      <c r="AR189" s="9">
        <f t="shared" si="84"/>
        <v>-5.1420047710087902E-3</v>
      </c>
      <c r="AS189" s="9">
        <f t="shared" si="84"/>
        <v>-5.4205494226976514E-3</v>
      </c>
      <c r="AT189" s="9">
        <f t="shared" si="84"/>
        <v>-5.6700720365280288E-3</v>
      </c>
      <c r="AU189" s="9">
        <f t="shared" si="84"/>
        <v>-5.8912517047454704E-3</v>
      </c>
      <c r="AV189" s="9">
        <f t="shared" si="84"/>
        <v>-6.0856747349060658E-3</v>
      </c>
      <c r="AW189" s="9">
        <f t="shared" si="84"/>
        <v>-6.3296711957447904E-3</v>
      </c>
      <c r="AX189" s="9">
        <f t="shared" si="84"/>
        <v>-6.557992993987849E-3</v>
      </c>
      <c r="AY189" s="9">
        <f t="shared" si="84"/>
        <v>-6.76985383661588E-3</v>
      </c>
      <c r="AZ189" s="9">
        <f t="shared" si="84"/>
        <v>-6.9578402147941754E-3</v>
      </c>
      <c r="BA189" s="9">
        <f t="shared" si="84"/>
        <v>-7.117369876566304E-3</v>
      </c>
      <c r="BB189" s="9">
        <f t="shared" si="84"/>
        <v>-4.0902821510452325E-3</v>
      </c>
      <c r="BC189" s="9">
        <f t="shared" si="84"/>
        <v>-4.195930160900696E-3</v>
      </c>
      <c r="BD189" s="9">
        <f t="shared" ref="BD189:BF189" si="85">(BD179+BD180)/(BD141+BD142)/((BD169+BD170)/(BD130+BD131))-1</f>
        <v>-4.2938519498608718E-3</v>
      </c>
      <c r="BE189" s="9">
        <f t="shared" si="85"/>
        <v>-4.3843283318697468E-3</v>
      </c>
      <c r="BF189" s="9">
        <f t="shared" si="85"/>
        <v>-4.4677866069477989E-3</v>
      </c>
    </row>
    <row r="190" spans="1:58" x14ac:dyDescent="0.35">
      <c r="B190" t="s">
        <v>33</v>
      </c>
      <c r="C190" s="9">
        <f t="shared" ref="C190:AL190" si="86">C181/C143/(C171/C132)-1</f>
        <v>1.6125453580091431E-2</v>
      </c>
      <c r="D190" s="9">
        <f t="shared" si="86"/>
        <v>1.9488736466929835E-2</v>
      </c>
      <c r="E190" s="9">
        <f t="shared" si="86"/>
        <v>2.136684404667144E-2</v>
      </c>
      <c r="F190" s="9">
        <f t="shared" si="86"/>
        <v>2.2533968075250321E-2</v>
      </c>
      <c r="G190" s="9">
        <f t="shared" si="86"/>
        <v>2.2958798657601198E-2</v>
      </c>
      <c r="H190" s="9">
        <f t="shared" si="86"/>
        <v>2.2820987327916598E-2</v>
      </c>
      <c r="I190" s="9">
        <f t="shared" si="86"/>
        <v>2.2383551713885952E-2</v>
      </c>
      <c r="J190" s="9">
        <f t="shared" si="86"/>
        <v>2.1847002093539958E-2</v>
      </c>
      <c r="K190" s="9">
        <f t="shared" si="86"/>
        <v>2.1354510304122387E-2</v>
      </c>
      <c r="L190" s="9">
        <f t="shared" si="86"/>
        <v>2.1027571181422511E-2</v>
      </c>
      <c r="M190" s="9">
        <f t="shared" si="86"/>
        <v>2.1887383585910802E-2</v>
      </c>
      <c r="N190" s="9">
        <f t="shared" si="86"/>
        <v>2.170985301991335E-2</v>
      </c>
      <c r="O190" s="9">
        <f t="shared" si="86"/>
        <v>2.1499269175316638E-2</v>
      </c>
      <c r="P190" s="9">
        <f t="shared" si="86"/>
        <v>2.137442106478149E-2</v>
      </c>
      <c r="Q190" s="9">
        <f t="shared" si="86"/>
        <v>2.1354297787731902E-2</v>
      </c>
      <c r="R190" s="9">
        <f t="shared" si="86"/>
        <v>2.1446957065215599E-2</v>
      </c>
      <c r="S190" s="9">
        <f t="shared" si="86"/>
        <v>2.1695855195372538E-2</v>
      </c>
      <c r="T190" s="9">
        <f t="shared" si="86"/>
        <v>2.2100621079228722E-2</v>
      </c>
      <c r="U190" s="9">
        <f t="shared" si="86"/>
        <v>2.2656043888080291E-2</v>
      </c>
      <c r="V190" s="9">
        <f t="shared" si="86"/>
        <v>2.3355798424062213E-2</v>
      </c>
      <c r="W190" s="9">
        <f t="shared" si="86"/>
        <v>2.4190168204949902E-2</v>
      </c>
      <c r="X190" s="9">
        <f t="shared" si="86"/>
        <v>2.5157076969000602E-2</v>
      </c>
      <c r="Y190" s="9">
        <f t="shared" si="86"/>
        <v>2.6239976087911954E-2</v>
      </c>
      <c r="Z190" s="9">
        <f t="shared" si="86"/>
        <v>2.7428509145082103E-2</v>
      </c>
      <c r="AA190" s="9">
        <f t="shared" si="86"/>
        <v>2.871172152771595E-2</v>
      </c>
      <c r="AB190" s="9">
        <f t="shared" si="86"/>
        <v>3.0071573754926639E-2</v>
      </c>
      <c r="AC190" s="9">
        <f t="shared" si="86"/>
        <v>3.1500704075983155E-2</v>
      </c>
      <c r="AD190" s="9">
        <f t="shared" si="86"/>
        <v>3.2977620271851915E-2</v>
      </c>
      <c r="AE190" s="9">
        <f t="shared" si="86"/>
        <v>3.4496568714906362E-2</v>
      </c>
      <c r="AF190" s="9">
        <f t="shared" si="86"/>
        <v>3.6053158160239018E-2</v>
      </c>
      <c r="AG190" s="9">
        <f t="shared" si="86"/>
        <v>3.7643342218362852E-2</v>
      </c>
      <c r="AH190" s="9">
        <f t="shared" si="86"/>
        <v>3.9255806674856952E-2</v>
      </c>
      <c r="AI190" s="9">
        <f t="shared" si="86"/>
        <v>4.0888231101174233E-2</v>
      </c>
      <c r="AJ190" s="9">
        <f t="shared" si="86"/>
        <v>4.2540177420884451E-2</v>
      </c>
      <c r="AK190" s="9">
        <f t="shared" si="86"/>
        <v>4.4211722882685267E-2</v>
      </c>
      <c r="AL190" s="9">
        <f t="shared" si="86"/>
        <v>4.5903228327466961E-2</v>
      </c>
      <c r="AM190" s="9">
        <f t="shared" ref="AM190:BC190" si="87">AM181/AM143/(AM171/AM132)-1</f>
        <v>4.7548515040242378E-2</v>
      </c>
      <c r="AN190" s="9">
        <f t="shared" si="87"/>
        <v>4.916071050228088E-2</v>
      </c>
      <c r="AO190" s="9">
        <f t="shared" si="87"/>
        <v>5.0759577740077111E-2</v>
      </c>
      <c r="AP190" s="9">
        <f t="shared" si="87"/>
        <v>5.2364449119621792E-2</v>
      </c>
      <c r="AQ190" s="9">
        <f t="shared" si="87"/>
        <v>5.3991046155615008E-2</v>
      </c>
      <c r="AR190" s="9">
        <f t="shared" si="87"/>
        <v>5.5641015975041341E-2</v>
      </c>
      <c r="AS190" s="9">
        <f t="shared" si="87"/>
        <v>5.7323424624040165E-2</v>
      </c>
      <c r="AT190" s="9">
        <f t="shared" si="87"/>
        <v>5.9046838066073581E-2</v>
      </c>
      <c r="AU190" s="9">
        <f t="shared" si="87"/>
        <v>6.0817527888244349E-2</v>
      </c>
      <c r="AV190" s="9">
        <f t="shared" si="87"/>
        <v>6.2638512507771749E-2</v>
      </c>
      <c r="AW190" s="9">
        <f t="shared" si="87"/>
        <v>6.4471634589267968E-2</v>
      </c>
      <c r="AX190" s="9">
        <f t="shared" si="87"/>
        <v>6.6283811085962041E-2</v>
      </c>
      <c r="AY190" s="9">
        <f t="shared" si="87"/>
        <v>6.8074846242066611E-2</v>
      </c>
      <c r="AZ190" s="9">
        <f t="shared" si="87"/>
        <v>6.9884828821143996E-2</v>
      </c>
      <c r="BA190" s="9">
        <f t="shared" si="87"/>
        <v>7.1747261598724021E-2</v>
      </c>
      <c r="BB190" s="9">
        <f t="shared" si="87"/>
        <v>2.2428448509804522E-2</v>
      </c>
      <c r="BC190" s="9">
        <f t="shared" si="87"/>
        <v>2.3685348665945183E-2</v>
      </c>
      <c r="BD190" s="9">
        <f t="shared" ref="BD190:BF190" si="88">BD181/BD143/(BD171/BD132)-1</f>
        <v>2.4985452524077578E-2</v>
      </c>
      <c r="BE190" s="9">
        <f t="shared" si="88"/>
        <v>2.6329744699673974E-2</v>
      </c>
      <c r="BF190" s="9">
        <f t="shared" si="88"/>
        <v>2.7717781782209183E-2</v>
      </c>
    </row>
    <row r="192" spans="1:58" x14ac:dyDescent="0.35">
      <c r="A192" s="12" t="s">
        <v>86</v>
      </c>
      <c r="B192" t="s">
        <v>27</v>
      </c>
      <c r="C192" s="5">
        <f>[1]Results!F1434</f>
        <v>27192.157449999999</v>
      </c>
      <c r="D192" s="5">
        <f>[1]Results!G1434</f>
        <v>27059.77893</v>
      </c>
      <c r="E192" s="5">
        <f>[1]Results!H1434</f>
        <v>26965.875039999999</v>
      </c>
      <c r="F192" s="5">
        <f>[1]Results!I1434</f>
        <v>26916.937849999998</v>
      </c>
      <c r="G192" s="5">
        <f>[1]Results!J1434</f>
        <v>26910.285790000002</v>
      </c>
      <c r="H192" s="5">
        <f>[1]Results!K1434</f>
        <v>26939.581900000001</v>
      </c>
      <c r="I192" s="5">
        <f>[1]Results!L1434</f>
        <v>26986.823759999999</v>
      </c>
      <c r="J192" s="5">
        <f>[1]Results!M1434</f>
        <v>27047.078870000001</v>
      </c>
      <c r="K192" s="5">
        <f>[1]Results!N1434</f>
        <v>27116.651969999999</v>
      </c>
      <c r="L192" s="5">
        <f>[1]Results!O1434</f>
        <v>27192.573100000001</v>
      </c>
      <c r="M192" s="5">
        <f>[1]Results!P1434</f>
        <v>27275.398089999999</v>
      </c>
      <c r="N192" s="5">
        <f>[1]Results!Q1434</f>
        <v>27369.632079999999</v>
      </c>
      <c r="O192" s="5">
        <f>[1]Results!R1434</f>
        <v>27471.284339999998</v>
      </c>
      <c r="P192" s="5">
        <f>[1]Results!S1434</f>
        <v>27576.81609</v>
      </c>
      <c r="Q192" s="5">
        <f>[1]Results!T1434</f>
        <v>27683.682359999999</v>
      </c>
      <c r="R192" s="5">
        <f>[1]Results!U1434</f>
        <v>27790.18521</v>
      </c>
      <c r="S192" s="5">
        <f>[1]Results!V1434</f>
        <v>27894.973600000001</v>
      </c>
      <c r="T192" s="5">
        <f>[1]Results!W1434</f>
        <v>27997.386719999999</v>
      </c>
      <c r="U192" s="5">
        <f>[1]Results!X1434</f>
        <v>28097.167949999999</v>
      </c>
      <c r="V192" s="5">
        <f>[1]Results!Y1434</f>
        <v>28194.30243</v>
      </c>
      <c r="W192" s="5">
        <f>[1]Results!Z1434</f>
        <v>28277.470160000001</v>
      </c>
      <c r="X192" s="5">
        <f>[1]Results!AA1434</f>
        <v>28360.450980000001</v>
      </c>
      <c r="Y192" s="5">
        <f>[1]Results!AB1434</f>
        <v>28443.887480000001</v>
      </c>
      <c r="Z192" s="5">
        <f>[1]Results!AC1434</f>
        <v>28527.777050000001</v>
      </c>
      <c r="AA192" s="5">
        <f>[1]Results!AD1434</f>
        <v>28612.022580000001</v>
      </c>
      <c r="AB192" s="5">
        <f>[1]Results!AE1434</f>
        <v>28665.389299999999</v>
      </c>
      <c r="AC192" s="5">
        <f>[1]Results!AF1434</f>
        <v>28710.125639999998</v>
      </c>
      <c r="AD192" s="5">
        <f>[1]Results!AG1434</f>
        <v>28749.909800000001</v>
      </c>
      <c r="AE192" s="5">
        <f>[1]Results!AH1434</f>
        <v>28787.031920000001</v>
      </c>
      <c r="AF192" s="5">
        <f>[1]Results!AI1434</f>
        <v>28823.103790000001</v>
      </c>
      <c r="AG192" s="5">
        <f>[1]Results!AJ1434</f>
        <v>28859.259610000001</v>
      </c>
      <c r="AH192" s="5">
        <f>[1]Results!AK1434</f>
        <v>28896.28458</v>
      </c>
      <c r="AI192" s="5">
        <f>[1]Results!AL1434</f>
        <v>28934.651239999999</v>
      </c>
      <c r="AJ192" s="5">
        <f>[1]Results!AM1434</f>
        <v>28974.560809999999</v>
      </c>
      <c r="AK192" s="5">
        <f>[1]Results!AN1434</f>
        <v>29016.03066</v>
      </c>
      <c r="AL192" s="5">
        <f>[1]Results!AO1434</f>
        <v>29058.962019999999</v>
      </c>
      <c r="AM192" s="5">
        <f>[1]Results!AP1434</f>
        <v>29096.816299999999</v>
      </c>
      <c r="AN192" s="5">
        <f>[1]Results!AQ1434</f>
        <v>29130.947</v>
      </c>
      <c r="AO192" s="5">
        <f>[1]Results!AR1434</f>
        <v>29162.592540000001</v>
      </c>
      <c r="AP192" s="5">
        <f>[1]Results!AS1434</f>
        <v>29192.699840000001</v>
      </c>
      <c r="AQ192" s="5">
        <f>[1]Results!AT1434</f>
        <v>29221.960149999999</v>
      </c>
      <c r="AR192" s="5">
        <f>[1]Results!AU1434</f>
        <v>29250.885490000001</v>
      </c>
      <c r="AS192" s="5">
        <f>[1]Results!AV1434</f>
        <v>29279.86969</v>
      </c>
      <c r="AT192" s="5">
        <f>[1]Results!AW1434</f>
        <v>29309.121080000001</v>
      </c>
      <c r="AU192" s="5">
        <f>[1]Results!AX1434</f>
        <v>29338.721939999999</v>
      </c>
      <c r="AV192" s="5">
        <f>[1]Results!AY1434</f>
        <v>29368.669470000001</v>
      </c>
      <c r="AW192" s="5">
        <f>[1]Results!AZ1434</f>
        <v>29399.46715</v>
      </c>
      <c r="AX192" s="5">
        <f>[1]Results!BA1434</f>
        <v>29431.170450000001</v>
      </c>
      <c r="AY192" s="5">
        <f>[1]Results!BB1434</f>
        <v>29463.606759999999</v>
      </c>
      <c r="AZ192" s="5">
        <f>[1]Results!BC1434</f>
        <v>29496.53758</v>
      </c>
      <c r="BA192" s="5">
        <f>[1]Results!BD1434</f>
        <v>29529.729189999998</v>
      </c>
      <c r="BB192" s="5">
        <f>[1]Results!BE1434</f>
        <v>31151.28602</v>
      </c>
      <c r="BC192" s="5">
        <f>[1]Results!BF1434</f>
        <v>31189.76338</v>
      </c>
      <c r="BD192" s="5">
        <f>[1]Results!BG1434</f>
        <v>31227.690480000001</v>
      </c>
      <c r="BE192" s="5">
        <f>[1]Results!BH1434</f>
        <v>31265.089660000001</v>
      </c>
      <c r="BF192" s="5">
        <f>[1]Results!BI1434</f>
        <v>31301.985199999999</v>
      </c>
    </row>
    <row r="193" spans="1:58" x14ac:dyDescent="0.35">
      <c r="A193" t="s">
        <v>39</v>
      </c>
      <c r="B193" t="s">
        <v>7</v>
      </c>
      <c r="C193" s="5">
        <f>[1]Results!F1435</f>
        <v>757.81952999999999</v>
      </c>
      <c r="D193" s="5">
        <f>[1]Results!G1435</f>
        <v>753.21467399999995</v>
      </c>
      <c r="E193" s="5">
        <f>[1]Results!H1435</f>
        <v>748.34003889999997</v>
      </c>
      <c r="F193" s="5">
        <f>[1]Results!I1435</f>
        <v>744.55805929999997</v>
      </c>
      <c r="G193" s="5">
        <f>[1]Results!J1435</f>
        <v>742.3802111</v>
      </c>
      <c r="H193" s="5">
        <f>[1]Results!K1435</f>
        <v>741.82952680000005</v>
      </c>
      <c r="I193" s="5">
        <f>[1]Results!L1435</f>
        <v>742.43913359999999</v>
      </c>
      <c r="J193" s="5">
        <f>[1]Results!M1435</f>
        <v>743.92802700000004</v>
      </c>
      <c r="K193" s="5">
        <f>[1]Results!N1435</f>
        <v>746.04955970000003</v>
      </c>
      <c r="L193" s="5">
        <f>[1]Results!O1435</f>
        <v>748.59853529999998</v>
      </c>
      <c r="M193" s="5">
        <f>[1]Results!P1435</f>
        <v>751.25775239999996</v>
      </c>
      <c r="N193" s="5">
        <f>[1]Results!Q1435</f>
        <v>754.64622420000001</v>
      </c>
      <c r="O193" s="5">
        <f>[1]Results!R1435</f>
        <v>758.46139849999997</v>
      </c>
      <c r="P193" s="5">
        <f>[1]Results!S1435</f>
        <v>762.48868679999998</v>
      </c>
      <c r="Q193" s="5">
        <f>[1]Results!T1435</f>
        <v>766.59095279999997</v>
      </c>
      <c r="R193" s="5">
        <f>[1]Results!U1435</f>
        <v>770.6831191</v>
      </c>
      <c r="S193" s="5">
        <f>[1]Results!V1435</f>
        <v>774.76303340000004</v>
      </c>
      <c r="T193" s="5">
        <f>[1]Results!W1435</f>
        <v>778.76813819999995</v>
      </c>
      <c r="U193" s="5">
        <f>[1]Results!X1435</f>
        <v>782.66807970000002</v>
      </c>
      <c r="V193" s="5">
        <f>[1]Results!Y1435</f>
        <v>786.45269780000001</v>
      </c>
      <c r="W193" s="5">
        <f>[1]Results!Z1435</f>
        <v>789.83612659999994</v>
      </c>
      <c r="X193" s="5">
        <f>[1]Results!AA1435</f>
        <v>793.12656870000001</v>
      </c>
      <c r="Y193" s="5">
        <f>[1]Results!AB1435</f>
        <v>796.3762438</v>
      </c>
      <c r="Z193" s="5">
        <f>[1]Results!AC1435</f>
        <v>799.606358</v>
      </c>
      <c r="AA193" s="5">
        <f>[1]Results!AD1435</f>
        <v>802.82710020000002</v>
      </c>
      <c r="AB193" s="5">
        <f>[1]Results!AE1435</f>
        <v>805.25833150000005</v>
      </c>
      <c r="AC193" s="5">
        <f>[1]Results!AF1435</f>
        <v>807.32790490000002</v>
      </c>
      <c r="AD193" s="5">
        <f>[1]Results!AG1435</f>
        <v>809.1830946</v>
      </c>
      <c r="AE193" s="5">
        <f>[1]Results!AH1435</f>
        <v>810.9234735</v>
      </c>
      <c r="AF193" s="5">
        <f>[1]Results!AI1435</f>
        <v>812.62116890000004</v>
      </c>
      <c r="AG193" s="5">
        <f>[1]Results!AJ1435</f>
        <v>814.32749860000001</v>
      </c>
      <c r="AH193" s="5">
        <f>[1]Results!AK1435</f>
        <v>816.06281049999996</v>
      </c>
      <c r="AI193" s="5">
        <f>[1]Results!AL1435</f>
        <v>817.85745459999998</v>
      </c>
      <c r="AJ193" s="5">
        <f>[1]Results!AM1435</f>
        <v>819.72651299999995</v>
      </c>
      <c r="AK193" s="5">
        <f>[1]Results!AN1435</f>
        <v>821.67479930000002</v>
      </c>
      <c r="AL193" s="5">
        <f>[1]Results!AO1435</f>
        <v>823.7008151</v>
      </c>
      <c r="AM193" s="5">
        <f>[1]Results!AP1435</f>
        <v>825.50259119999998</v>
      </c>
      <c r="AN193" s="5">
        <f>[1]Results!AQ1435</f>
        <v>827.16874919999998</v>
      </c>
      <c r="AO193" s="5">
        <f>[1]Results!AR1435</f>
        <v>828.765445</v>
      </c>
      <c r="AP193" s="5">
        <f>[1]Results!AS1435</f>
        <v>830.33650109999996</v>
      </c>
      <c r="AQ193" s="5">
        <f>[1]Results!AT1435</f>
        <v>831.91025630000001</v>
      </c>
      <c r="AR193" s="5">
        <f>[1]Results!AU1435</f>
        <v>833.48354700000004</v>
      </c>
      <c r="AS193" s="5">
        <f>[1]Results!AV1435</f>
        <v>835.08231350000005</v>
      </c>
      <c r="AT193" s="5">
        <f>[1]Results!AW1435</f>
        <v>836.7199938</v>
      </c>
      <c r="AU193" s="5">
        <f>[1]Results!AX1435</f>
        <v>838.40181759999996</v>
      </c>
      <c r="AV193" s="5">
        <f>[1]Results!AY1435</f>
        <v>840.12795779999999</v>
      </c>
      <c r="AW193" s="5">
        <f>[1]Results!AZ1435</f>
        <v>841.83479560000001</v>
      </c>
      <c r="AX193" s="5">
        <f>[1]Results!BA1435</f>
        <v>843.56777890000001</v>
      </c>
      <c r="AY193" s="5">
        <f>[1]Results!BB1435</f>
        <v>845.34380599999997</v>
      </c>
      <c r="AZ193" s="5">
        <f>[1]Results!BC1435</f>
        <v>847.16405420000001</v>
      </c>
      <c r="BA193" s="5">
        <f>[1]Results!BD1435</f>
        <v>849.0225226</v>
      </c>
      <c r="BB193" s="5">
        <f>[1]Results!BE1435</f>
        <v>820.99118099999998</v>
      </c>
      <c r="BC193" s="5">
        <f>[1]Results!BF1435</f>
        <v>821.45874209999999</v>
      </c>
      <c r="BD193" s="5">
        <f>[1]Results!BG1435</f>
        <v>821.93549919999998</v>
      </c>
      <c r="BE193" s="5">
        <f>[1]Results!BH1435</f>
        <v>822.4226175</v>
      </c>
      <c r="BF193" s="5">
        <f>[1]Results!BI1435</f>
        <v>822.92123130000004</v>
      </c>
    </row>
    <row r="194" spans="1:58" x14ac:dyDescent="0.35">
      <c r="B194" t="s">
        <v>8</v>
      </c>
      <c r="C194" s="5">
        <f>[1]Results!F1438</f>
        <v>4322.6016310000005</v>
      </c>
      <c r="D194" s="5">
        <f>[1]Results!G1438</f>
        <v>4290.8554400000003</v>
      </c>
      <c r="E194" s="5">
        <f>[1]Results!H1438</f>
        <v>4268.8049110000002</v>
      </c>
      <c r="F194" s="5">
        <f>[1]Results!I1438</f>
        <v>4256.1413300000004</v>
      </c>
      <c r="G194" s="5">
        <f>[1]Results!J1438</f>
        <v>4251.5085559999998</v>
      </c>
      <c r="H194" s="5">
        <f>[1]Results!K1438</f>
        <v>4253.2933819999998</v>
      </c>
      <c r="I194" s="5">
        <f>[1]Results!L1438</f>
        <v>4258.4954539999999</v>
      </c>
      <c r="J194" s="5">
        <f>[1]Results!M1438</f>
        <v>4265.9481569999998</v>
      </c>
      <c r="K194" s="5">
        <f>[1]Results!N1438</f>
        <v>4274.8682250000002</v>
      </c>
      <c r="L194" s="5">
        <f>[1]Results!O1438</f>
        <v>4284.7059950000003</v>
      </c>
      <c r="M194" s="5">
        <f>[1]Results!P1438</f>
        <v>4293.9971050000004</v>
      </c>
      <c r="N194" s="5">
        <f>[1]Results!Q1438</f>
        <v>4306.4832260000003</v>
      </c>
      <c r="O194" s="5">
        <f>[1]Results!R1438</f>
        <v>4320.9561659999999</v>
      </c>
      <c r="P194" s="5">
        <f>[1]Results!S1438</f>
        <v>4336.4908640000003</v>
      </c>
      <c r="Q194" s="5">
        <f>[1]Results!T1438</f>
        <v>4352.4722309999997</v>
      </c>
      <c r="R194" s="5">
        <f>[1]Results!U1438</f>
        <v>4368.5247200000003</v>
      </c>
      <c r="S194" s="5">
        <f>[1]Results!V1438</f>
        <v>4384.3330720000004</v>
      </c>
      <c r="T194" s="5">
        <f>[1]Results!W1438</f>
        <v>4399.8212599999997</v>
      </c>
      <c r="U194" s="5">
        <f>[1]Results!X1438</f>
        <v>4414.9860529999996</v>
      </c>
      <c r="V194" s="5">
        <f>[1]Results!Y1438</f>
        <v>4429.8638369999999</v>
      </c>
      <c r="W194" s="5">
        <f>[1]Results!Z1438</f>
        <v>4442.9876729999996</v>
      </c>
      <c r="X194" s="5">
        <f>[1]Results!AA1438</f>
        <v>4456.0702899999997</v>
      </c>
      <c r="Y194" s="5">
        <f>[1]Results!AB1438</f>
        <v>4469.3254010000001</v>
      </c>
      <c r="Z194" s="5">
        <f>[1]Results!AC1438</f>
        <v>4482.8265080000001</v>
      </c>
      <c r="AA194" s="5">
        <f>[1]Results!AD1438</f>
        <v>4496.5990380000003</v>
      </c>
      <c r="AB194" s="5">
        <f>[1]Results!AE1438</f>
        <v>4506.522602</v>
      </c>
      <c r="AC194" s="5">
        <f>[1]Results!AF1438</f>
        <v>4515.1426110000002</v>
      </c>
      <c r="AD194" s="5">
        <f>[1]Results!AG1438</f>
        <v>4522.9986369999997</v>
      </c>
      <c r="AE194" s="5">
        <f>[1]Results!AH1438</f>
        <v>4530.4408949999997</v>
      </c>
      <c r="AF194" s="5">
        <f>[1]Results!AI1438</f>
        <v>4537.7135029999999</v>
      </c>
      <c r="AG194" s="5">
        <f>[1]Results!AJ1438</f>
        <v>4544.9829890000001</v>
      </c>
      <c r="AH194" s="5">
        <f>[1]Results!AK1438</f>
        <v>4552.3754099999996</v>
      </c>
      <c r="AI194" s="5">
        <f>[1]Results!AL1438</f>
        <v>4559.9447369999998</v>
      </c>
      <c r="AJ194" s="5">
        <f>[1]Results!AM1438</f>
        <v>4567.704412</v>
      </c>
      <c r="AK194" s="5">
        <f>[1]Results!AN1438</f>
        <v>4575.6392089999999</v>
      </c>
      <c r="AL194" s="5">
        <f>[1]Results!AO1438</f>
        <v>4583.7148500000003</v>
      </c>
      <c r="AM194" s="5">
        <f>[1]Results!AP1438</f>
        <v>4591.192849</v>
      </c>
      <c r="AN194" s="5">
        <f>[1]Results!AQ1438</f>
        <v>4598.0792780000002</v>
      </c>
      <c r="AO194" s="5">
        <f>[1]Results!AR1438</f>
        <v>4604.4453350000003</v>
      </c>
      <c r="AP194" s="5">
        <f>[1]Results!AS1438</f>
        <v>4610.3672319999996</v>
      </c>
      <c r="AQ194" s="5">
        <f>[1]Results!AT1438</f>
        <v>4615.9087740000004</v>
      </c>
      <c r="AR194" s="5">
        <f>[1]Results!AU1438</f>
        <v>4621.1441359999999</v>
      </c>
      <c r="AS194" s="5">
        <f>[1]Results!AV1438</f>
        <v>4626.107626</v>
      </c>
      <c r="AT194" s="5">
        <f>[1]Results!AW1438</f>
        <v>4630.8163219999997</v>
      </c>
      <c r="AU194" s="5">
        <f>[1]Results!AX1438</f>
        <v>4635.2754150000001</v>
      </c>
      <c r="AV194" s="5">
        <f>[1]Results!AY1438</f>
        <v>4639.4820739999996</v>
      </c>
      <c r="AW194" s="5">
        <f>[1]Results!AZ1438</f>
        <v>4643.5799729999999</v>
      </c>
      <c r="AX194" s="5">
        <f>[1]Results!BA1438</f>
        <v>4647.5624239999997</v>
      </c>
      <c r="AY194" s="5">
        <f>[1]Results!BB1438</f>
        <v>4651.3987429999997</v>
      </c>
      <c r="AZ194" s="5">
        <f>[1]Results!BC1438</f>
        <v>4655.053457</v>
      </c>
      <c r="BA194" s="5">
        <f>[1]Results!BD1438</f>
        <v>4658.4946410000002</v>
      </c>
      <c r="BB194" s="5">
        <f>[1]Results!BE1438</f>
        <v>5231.1607729999996</v>
      </c>
      <c r="BC194" s="5">
        <f>[1]Results!BF1438</f>
        <v>5242.3388690000002</v>
      </c>
      <c r="BD194" s="5">
        <f>[1]Results!BG1438</f>
        <v>5253.0782669999999</v>
      </c>
      <c r="BE194" s="5">
        <f>[1]Results!BH1438</f>
        <v>5263.3729199999998</v>
      </c>
      <c r="BF194" s="5">
        <f>[1]Results!BI1438</f>
        <v>5273.218406</v>
      </c>
    </row>
    <row r="195" spans="1:58" x14ac:dyDescent="0.35">
      <c r="B195" t="s">
        <v>28</v>
      </c>
      <c r="C195" s="5">
        <f>[1]Results!F1450</f>
        <v>860.28189440000006</v>
      </c>
      <c r="D195" s="5">
        <f>[1]Results!G1450</f>
        <v>854.31516929999998</v>
      </c>
      <c r="E195" s="5">
        <f>[1]Results!H1450</f>
        <v>849.7484614</v>
      </c>
      <c r="F195" s="5">
        <f>[1]Results!I1450</f>
        <v>846.64182740000001</v>
      </c>
      <c r="G195" s="5">
        <f>[1]Results!J1450</f>
        <v>844.87152560000004</v>
      </c>
      <c r="H195" s="5">
        <f>[1]Results!K1450</f>
        <v>844.22944729999995</v>
      </c>
      <c r="I195" s="5">
        <f>[1]Results!L1450</f>
        <v>844.1730159</v>
      </c>
      <c r="J195" s="5">
        <f>[1]Results!M1450</f>
        <v>844.53402589999996</v>
      </c>
      <c r="K195" s="5">
        <f>[1]Results!N1450</f>
        <v>845.18373099999997</v>
      </c>
      <c r="L195" s="5">
        <f>[1]Results!O1450</f>
        <v>846.01512400000001</v>
      </c>
      <c r="M195" s="5">
        <f>[1]Results!P1450</f>
        <v>846.79720459999999</v>
      </c>
      <c r="N195" s="5">
        <f>[1]Results!Q1450</f>
        <v>848.12331059999997</v>
      </c>
      <c r="O195" s="5">
        <f>[1]Results!R1450</f>
        <v>849.75000050000006</v>
      </c>
      <c r="P195" s="5">
        <f>[1]Results!S1450</f>
        <v>851.49745959999996</v>
      </c>
      <c r="Q195" s="5">
        <f>[1]Results!T1450</f>
        <v>853.25083770000003</v>
      </c>
      <c r="R195" s="5">
        <f>[1]Results!U1450</f>
        <v>854.94206829999996</v>
      </c>
      <c r="S195" s="5">
        <f>[1]Results!V1450</f>
        <v>856.51403130000006</v>
      </c>
      <c r="T195" s="5">
        <f>[1]Results!W1450</f>
        <v>857.95449010000004</v>
      </c>
      <c r="U195" s="5">
        <f>[1]Results!X1450</f>
        <v>859.26441899999998</v>
      </c>
      <c r="V195" s="5">
        <f>[1]Results!Y1450</f>
        <v>860.45199149999996</v>
      </c>
      <c r="W195" s="5">
        <f>[1]Results!Z1450</f>
        <v>861.20994540000004</v>
      </c>
      <c r="X195" s="5">
        <f>[1]Results!AA1450</f>
        <v>861.93122129999995</v>
      </c>
      <c r="Y195" s="5">
        <f>[1]Results!AB1450</f>
        <v>862.6470577</v>
      </c>
      <c r="Z195" s="5">
        <f>[1]Results!AC1450</f>
        <v>863.36300730000005</v>
      </c>
      <c r="AA195" s="5">
        <f>[1]Results!AD1450</f>
        <v>864.08104260000005</v>
      </c>
      <c r="AB195" s="5">
        <f>[1]Results!AE1450</f>
        <v>863.93954729999996</v>
      </c>
      <c r="AC195" s="5">
        <f>[1]Results!AF1450</f>
        <v>863.56577540000001</v>
      </c>
      <c r="AD195" s="5">
        <f>[1]Results!AG1450</f>
        <v>863.07826250000005</v>
      </c>
      <c r="AE195" s="5">
        <f>[1]Results!AH1450</f>
        <v>862.54535750000002</v>
      </c>
      <c r="AF195" s="5">
        <f>[1]Results!AI1450</f>
        <v>862.01413690000004</v>
      </c>
      <c r="AG195" s="5">
        <f>[1]Results!AJ1450</f>
        <v>861.51750419999996</v>
      </c>
      <c r="AH195" s="5">
        <f>[1]Results!AK1450</f>
        <v>861.08095660000004</v>
      </c>
      <c r="AI195" s="5">
        <f>[1]Results!AL1450</f>
        <v>860.71612679999998</v>
      </c>
      <c r="AJ195" s="5">
        <f>[1]Results!AM1450</f>
        <v>860.42702169999995</v>
      </c>
      <c r="AK195" s="5">
        <f>[1]Results!AN1450</f>
        <v>860.21245599999997</v>
      </c>
      <c r="AL195" s="5">
        <f>[1]Results!AO1450</f>
        <v>860.06792940000003</v>
      </c>
      <c r="AM195" s="5">
        <f>[1]Results!AP1450</f>
        <v>859.83930350000003</v>
      </c>
      <c r="AN195" s="5">
        <f>[1]Results!AQ1450</f>
        <v>859.54880639999999</v>
      </c>
      <c r="AO195" s="5">
        <f>[1]Results!AR1450</f>
        <v>859.22370290000003</v>
      </c>
      <c r="AP195" s="5">
        <f>[1]Results!AS1450</f>
        <v>858.88613559999999</v>
      </c>
      <c r="AQ195" s="5">
        <f>[1]Results!AT1450</f>
        <v>858.55254669999999</v>
      </c>
      <c r="AR195" s="5">
        <f>[1]Results!AU1450</f>
        <v>858.23950049999996</v>
      </c>
      <c r="AS195" s="5">
        <f>[1]Results!AV1450</f>
        <v>857.95420890000003</v>
      </c>
      <c r="AT195" s="5">
        <f>[1]Results!AW1450</f>
        <v>857.69967410000004</v>
      </c>
      <c r="AU195" s="5">
        <f>[1]Results!AX1450</f>
        <v>857.4760493</v>
      </c>
      <c r="AV195" s="5">
        <f>[1]Results!AY1450</f>
        <v>857.28152060000002</v>
      </c>
      <c r="AW195" s="5">
        <f>[1]Results!AZ1450</f>
        <v>857.14317170000004</v>
      </c>
      <c r="AX195" s="5">
        <f>[1]Results!BA1450</f>
        <v>857.054261</v>
      </c>
      <c r="AY195" s="5">
        <f>[1]Results!BB1450</f>
        <v>857.00418439999999</v>
      </c>
      <c r="AZ195" s="5">
        <f>[1]Results!BC1450</f>
        <v>856.98264129999995</v>
      </c>
      <c r="BA195" s="5">
        <f>[1]Results!BD1450</f>
        <v>856.9808501</v>
      </c>
      <c r="BB195" s="5">
        <f>[1]Results!BE1450</f>
        <v>906.05349030000002</v>
      </c>
      <c r="BC195" s="5">
        <f>[1]Results!BF1450</f>
        <v>906.0849584</v>
      </c>
      <c r="BD195" s="5">
        <f>[1]Results!BG1450</f>
        <v>906.13729030000002</v>
      </c>
      <c r="BE195" s="5">
        <f>[1]Results!BH1450</f>
        <v>906.21093189999999</v>
      </c>
      <c r="BF195" s="5">
        <f>[1]Results!BI1450</f>
        <v>906.30620550000003</v>
      </c>
    </row>
    <row r="196" spans="1:58" x14ac:dyDescent="0.35">
      <c r="B196" t="s">
        <v>10</v>
      </c>
      <c r="C196" s="5">
        <f>[1]Results!F1455</f>
        <v>21146.65713</v>
      </c>
      <c r="D196" s="5">
        <f>[1]Results!G1455</f>
        <v>21057.103060000001</v>
      </c>
      <c r="E196" s="5">
        <f>[1]Results!H1455</f>
        <v>20995.426459999999</v>
      </c>
      <c r="F196" s="5">
        <f>[1]Results!I1455</f>
        <v>20966.82545</v>
      </c>
      <c r="G196" s="5">
        <f>[1]Results!J1455</f>
        <v>20969.46716</v>
      </c>
      <c r="H196" s="5">
        <f>[1]Results!K1455</f>
        <v>20998.756229999999</v>
      </c>
      <c r="I196" s="5">
        <f>[1]Results!L1455</f>
        <v>21040.721089999999</v>
      </c>
      <c r="J196" s="5">
        <f>[1]Results!M1455</f>
        <v>21092.0599</v>
      </c>
      <c r="K196" s="5">
        <f>[1]Results!N1455</f>
        <v>21150.258559999998</v>
      </c>
      <c r="L196" s="5">
        <f>[1]Results!O1455</f>
        <v>21213.23531</v>
      </c>
      <c r="M196" s="5">
        <f>[1]Results!P1455</f>
        <v>21283.595870000001</v>
      </c>
      <c r="N196" s="5">
        <f>[1]Results!Q1455</f>
        <v>21360.841130000001</v>
      </c>
      <c r="O196" s="5">
        <f>[1]Results!R1455</f>
        <v>21442.762630000001</v>
      </c>
      <c r="P196" s="5">
        <f>[1]Results!S1455</f>
        <v>21527.159319999999</v>
      </c>
      <c r="Q196" s="5">
        <f>[1]Results!T1455</f>
        <v>21612.36262</v>
      </c>
      <c r="R196" s="5">
        <f>[1]Results!U1455</f>
        <v>21697.207620000001</v>
      </c>
      <c r="S196" s="5">
        <f>[1]Results!V1455</f>
        <v>21780.714540000001</v>
      </c>
      <c r="T196" s="5">
        <f>[1]Results!W1455</f>
        <v>21862.377810000002</v>
      </c>
      <c r="U196" s="5">
        <f>[1]Results!X1455</f>
        <v>21941.974699999999</v>
      </c>
      <c r="V196" s="5">
        <f>[1]Results!Y1455</f>
        <v>22019.455580000002</v>
      </c>
      <c r="W196" s="5">
        <f>[1]Results!Z1455</f>
        <v>22085.592379999998</v>
      </c>
      <c r="X196" s="5">
        <f>[1]Results!AA1455</f>
        <v>22151.712070000001</v>
      </c>
      <c r="Y196" s="5">
        <f>[1]Results!AB1455</f>
        <v>22218.15382</v>
      </c>
      <c r="Z196" s="5">
        <f>[1]Results!AC1455</f>
        <v>22284.81395</v>
      </c>
      <c r="AA196" s="5">
        <f>[1]Results!AD1455</f>
        <v>22351.557809999998</v>
      </c>
      <c r="AB196" s="5">
        <f>[1]Results!AE1455</f>
        <v>22393.001929999999</v>
      </c>
      <c r="AC196" s="5">
        <f>[1]Results!AF1455</f>
        <v>22427.737529999999</v>
      </c>
      <c r="AD196" s="5">
        <f>[1]Results!AG1455</f>
        <v>22458.617819999999</v>
      </c>
      <c r="AE196" s="5">
        <f>[1]Results!AH1455</f>
        <v>22487.405490000001</v>
      </c>
      <c r="AF196" s="5">
        <f>[1]Results!AI1455</f>
        <v>22515.343840000001</v>
      </c>
      <c r="AG196" s="5">
        <f>[1]Results!AJ1455</f>
        <v>22543.313300000002</v>
      </c>
      <c r="AH196" s="5">
        <f>[1]Results!AK1455</f>
        <v>22571.926810000001</v>
      </c>
      <c r="AI196" s="5">
        <f>[1]Results!AL1455</f>
        <v>22601.559069999999</v>
      </c>
      <c r="AJ196" s="5">
        <f>[1]Results!AM1455</f>
        <v>22632.378059999999</v>
      </c>
      <c r="AK196" s="5">
        <f>[1]Results!AN1455</f>
        <v>22664.41286</v>
      </c>
      <c r="AL196" s="5">
        <f>[1]Results!AO1455</f>
        <v>22697.605530000001</v>
      </c>
      <c r="AM196" s="5">
        <f>[1]Results!AP1455</f>
        <v>22726.64372</v>
      </c>
      <c r="AN196" s="5">
        <f>[1]Results!AQ1455</f>
        <v>22752.753369999999</v>
      </c>
      <c r="AO196" s="5">
        <f>[1]Results!AR1455</f>
        <v>22777.00044</v>
      </c>
      <c r="AP196" s="5">
        <f>[1]Results!AS1455</f>
        <v>22800.185229999999</v>
      </c>
      <c r="AQ196" s="5">
        <f>[1]Results!AT1455</f>
        <v>22822.888350000001</v>
      </c>
      <c r="AR196" s="5">
        <f>[1]Results!AU1455</f>
        <v>22845.535550000001</v>
      </c>
      <c r="AS196" s="5">
        <f>[1]Results!AV1455</f>
        <v>22868.45174</v>
      </c>
      <c r="AT196" s="5">
        <f>[1]Results!AW1455</f>
        <v>22891.811460000001</v>
      </c>
      <c r="AU196" s="5">
        <f>[1]Results!AX1455</f>
        <v>22915.68678</v>
      </c>
      <c r="AV196" s="5">
        <f>[1]Results!AY1455</f>
        <v>22940.080010000001</v>
      </c>
      <c r="AW196" s="5">
        <f>[1]Results!AZ1455</f>
        <v>22965.393670000001</v>
      </c>
      <c r="AX196" s="5">
        <f>[1]Results!BA1455</f>
        <v>22991.647130000001</v>
      </c>
      <c r="AY196" s="5">
        <f>[1]Results!BB1455</f>
        <v>23018.69096</v>
      </c>
      <c r="AZ196" s="5">
        <f>[1]Results!BC1455</f>
        <v>23046.33149</v>
      </c>
      <c r="BA196" s="5">
        <f>[1]Results!BD1455</f>
        <v>23074.382509999999</v>
      </c>
      <c r="BB196" s="5">
        <f>[1]Results!BE1455</f>
        <v>24105.83799</v>
      </c>
      <c r="BC196" s="5">
        <f>[1]Results!BF1455</f>
        <v>24132.885460000001</v>
      </c>
      <c r="BD196" s="5">
        <f>[1]Results!BG1455</f>
        <v>24159.784810000001</v>
      </c>
      <c r="BE196" s="5">
        <f>[1]Results!BH1455</f>
        <v>24186.563109999999</v>
      </c>
      <c r="BF196" s="5">
        <f>[1]Results!BI1455</f>
        <v>24213.247859999999</v>
      </c>
    </row>
    <row r="197" spans="1:58" x14ac:dyDescent="0.35">
      <c r="B197" t="s">
        <v>29</v>
      </c>
      <c r="C197" s="5">
        <f>C202-C198</f>
        <v>10.469360086000002</v>
      </c>
      <c r="D197" s="5">
        <f t="shared" ref="D197:AL197" si="89">D202-D198</f>
        <v>10.365039973000002</v>
      </c>
      <c r="E197" s="5">
        <f t="shared" si="89"/>
        <v>10.2660445309</v>
      </c>
      <c r="F197" s="5">
        <f t="shared" si="89"/>
        <v>10.1783716809</v>
      </c>
      <c r="G197" s="5">
        <f t="shared" si="89"/>
        <v>10.106169218900002</v>
      </c>
      <c r="H197" s="5">
        <f t="shared" si="89"/>
        <v>10.050416112499999</v>
      </c>
      <c r="I197" s="5">
        <f t="shared" si="89"/>
        <v>10.006167867799999</v>
      </c>
      <c r="J197" s="5">
        <f t="shared" si="89"/>
        <v>9.9715679156999997</v>
      </c>
      <c r="K197" s="5">
        <f t="shared" si="89"/>
        <v>9.9444537602</v>
      </c>
      <c r="L197" s="5">
        <f t="shared" si="89"/>
        <v>9.9225592326000012</v>
      </c>
      <c r="M197" s="5">
        <f t="shared" si="89"/>
        <v>9.8997245830000011</v>
      </c>
      <c r="N197" s="5">
        <f t="shared" si="89"/>
        <v>9.8869701589000023</v>
      </c>
      <c r="O197" s="5">
        <f t="shared" si="89"/>
        <v>9.8803587234999988</v>
      </c>
      <c r="P197" s="5">
        <f t="shared" si="89"/>
        <v>9.8769500081000015</v>
      </c>
      <c r="Q197" s="5">
        <f t="shared" si="89"/>
        <v>9.8749813135000011</v>
      </c>
      <c r="R197" s="5">
        <f t="shared" si="89"/>
        <v>9.8734592912999997</v>
      </c>
      <c r="S197" s="5">
        <f t="shared" si="89"/>
        <v>9.8715691411000002</v>
      </c>
      <c r="T197" s="5">
        <f t="shared" si="89"/>
        <v>9.8691057750000013</v>
      </c>
      <c r="U197" s="5">
        <f t="shared" si="89"/>
        <v>9.8660016536999997</v>
      </c>
      <c r="V197" s="5">
        <f t="shared" si="89"/>
        <v>9.8622504711000012</v>
      </c>
      <c r="W197" s="5">
        <f t="shared" si="89"/>
        <v>9.8543519855999975</v>
      </c>
      <c r="X197" s="5">
        <f t="shared" si="89"/>
        <v>9.8466874124000014</v>
      </c>
      <c r="Y197" s="5">
        <f t="shared" si="89"/>
        <v>9.8394012566000004</v>
      </c>
      <c r="Z197" s="5">
        <f t="shared" si="89"/>
        <v>9.8323690498000005</v>
      </c>
      <c r="AA197" s="5">
        <f t="shared" si="89"/>
        <v>9.8254935229999987</v>
      </c>
      <c r="AB197" s="5">
        <f t="shared" si="89"/>
        <v>9.8092194381999995</v>
      </c>
      <c r="AC197" s="5">
        <f t="shared" si="89"/>
        <v>9.7908428806000014</v>
      </c>
      <c r="AD197" s="5">
        <f t="shared" si="89"/>
        <v>9.7715493032999987</v>
      </c>
      <c r="AE197" s="5">
        <f t="shared" si="89"/>
        <v>9.7518802848999986</v>
      </c>
      <c r="AF197" s="5">
        <f t="shared" si="89"/>
        <v>9.7321858293999988</v>
      </c>
      <c r="AG197" s="5">
        <f t="shared" si="89"/>
        <v>9.7127207123000012</v>
      </c>
      <c r="AH197" s="5">
        <f t="shared" si="89"/>
        <v>9.6937238832000006</v>
      </c>
      <c r="AI197" s="5">
        <f t="shared" si="89"/>
        <v>9.6753077278999999</v>
      </c>
      <c r="AJ197" s="5">
        <f t="shared" si="89"/>
        <v>9.6575354054999991</v>
      </c>
      <c r="AK197" s="5">
        <f t="shared" si="89"/>
        <v>9.6404347203999983</v>
      </c>
      <c r="AL197" s="5">
        <f t="shared" si="89"/>
        <v>9.6240092608999994</v>
      </c>
      <c r="AM197" s="5">
        <f t="shared" ref="AM197:BC197" si="90">AM202-AM198</f>
        <v>9.6067186954999997</v>
      </c>
      <c r="AN197" s="5">
        <f t="shared" si="90"/>
        <v>9.5888682291999991</v>
      </c>
      <c r="AO197" s="5">
        <f t="shared" si="90"/>
        <v>9.5707984060999998</v>
      </c>
      <c r="AP197" s="5">
        <f t="shared" si="90"/>
        <v>9.5527695663000021</v>
      </c>
      <c r="AQ197" s="5">
        <f t="shared" si="90"/>
        <v>9.5349628302000013</v>
      </c>
      <c r="AR197" s="5">
        <f t="shared" si="90"/>
        <v>9.5175650527999984</v>
      </c>
      <c r="AS197" s="5">
        <f t="shared" si="90"/>
        <v>9.5006341258000013</v>
      </c>
      <c r="AT197" s="5">
        <f t="shared" si="90"/>
        <v>9.4841942583000023</v>
      </c>
      <c r="AU197" s="5">
        <f t="shared" si="90"/>
        <v>9.4682516156000016</v>
      </c>
      <c r="AV197" s="5">
        <f t="shared" si="90"/>
        <v>9.4527997450000001</v>
      </c>
      <c r="AW197" s="5">
        <f t="shared" si="90"/>
        <v>9.4381941189000003</v>
      </c>
      <c r="AX197" s="5">
        <f t="shared" si="90"/>
        <v>9.424332392100002</v>
      </c>
      <c r="AY197" s="5">
        <f t="shared" si="90"/>
        <v>9.411102936799999</v>
      </c>
      <c r="AZ197" s="5">
        <f t="shared" si="90"/>
        <v>9.3984208362999997</v>
      </c>
      <c r="BA197" s="5">
        <f t="shared" si="90"/>
        <v>9.3862241216999998</v>
      </c>
      <c r="BB197" s="5">
        <f t="shared" si="90"/>
        <v>10.155948501900001</v>
      </c>
      <c r="BC197" s="5">
        <f t="shared" si="90"/>
        <v>10.145430733600001</v>
      </c>
      <c r="BD197" s="5">
        <f t="shared" ref="BD197:BF197" si="91">BD202-BD198</f>
        <v>10.1351860352</v>
      </c>
      <c r="BE197" s="5">
        <f t="shared" si="91"/>
        <v>10.125230133700001</v>
      </c>
      <c r="BF197" s="5">
        <f t="shared" si="91"/>
        <v>10.115579647300001</v>
      </c>
    </row>
    <row r="198" spans="1:58" x14ac:dyDescent="0.35">
      <c r="B198" t="s">
        <v>36</v>
      </c>
      <c r="C198" s="5">
        <f>C200+C201</f>
        <v>7.3309238639999998</v>
      </c>
      <c r="D198" s="5">
        <f t="shared" ref="D198:AL198" si="92">D200+D201</f>
        <v>7.2543158270000001</v>
      </c>
      <c r="E198" s="5">
        <f t="shared" si="92"/>
        <v>7.1742170091000004</v>
      </c>
      <c r="F198" s="5">
        <f t="shared" si="92"/>
        <v>7.1000280290999997</v>
      </c>
      <c r="G198" s="5">
        <f t="shared" si="92"/>
        <v>7.0377247211</v>
      </c>
      <c r="H198" s="5">
        <f t="shared" si="92"/>
        <v>6.9891317575</v>
      </c>
      <c r="I198" s="5">
        <f t="shared" si="92"/>
        <v>6.9511783622000003</v>
      </c>
      <c r="J198" s="5">
        <f t="shared" si="92"/>
        <v>6.9221597543</v>
      </c>
      <c r="K198" s="5">
        <f t="shared" si="92"/>
        <v>6.9000417297999999</v>
      </c>
      <c r="L198" s="5">
        <f t="shared" si="92"/>
        <v>6.8828690474000007</v>
      </c>
      <c r="M198" s="5">
        <f t="shared" si="92"/>
        <v>6.8661854369999995</v>
      </c>
      <c r="N198" s="5">
        <f t="shared" si="92"/>
        <v>6.8569353510999997</v>
      </c>
      <c r="O198" s="5">
        <f t="shared" si="92"/>
        <v>6.8522416065000007</v>
      </c>
      <c r="P198" s="5">
        <f t="shared" si="92"/>
        <v>6.8500657219000001</v>
      </c>
      <c r="Q198" s="5">
        <f t="shared" si="92"/>
        <v>6.8491615865000002</v>
      </c>
      <c r="R198" s="5">
        <f t="shared" si="92"/>
        <v>6.8487903286999998</v>
      </c>
      <c r="S198" s="5">
        <f t="shared" si="92"/>
        <v>6.8483601689000002</v>
      </c>
      <c r="T198" s="5">
        <f t="shared" si="92"/>
        <v>6.8476624749999999</v>
      </c>
      <c r="U198" s="5">
        <f t="shared" si="92"/>
        <v>6.8465805962999999</v>
      </c>
      <c r="V198" s="5">
        <f t="shared" si="92"/>
        <v>6.8450503189000003</v>
      </c>
      <c r="W198" s="5">
        <f t="shared" si="92"/>
        <v>6.8408740644000003</v>
      </c>
      <c r="X198" s="5">
        <f t="shared" si="92"/>
        <v>6.8366953375999993</v>
      </c>
      <c r="Y198" s="5">
        <f t="shared" si="92"/>
        <v>6.8325284033999996</v>
      </c>
      <c r="Z198" s="5">
        <f t="shared" si="92"/>
        <v>6.8282972601999994</v>
      </c>
      <c r="AA198" s="5">
        <f t="shared" si="92"/>
        <v>6.8239524970000005</v>
      </c>
      <c r="AB198" s="5">
        <f t="shared" si="92"/>
        <v>6.8136217217999997</v>
      </c>
      <c r="AC198" s="5">
        <f t="shared" si="92"/>
        <v>6.8017655793999996</v>
      </c>
      <c r="AD198" s="5">
        <f t="shared" si="92"/>
        <v>6.7889814967</v>
      </c>
      <c r="AE198" s="5">
        <f t="shared" si="92"/>
        <v>6.7755984551000008</v>
      </c>
      <c r="AF198" s="5">
        <f t="shared" si="92"/>
        <v>6.7618655206000007</v>
      </c>
      <c r="AG198" s="5">
        <f t="shared" si="92"/>
        <v>6.7479838977000002</v>
      </c>
      <c r="AH198" s="5">
        <f t="shared" si="92"/>
        <v>6.7341422567999993</v>
      </c>
      <c r="AI198" s="5">
        <f t="shared" si="92"/>
        <v>6.7204507720999995</v>
      </c>
      <c r="AJ198" s="5">
        <f t="shared" si="92"/>
        <v>6.7069867045000002</v>
      </c>
      <c r="AK198" s="5">
        <f t="shared" si="92"/>
        <v>6.6938009996000005</v>
      </c>
      <c r="AL198" s="5">
        <f t="shared" si="92"/>
        <v>6.6809242591000002</v>
      </c>
      <c r="AM198" s="5">
        <f t="shared" ref="AM198:BC198" si="93">AM200+AM201</f>
        <v>6.6674021345000005</v>
      </c>
      <c r="AN198" s="5">
        <f t="shared" si="93"/>
        <v>6.6534413807999995</v>
      </c>
      <c r="AO198" s="5">
        <f t="shared" si="93"/>
        <v>6.6392577339000001</v>
      </c>
      <c r="AP198" s="5">
        <f t="shared" si="93"/>
        <v>6.6250221936999996</v>
      </c>
      <c r="AQ198" s="5">
        <f t="shared" si="93"/>
        <v>6.6108631398000002</v>
      </c>
      <c r="AR198" s="5">
        <f t="shared" si="93"/>
        <v>6.5969120572</v>
      </c>
      <c r="AS198" s="5">
        <f t="shared" si="93"/>
        <v>6.5832270741999999</v>
      </c>
      <c r="AT198" s="5">
        <f t="shared" si="93"/>
        <v>6.5698471716999993</v>
      </c>
      <c r="AU198" s="5">
        <f t="shared" si="93"/>
        <v>6.5567974543999998</v>
      </c>
      <c r="AV198" s="5">
        <f t="shared" si="93"/>
        <v>6.5440918950000002</v>
      </c>
      <c r="AW198" s="5">
        <f t="shared" si="93"/>
        <v>6.5319494011000003</v>
      </c>
      <c r="AX198" s="5">
        <f t="shared" si="93"/>
        <v>6.5203201578999996</v>
      </c>
      <c r="AY198" s="5">
        <f t="shared" si="93"/>
        <v>6.5091559331999997</v>
      </c>
      <c r="AZ198" s="5">
        <f t="shared" si="93"/>
        <v>6.4984201536999997</v>
      </c>
      <c r="BA198" s="5">
        <f t="shared" si="93"/>
        <v>6.4880854282999998</v>
      </c>
      <c r="BB198" s="5">
        <f t="shared" si="93"/>
        <v>6.9507745180999994</v>
      </c>
      <c r="BC198" s="5">
        <f t="shared" si="93"/>
        <v>6.9395229864000001</v>
      </c>
      <c r="BD198" s="5">
        <f t="shared" ref="BD198:BF198" si="94">BD200+BD201</f>
        <v>6.9284598847999996</v>
      </c>
      <c r="BE198" s="5">
        <f t="shared" si="94"/>
        <v>6.9176046962999997</v>
      </c>
      <c r="BF198" s="5">
        <f t="shared" si="94"/>
        <v>6.9069772027000003</v>
      </c>
    </row>
    <row r="199" spans="1:58" x14ac:dyDescent="0.35">
      <c r="B199" t="s">
        <v>11</v>
      </c>
      <c r="C199" s="5">
        <f>[1]Results!F1463</f>
        <v>86.996979170000003</v>
      </c>
      <c r="D199" s="5">
        <f>[1]Results!G1463</f>
        <v>86.671236010000001</v>
      </c>
      <c r="E199" s="5">
        <f>[1]Results!H1463</f>
        <v>86.114908310000004</v>
      </c>
      <c r="F199" s="5">
        <f>[1]Results!I1463</f>
        <v>85.492784189999995</v>
      </c>
      <c r="G199" s="5">
        <f>[1]Results!J1463</f>
        <v>84.914440029999994</v>
      </c>
      <c r="H199" s="5">
        <f>[1]Results!K1463</f>
        <v>84.433757929999999</v>
      </c>
      <c r="I199" s="5">
        <f>[1]Results!L1463</f>
        <v>84.03772343</v>
      </c>
      <c r="J199" s="5">
        <f>[1]Results!M1463</f>
        <v>83.715038719999995</v>
      </c>
      <c r="K199" s="5">
        <f>[1]Results!N1463</f>
        <v>83.447399259999997</v>
      </c>
      <c r="L199" s="5">
        <f>[1]Results!O1463</f>
        <v>83.212713199999996</v>
      </c>
      <c r="M199" s="5">
        <f>[1]Results!P1463</f>
        <v>82.984241990000001</v>
      </c>
      <c r="N199" s="5">
        <f>[1]Results!Q1463</f>
        <v>82.79428077</v>
      </c>
      <c r="O199" s="5">
        <f>[1]Results!R1463</f>
        <v>82.621543770000002</v>
      </c>
      <c r="P199" s="5">
        <f>[1]Results!S1463</f>
        <v>82.452747130000006</v>
      </c>
      <c r="Q199" s="5">
        <f>[1]Results!T1463</f>
        <v>82.281569590000004</v>
      </c>
      <c r="R199" s="5">
        <f>[1]Results!U1463</f>
        <v>82.105431960000004</v>
      </c>
      <c r="S199" s="5">
        <f>[1]Results!V1463</f>
        <v>81.928992679999993</v>
      </c>
      <c r="T199" s="5">
        <f>[1]Results!W1463</f>
        <v>81.748254250000002</v>
      </c>
      <c r="U199" s="5">
        <f>[1]Results!X1463</f>
        <v>81.562109820000003</v>
      </c>
      <c r="V199" s="5">
        <f>[1]Results!Y1463</f>
        <v>81.371022030000006</v>
      </c>
      <c r="W199" s="5">
        <f>[1]Results!Z1463</f>
        <v>81.148814209999998</v>
      </c>
      <c r="X199" s="5">
        <f>[1]Results!AA1463</f>
        <v>80.927448240000004</v>
      </c>
      <c r="Y199" s="5">
        <f>[1]Results!AB1463</f>
        <v>80.713027269999998</v>
      </c>
      <c r="Z199" s="5">
        <f>[1]Results!AC1463</f>
        <v>80.50656309</v>
      </c>
      <c r="AA199" s="5">
        <f>[1]Results!AD1463</f>
        <v>80.308141239999998</v>
      </c>
      <c r="AB199" s="5">
        <f>[1]Results!AE1463</f>
        <v>80.044054650000007</v>
      </c>
      <c r="AC199" s="5">
        <f>[1]Results!AF1463</f>
        <v>79.759209319999997</v>
      </c>
      <c r="AD199" s="5">
        <f>[1]Results!AG1463</f>
        <v>79.471449230000005</v>
      </c>
      <c r="AE199" s="5">
        <f>[1]Results!AH1463</f>
        <v>79.189229109999999</v>
      </c>
      <c r="AF199" s="5">
        <f>[1]Results!AI1463</f>
        <v>78.917093499999993</v>
      </c>
      <c r="AG199" s="5">
        <f>[1]Results!AJ1463</f>
        <v>78.657606000000001</v>
      </c>
      <c r="AH199" s="5">
        <f>[1]Results!AK1463</f>
        <v>78.410718799999998</v>
      </c>
      <c r="AI199" s="5">
        <f>[1]Results!AL1463</f>
        <v>78.178095819999996</v>
      </c>
      <c r="AJ199" s="5">
        <f>[1]Results!AM1463</f>
        <v>77.960277329999997</v>
      </c>
      <c r="AK199" s="5">
        <f>[1]Results!AN1463</f>
        <v>77.757095899999996</v>
      </c>
      <c r="AL199" s="5">
        <f>[1]Results!AO1463</f>
        <v>77.567959639999998</v>
      </c>
      <c r="AM199" s="5">
        <f>[1]Results!AP1463</f>
        <v>77.363712300000003</v>
      </c>
      <c r="AN199" s="5">
        <f>[1]Results!AQ1463</f>
        <v>77.154484839999995</v>
      </c>
      <c r="AO199" s="5">
        <f>[1]Results!AR1463</f>
        <v>76.947564180000001</v>
      </c>
      <c r="AP199" s="5">
        <f>[1]Results!AS1463</f>
        <v>76.746944650000003</v>
      </c>
      <c r="AQ199" s="5">
        <f>[1]Results!AT1463</f>
        <v>76.554393210000001</v>
      </c>
      <c r="AR199" s="5">
        <f>[1]Results!AU1463</f>
        <v>76.368282559999997</v>
      </c>
      <c r="AS199" s="5">
        <f>[1]Results!AV1463</f>
        <v>76.189944010000005</v>
      </c>
      <c r="AT199" s="5">
        <f>[1]Results!AW1463</f>
        <v>76.019585410000005</v>
      </c>
      <c r="AU199" s="5">
        <f>[1]Results!AX1463</f>
        <v>75.8568243</v>
      </c>
      <c r="AV199" s="5">
        <f>[1]Results!AY1463</f>
        <v>75.701008790000003</v>
      </c>
      <c r="AW199" s="5">
        <f>[1]Results!AZ1463</f>
        <v>75.545393079999997</v>
      </c>
      <c r="AX199" s="5">
        <f>[1]Results!BA1463</f>
        <v>75.394203520000005</v>
      </c>
      <c r="AY199" s="5">
        <f>[1]Results!BB1463</f>
        <v>75.248804980000003</v>
      </c>
      <c r="AZ199" s="5">
        <f>[1]Results!BC1463</f>
        <v>75.10909676</v>
      </c>
      <c r="BA199" s="5">
        <f>[1]Results!BD1463</f>
        <v>74.974355450000004</v>
      </c>
      <c r="BB199" s="5">
        <f>[1]Results!BE1463</f>
        <v>70.135860050000005</v>
      </c>
      <c r="BC199" s="5">
        <f>[1]Results!BF1463</f>
        <v>69.91039542</v>
      </c>
      <c r="BD199" s="5">
        <f>[1]Results!BG1463</f>
        <v>69.69096304</v>
      </c>
      <c r="BE199" s="5">
        <f>[1]Results!BH1463</f>
        <v>69.477245850000003</v>
      </c>
      <c r="BF199" s="5">
        <f>[1]Results!BI1463</f>
        <v>69.268945419999994</v>
      </c>
    </row>
    <row r="200" spans="1:58" x14ac:dyDescent="0.35">
      <c r="B200" t="s">
        <v>35</v>
      </c>
      <c r="C200" s="5">
        <f>[1]Results!F1460</f>
        <v>6.6175957939999996</v>
      </c>
      <c r="D200" s="5">
        <f>[1]Results!G1460</f>
        <v>6.5465651940000003</v>
      </c>
      <c r="E200" s="5">
        <f>[1]Results!H1460</f>
        <v>6.4715460780000003</v>
      </c>
      <c r="F200" s="5">
        <f>[1]Results!I1460</f>
        <v>6.4018167039999998</v>
      </c>
      <c r="G200" s="5">
        <f>[1]Results!J1460</f>
        <v>6.3432012330000003</v>
      </c>
      <c r="H200" s="5">
        <f>[1]Results!K1460</f>
        <v>6.2974512169999999</v>
      </c>
      <c r="I200" s="5">
        <f>[1]Results!L1460</f>
        <v>6.2618015280000003</v>
      </c>
      <c r="J200" s="5">
        <f>[1]Results!M1460</f>
        <v>6.234609743</v>
      </c>
      <c r="K200" s="5">
        <f>[1]Results!N1460</f>
        <v>6.2139279849999998</v>
      </c>
      <c r="L200" s="5">
        <f>[1]Results!O1460</f>
        <v>6.1979266180000003</v>
      </c>
      <c r="M200" s="5">
        <f>[1]Results!P1460</f>
        <v>6.1825094099999998</v>
      </c>
      <c r="N200" s="5">
        <f>[1]Results!Q1460</f>
        <v>6.1739949579999998</v>
      </c>
      <c r="O200" s="5">
        <f>[1]Results!R1460</f>
        <v>6.1697383730000004</v>
      </c>
      <c r="P200" s="5">
        <f>[1]Results!S1460</f>
        <v>6.1678684219999997</v>
      </c>
      <c r="Q200" s="5">
        <f>[1]Results!T1460</f>
        <v>6.1672284209999999</v>
      </c>
      <c r="R200" s="5">
        <f>[1]Results!U1460</f>
        <v>6.1671230819999998</v>
      </c>
      <c r="S200" s="5">
        <f>[1]Results!V1460</f>
        <v>6.166992992</v>
      </c>
      <c r="T200" s="5">
        <f>[1]Results!W1460</f>
        <v>6.1666379830000002</v>
      </c>
      <c r="U200" s="5">
        <f>[1]Results!X1460</f>
        <v>6.1659423269999998</v>
      </c>
      <c r="V200" s="5">
        <f>[1]Results!Y1460</f>
        <v>6.164839701</v>
      </c>
      <c r="W200" s="5">
        <f>[1]Results!Z1460</f>
        <v>6.1614045060000002</v>
      </c>
      <c r="X200" s="5">
        <f>[1]Results!AA1460</f>
        <v>6.1579474769999996</v>
      </c>
      <c r="Y200" s="5">
        <f>[1]Results!AB1460</f>
        <v>6.154454039</v>
      </c>
      <c r="Z200" s="5">
        <f>[1]Results!AC1460</f>
        <v>6.1508550629999998</v>
      </c>
      <c r="AA200" s="5">
        <f>[1]Results!AD1460</f>
        <v>6.1471093970000004</v>
      </c>
      <c r="AB200" s="5">
        <f>[1]Results!AE1460</f>
        <v>6.1380908979999997</v>
      </c>
      <c r="AC200" s="5">
        <f>[1]Results!AF1460</f>
        <v>6.1277252449999997</v>
      </c>
      <c r="AD200" s="5">
        <f>[1]Results!AG1460</f>
        <v>6.1164852789999999</v>
      </c>
      <c r="AE200" s="5">
        <f>[1]Results!AH1460</f>
        <v>6.1046458460000004</v>
      </c>
      <c r="AF200" s="5">
        <f>[1]Results!AI1460</f>
        <v>6.0924253730000002</v>
      </c>
      <c r="AG200" s="5">
        <f>[1]Results!AJ1460</f>
        <v>6.0800055430000004</v>
      </c>
      <c r="AH200" s="5">
        <f>[1]Results!AK1460</f>
        <v>6.0675605929999996</v>
      </c>
      <c r="AI200" s="5">
        <f>[1]Results!AL1460</f>
        <v>6.0551929219999998</v>
      </c>
      <c r="AJ200" s="5">
        <f>[1]Results!AM1460</f>
        <v>6.0429766540000003</v>
      </c>
      <c r="AK200" s="5">
        <f>[1]Results!AN1460</f>
        <v>6.0309626310000004</v>
      </c>
      <c r="AL200" s="5">
        <f>[1]Results!AO1460</f>
        <v>6.0191831760000003</v>
      </c>
      <c r="AM200" s="5">
        <f>[1]Results!AP1460</f>
        <v>6.0068264840000003</v>
      </c>
      <c r="AN200" s="5">
        <f>[1]Results!AQ1460</f>
        <v>5.9940723389999997</v>
      </c>
      <c r="AO200" s="5">
        <f>[1]Results!AR1460</f>
        <v>5.9811029600000003</v>
      </c>
      <c r="AP200" s="5">
        <f>[1]Results!AS1460</f>
        <v>5.9680646550000001</v>
      </c>
      <c r="AQ200" s="5">
        <f>[1]Results!AT1460</f>
        <v>5.9550701760000004</v>
      </c>
      <c r="AR200" s="5">
        <f>[1]Results!AU1460</f>
        <v>5.9422404750000002</v>
      </c>
      <c r="AS200" s="5">
        <f>[1]Results!AV1460</f>
        <v>5.9296292660000001</v>
      </c>
      <c r="AT200" s="5">
        <f>[1]Results!AW1460</f>
        <v>5.9172750819999997</v>
      </c>
      <c r="AU200" s="5">
        <f>[1]Results!AX1460</f>
        <v>5.9052046740000002</v>
      </c>
      <c r="AV200" s="5">
        <f>[1]Results!AY1460</f>
        <v>5.8934348239999998</v>
      </c>
      <c r="AW200" s="5">
        <f>[1]Results!AZ1460</f>
        <v>5.8821706450000004</v>
      </c>
      <c r="AX200" s="5">
        <f>[1]Results!BA1460</f>
        <v>5.8713658559999997</v>
      </c>
      <c r="AY200" s="5">
        <f>[1]Results!BB1460</f>
        <v>5.8609793689999998</v>
      </c>
      <c r="AZ200" s="5">
        <f>[1]Results!BC1460</f>
        <v>5.8509813609999997</v>
      </c>
      <c r="BA200" s="5">
        <f>[1]Results!BD1460</f>
        <v>5.8413501649999997</v>
      </c>
      <c r="BB200" s="5">
        <f>[1]Results!BE1460</f>
        <v>6.2603257899999996</v>
      </c>
      <c r="BC200" s="5">
        <f>[1]Results!BF1460</f>
        <v>6.2497078110000004</v>
      </c>
      <c r="BD200" s="5">
        <f>[1]Results!BG1460</f>
        <v>6.2392568309999996</v>
      </c>
      <c r="BE200" s="5">
        <f>[1]Results!BH1460</f>
        <v>6.2289919490000001</v>
      </c>
      <c r="BF200" s="5">
        <f>[1]Results!BI1460</f>
        <v>6.2189324130000001</v>
      </c>
    </row>
    <row r="201" spans="1:58" x14ac:dyDescent="0.35">
      <c r="B201" t="s">
        <v>34</v>
      </c>
      <c r="C201" s="5">
        <f>[1]Results!F1462</f>
        <v>0.71332806999999998</v>
      </c>
      <c r="D201" s="5">
        <f>[1]Results!G1462</f>
        <v>0.70775063299999996</v>
      </c>
      <c r="E201" s="5">
        <f>[1]Results!H1462</f>
        <v>0.70267093110000001</v>
      </c>
      <c r="F201" s="5">
        <f>[1]Results!I1462</f>
        <v>0.69821132509999995</v>
      </c>
      <c r="G201" s="5">
        <f>[1]Results!J1462</f>
        <v>0.69452348809999997</v>
      </c>
      <c r="H201" s="5">
        <f>[1]Results!K1462</f>
        <v>0.69168054050000005</v>
      </c>
      <c r="I201" s="5">
        <f>[1]Results!L1462</f>
        <v>0.68937683419999995</v>
      </c>
      <c r="J201" s="5">
        <f>[1]Results!M1462</f>
        <v>0.68755001130000004</v>
      </c>
      <c r="K201" s="5">
        <f>[1]Results!N1462</f>
        <v>0.68611374479999998</v>
      </c>
      <c r="L201" s="5">
        <f>[1]Results!O1462</f>
        <v>0.68494242940000005</v>
      </c>
      <c r="M201" s="5">
        <f>[1]Results!P1462</f>
        <v>0.68367602699999996</v>
      </c>
      <c r="N201" s="5">
        <f>[1]Results!Q1462</f>
        <v>0.68294039309999999</v>
      </c>
      <c r="O201" s="5">
        <f>[1]Results!R1462</f>
        <v>0.68250323349999997</v>
      </c>
      <c r="P201" s="5">
        <f>[1]Results!S1462</f>
        <v>0.6821972999</v>
      </c>
      <c r="Q201" s="5">
        <f>[1]Results!T1462</f>
        <v>0.68193316550000005</v>
      </c>
      <c r="R201" s="5">
        <f>[1]Results!U1462</f>
        <v>0.68166724670000001</v>
      </c>
      <c r="S201" s="5">
        <f>[1]Results!V1462</f>
        <v>0.68136717690000004</v>
      </c>
      <c r="T201" s="5">
        <f>[1]Results!W1462</f>
        <v>0.68102449200000004</v>
      </c>
      <c r="U201" s="5">
        <f>[1]Results!X1462</f>
        <v>0.68063826930000004</v>
      </c>
      <c r="V201" s="5">
        <f>[1]Results!Y1462</f>
        <v>0.68021061790000004</v>
      </c>
      <c r="W201" s="5">
        <f>[1]Results!Z1462</f>
        <v>0.67946955840000001</v>
      </c>
      <c r="X201" s="5">
        <f>[1]Results!AA1462</f>
        <v>0.67874786060000003</v>
      </c>
      <c r="Y201" s="5">
        <f>[1]Results!AB1462</f>
        <v>0.67807436440000002</v>
      </c>
      <c r="Z201" s="5">
        <f>[1]Results!AC1462</f>
        <v>0.67744219719999998</v>
      </c>
      <c r="AA201" s="5">
        <f>[1]Results!AD1462</f>
        <v>0.67684310000000003</v>
      </c>
      <c r="AB201" s="5">
        <f>[1]Results!AE1462</f>
        <v>0.67553082379999996</v>
      </c>
      <c r="AC201" s="5">
        <f>[1]Results!AF1462</f>
        <v>0.6740403344</v>
      </c>
      <c r="AD201" s="5">
        <f>[1]Results!AG1462</f>
        <v>0.67249621770000001</v>
      </c>
      <c r="AE201" s="5">
        <f>[1]Results!AH1462</f>
        <v>0.67095260909999999</v>
      </c>
      <c r="AF201" s="5">
        <f>[1]Results!AI1462</f>
        <v>0.66944014760000004</v>
      </c>
      <c r="AG201" s="5">
        <f>[1]Results!AJ1462</f>
        <v>0.6679783547</v>
      </c>
      <c r="AH201" s="5">
        <f>[1]Results!AK1462</f>
        <v>0.66658166379999995</v>
      </c>
      <c r="AI201" s="5">
        <f>[1]Results!AL1462</f>
        <v>0.66525785010000005</v>
      </c>
      <c r="AJ201" s="5">
        <f>[1]Results!AM1462</f>
        <v>0.66401005049999995</v>
      </c>
      <c r="AK201" s="5">
        <f>[1]Results!AN1462</f>
        <v>0.66283836860000001</v>
      </c>
      <c r="AL201" s="5">
        <f>[1]Results!AO1462</f>
        <v>0.66174108310000002</v>
      </c>
      <c r="AM201" s="5">
        <f>[1]Results!AP1462</f>
        <v>0.6605756505</v>
      </c>
      <c r="AN201" s="5">
        <f>[1]Results!AQ1462</f>
        <v>0.6593690418</v>
      </c>
      <c r="AO201" s="5">
        <f>[1]Results!AR1462</f>
        <v>0.65815477389999999</v>
      </c>
      <c r="AP201" s="5">
        <f>[1]Results!AS1462</f>
        <v>0.65695753869999995</v>
      </c>
      <c r="AQ201" s="5">
        <f>[1]Results!AT1462</f>
        <v>0.65579296379999996</v>
      </c>
      <c r="AR201" s="5">
        <f>[1]Results!AU1462</f>
        <v>0.65467158219999999</v>
      </c>
      <c r="AS201" s="5">
        <f>[1]Results!AV1462</f>
        <v>0.65359780820000002</v>
      </c>
      <c r="AT201" s="5">
        <f>[1]Results!AW1462</f>
        <v>0.65257208970000002</v>
      </c>
      <c r="AU201" s="5">
        <f>[1]Results!AX1462</f>
        <v>0.65159278040000002</v>
      </c>
      <c r="AV201" s="5">
        <f>[1]Results!AY1462</f>
        <v>0.65065707100000003</v>
      </c>
      <c r="AW201" s="5">
        <f>[1]Results!AZ1462</f>
        <v>0.64977875610000002</v>
      </c>
      <c r="AX201" s="5">
        <f>[1]Results!BA1462</f>
        <v>0.64895430190000003</v>
      </c>
      <c r="AY201" s="5">
        <f>[1]Results!BB1462</f>
        <v>0.64817656420000003</v>
      </c>
      <c r="AZ201" s="5">
        <f>[1]Results!BC1462</f>
        <v>0.64743879270000004</v>
      </c>
      <c r="BA201" s="5">
        <f>[1]Results!BD1462</f>
        <v>0.64673526329999997</v>
      </c>
      <c r="BB201" s="5">
        <f>[1]Results!BE1462</f>
        <v>0.69044872810000002</v>
      </c>
      <c r="BC201" s="5">
        <f>[1]Results!BF1462</f>
        <v>0.68981517540000004</v>
      </c>
      <c r="BD201" s="5">
        <f>[1]Results!BG1462</f>
        <v>0.68920305380000002</v>
      </c>
      <c r="BE201" s="5">
        <f>[1]Results!BH1462</f>
        <v>0.68861274729999999</v>
      </c>
      <c r="BF201" s="5">
        <f>[1]Results!BI1462</f>
        <v>0.68804478970000005</v>
      </c>
    </row>
    <row r="202" spans="1:58" x14ac:dyDescent="0.35">
      <c r="B202" t="s">
        <v>37</v>
      </c>
      <c r="C202" s="5">
        <f>[1]Results!F1458</f>
        <v>17.800283950000001</v>
      </c>
      <c r="D202" s="5">
        <f>[1]Results!G1458</f>
        <v>17.619355800000001</v>
      </c>
      <c r="E202" s="5">
        <f>[1]Results!H1458</f>
        <v>17.440261540000002</v>
      </c>
      <c r="F202" s="5">
        <f>[1]Results!I1458</f>
        <v>17.278399709999999</v>
      </c>
      <c r="G202" s="5">
        <f>[1]Results!J1458</f>
        <v>17.143893940000002</v>
      </c>
      <c r="H202" s="5">
        <f>[1]Results!K1458</f>
        <v>17.03954787</v>
      </c>
      <c r="I202" s="5">
        <f>[1]Results!L1458</f>
        <v>16.957346229999999</v>
      </c>
      <c r="J202" s="5">
        <f>[1]Results!M1458</f>
        <v>16.893727670000001</v>
      </c>
      <c r="K202" s="5">
        <f>[1]Results!N1458</f>
        <v>16.84449549</v>
      </c>
      <c r="L202" s="5">
        <f>[1]Results!O1458</f>
        <v>16.805428280000001</v>
      </c>
      <c r="M202" s="5">
        <f>[1]Results!P1458</f>
        <v>16.76591002</v>
      </c>
      <c r="N202" s="5">
        <f>[1]Results!Q1458</f>
        <v>16.743905510000001</v>
      </c>
      <c r="O202" s="5">
        <f>[1]Results!R1458</f>
        <v>16.73260033</v>
      </c>
      <c r="P202" s="5">
        <f>[1]Results!S1458</f>
        <v>16.727015730000002</v>
      </c>
      <c r="Q202" s="5">
        <f>[1]Results!T1458</f>
        <v>16.7241429</v>
      </c>
      <c r="R202" s="5">
        <f>[1]Results!U1458</f>
        <v>16.722249619999999</v>
      </c>
      <c r="S202" s="5">
        <f>[1]Results!V1458</f>
        <v>16.719929310000001</v>
      </c>
      <c r="T202" s="5">
        <f>[1]Results!W1458</f>
        <v>16.716768250000001</v>
      </c>
      <c r="U202" s="5">
        <f>[1]Results!X1458</f>
        <v>16.712582250000001</v>
      </c>
      <c r="V202" s="5">
        <f>[1]Results!Y1458</f>
        <v>16.707300790000001</v>
      </c>
      <c r="W202" s="5">
        <f>[1]Results!Z1458</f>
        <v>16.695226049999999</v>
      </c>
      <c r="X202" s="5">
        <f>[1]Results!AA1458</f>
        <v>16.68338275</v>
      </c>
      <c r="Y202" s="5">
        <f>[1]Results!AB1458</f>
        <v>16.67192966</v>
      </c>
      <c r="Z202" s="5">
        <f>[1]Results!AC1458</f>
        <v>16.66066631</v>
      </c>
      <c r="AA202" s="5">
        <f>[1]Results!AD1458</f>
        <v>16.649446019999999</v>
      </c>
      <c r="AB202" s="5">
        <f>[1]Results!AE1458</f>
        <v>16.62284116</v>
      </c>
      <c r="AC202" s="5">
        <f>[1]Results!AF1458</f>
        <v>16.592608460000001</v>
      </c>
      <c r="AD202" s="5">
        <f>[1]Results!AG1458</f>
        <v>16.560530799999999</v>
      </c>
      <c r="AE202" s="5">
        <f>[1]Results!AH1458</f>
        <v>16.527478739999999</v>
      </c>
      <c r="AF202" s="5">
        <f>[1]Results!AI1458</f>
        <v>16.494051349999999</v>
      </c>
      <c r="AG202" s="5">
        <f>[1]Results!AJ1458</f>
        <v>16.460704610000001</v>
      </c>
      <c r="AH202" s="5">
        <f>[1]Results!AK1458</f>
        <v>16.427866139999999</v>
      </c>
      <c r="AI202" s="5">
        <f>[1]Results!AL1458</f>
        <v>16.395758499999999</v>
      </c>
      <c r="AJ202" s="5">
        <f>[1]Results!AM1458</f>
        <v>16.364522109999999</v>
      </c>
      <c r="AK202" s="5">
        <f>[1]Results!AN1458</f>
        <v>16.334235719999999</v>
      </c>
      <c r="AL202" s="5">
        <f>[1]Results!AO1458</f>
        <v>16.304933519999999</v>
      </c>
      <c r="AM202" s="5">
        <f>[1]Results!AP1458</f>
        <v>16.274120830000001</v>
      </c>
      <c r="AN202" s="5">
        <f>[1]Results!AQ1458</f>
        <v>16.24230961</v>
      </c>
      <c r="AO202" s="5">
        <f>[1]Results!AR1458</f>
        <v>16.210056139999999</v>
      </c>
      <c r="AP202" s="5">
        <f>[1]Results!AS1458</f>
        <v>16.177791760000002</v>
      </c>
      <c r="AQ202" s="5">
        <f>[1]Results!AT1458</f>
        <v>16.145825970000001</v>
      </c>
      <c r="AR202" s="5">
        <f>[1]Results!AU1458</f>
        <v>16.114477109999999</v>
      </c>
      <c r="AS202" s="5">
        <f>[1]Results!AV1458</f>
        <v>16.083861200000001</v>
      </c>
      <c r="AT202" s="5">
        <f>[1]Results!AW1458</f>
        <v>16.054041430000002</v>
      </c>
      <c r="AU202" s="5">
        <f>[1]Results!AX1458</f>
        <v>16.025049070000001</v>
      </c>
      <c r="AV202" s="5">
        <f>[1]Results!AY1458</f>
        <v>15.996891639999999</v>
      </c>
      <c r="AW202" s="5">
        <f>[1]Results!AZ1458</f>
        <v>15.970143520000001</v>
      </c>
      <c r="AX202" s="5">
        <f>[1]Results!BA1458</f>
        <v>15.944652550000001</v>
      </c>
      <c r="AY202" s="5">
        <f>[1]Results!BB1458</f>
        <v>15.92025887</v>
      </c>
      <c r="AZ202" s="5">
        <f>[1]Results!BC1458</f>
        <v>15.896840989999999</v>
      </c>
      <c r="BA202" s="5">
        <f>[1]Results!BD1458</f>
        <v>15.87430955</v>
      </c>
      <c r="BB202" s="5">
        <f>[1]Results!BE1458</f>
        <v>17.10672302</v>
      </c>
      <c r="BC202" s="5">
        <f>[1]Results!BF1458</f>
        <v>17.084953720000001</v>
      </c>
      <c r="BD202" s="5">
        <f>[1]Results!BG1458</f>
        <v>17.063645919999999</v>
      </c>
      <c r="BE202" s="5">
        <f>[1]Results!BH1458</f>
        <v>17.04283483</v>
      </c>
      <c r="BF202" s="5">
        <f>[1]Results!BI1458</f>
        <v>17.022556850000001</v>
      </c>
    </row>
    <row r="203" spans="1:58" x14ac:dyDescent="0.35"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  <c r="BF203" s="5"/>
    </row>
    <row r="204" spans="1:58" x14ac:dyDescent="0.35">
      <c r="A204" s="12" t="s">
        <v>86</v>
      </c>
      <c r="B204" t="s">
        <v>27</v>
      </c>
      <c r="C204" s="3">
        <f>[1]Results!F1473</f>
        <v>27371.846870000001</v>
      </c>
      <c r="D204" s="3">
        <f>[1]Results!G1473</f>
        <v>27401.593649999999</v>
      </c>
      <c r="E204" s="3">
        <f>[1]Results!H1473</f>
        <v>27439.540099999998</v>
      </c>
      <c r="F204" s="3">
        <f>[1]Results!I1473</f>
        <v>27494.808359999999</v>
      </c>
      <c r="G204" s="3">
        <f>[1]Results!J1473</f>
        <v>27570.244269999999</v>
      </c>
      <c r="H204" s="3">
        <f>[1]Results!K1473</f>
        <v>27664.90668</v>
      </c>
      <c r="I204" s="3">
        <f>[1]Results!L1473</f>
        <v>27765.3269</v>
      </c>
      <c r="J204" s="3">
        <f>[1]Results!M1473</f>
        <v>27870.142619999999</v>
      </c>
      <c r="K204" s="3">
        <f>[1]Results!N1473</f>
        <v>27978.3992</v>
      </c>
      <c r="L204" s="3">
        <f>[1]Results!O1473</f>
        <v>28089.185700000002</v>
      </c>
      <c r="M204" s="3">
        <f>[1]Results!P1473</f>
        <v>28219.506089999999</v>
      </c>
      <c r="N204" s="3">
        <f>[1]Results!Q1473</f>
        <v>28347.466799999998</v>
      </c>
      <c r="O204" s="3">
        <f>[1]Results!R1473</f>
        <v>28471.835709999999</v>
      </c>
      <c r="P204" s="3">
        <f>[1]Results!S1473</f>
        <v>28592.55488</v>
      </c>
      <c r="Q204" s="3">
        <f>[1]Results!T1473</f>
        <v>28709.857830000001</v>
      </c>
      <c r="R204" s="3">
        <f>[1]Results!U1473</f>
        <v>28824.0841</v>
      </c>
      <c r="S204" s="3">
        <f>[1]Results!V1473</f>
        <v>28935.630130000001</v>
      </c>
      <c r="T204" s="3">
        <f>[1]Results!W1473</f>
        <v>29044.920099999999</v>
      </c>
      <c r="U204" s="3">
        <f>[1]Results!X1473</f>
        <v>29152.37918</v>
      </c>
      <c r="V204" s="3">
        <f>[1]Results!Y1473</f>
        <v>29258.410469999999</v>
      </c>
      <c r="W204" s="3">
        <f>[1]Results!Z1473</f>
        <v>29351.548210000001</v>
      </c>
      <c r="X204" s="3">
        <f>[1]Results!AA1473</f>
        <v>29446.07231</v>
      </c>
      <c r="Y204" s="3">
        <f>[1]Results!AB1473</f>
        <v>29542.63535</v>
      </c>
      <c r="Z204" s="3">
        <f>[1]Results!AC1473</f>
        <v>29641.154170000002</v>
      </c>
      <c r="AA204" s="3">
        <f>[1]Results!AD1473</f>
        <v>29741.393469999999</v>
      </c>
      <c r="AB204" s="3">
        <f>[1]Results!AE1473</f>
        <v>29810.8298</v>
      </c>
      <c r="AC204" s="3">
        <f>[1]Results!AF1473</f>
        <v>29872.11692</v>
      </c>
      <c r="AD204" s="3">
        <f>[1]Results!AG1473</f>
        <v>29928.77248</v>
      </c>
      <c r="AE204" s="3">
        <f>[1]Results!AH1473</f>
        <v>29982.965209999998</v>
      </c>
      <c r="AF204" s="3">
        <f>[1]Results!AI1473</f>
        <v>30036.211480000002</v>
      </c>
      <c r="AG204" s="3">
        <f>[1]Results!AJ1473</f>
        <v>30089.559499999999</v>
      </c>
      <c r="AH204" s="3">
        <f>[1]Results!AK1473</f>
        <v>30143.67438</v>
      </c>
      <c r="AI204" s="3">
        <f>[1]Results!AL1473</f>
        <v>30198.911189999999</v>
      </c>
      <c r="AJ204" s="3">
        <f>[1]Results!AM1473</f>
        <v>30255.38895</v>
      </c>
      <c r="AK204" s="3">
        <f>[1]Results!AN1473</f>
        <v>30313.061399999999</v>
      </c>
      <c r="AL204" s="3">
        <f>[1]Results!AO1473</f>
        <v>30371.779210000001</v>
      </c>
      <c r="AM204" s="3">
        <f>[1]Results!AP1473</f>
        <v>30424.466509999998</v>
      </c>
      <c r="AN204" s="3">
        <f>[1]Results!AQ1473</f>
        <v>30472.142639999998</v>
      </c>
      <c r="AO204" s="3">
        <f>[1]Results!AR1473</f>
        <v>30516.058779999999</v>
      </c>
      <c r="AP204" s="3">
        <f>[1]Results!AS1473</f>
        <v>30557.311559999998</v>
      </c>
      <c r="AQ204" s="3">
        <f>[1]Results!AT1473</f>
        <v>30596.784889999999</v>
      </c>
      <c r="AR204" s="3">
        <f>[1]Results!AU1473</f>
        <v>30635.157070000001</v>
      </c>
      <c r="AS204" s="3">
        <f>[1]Results!AV1473</f>
        <v>30672.921849999999</v>
      </c>
      <c r="AT204" s="3">
        <f>[1]Results!AW1473</f>
        <v>30710.41447</v>
      </c>
      <c r="AU204" s="3">
        <f>[1]Results!AX1473</f>
        <v>30747.841100000001</v>
      </c>
      <c r="AV204" s="3">
        <f>[1]Results!AY1473</f>
        <v>30785.309730000001</v>
      </c>
      <c r="AW204" s="3">
        <f>[1]Results!AZ1473</f>
        <v>30823.41649</v>
      </c>
      <c r="AX204" s="3">
        <f>[1]Results!BA1473</f>
        <v>30862.064839999999</v>
      </c>
      <c r="AY204" s="3">
        <f>[1]Results!BB1473</f>
        <v>30901.118210000001</v>
      </c>
      <c r="AZ204" s="3">
        <f>[1]Results!BC1473</f>
        <v>30940.427749999999</v>
      </c>
      <c r="BA204" s="3">
        <f>[1]Results!BD1473</f>
        <v>30979.856250000001</v>
      </c>
      <c r="BB204" s="3">
        <f>[1]Results!BE1473</f>
        <v>31107.650259999999</v>
      </c>
      <c r="BC204" s="3">
        <f>[1]Results!BF1473</f>
        <v>31143.853749999998</v>
      </c>
      <c r="BD204" s="3">
        <f>[1]Results!BG1473</f>
        <v>31179.418160000001</v>
      </c>
      <c r="BE204" s="3">
        <f>[1]Results!BH1473</f>
        <v>31214.358059999999</v>
      </c>
      <c r="BF204" s="3">
        <f>[1]Results!BI1473</f>
        <v>31248.702590000001</v>
      </c>
    </row>
    <row r="205" spans="1:58" x14ac:dyDescent="0.35">
      <c r="A205" t="s">
        <v>38</v>
      </c>
      <c r="B205" t="s">
        <v>7</v>
      </c>
      <c r="C205" s="3">
        <f>[1]Results!F1474</f>
        <v>760.53305020000005</v>
      </c>
      <c r="D205" s="3">
        <f>[1]Results!G1474</f>
        <v>759.21501550000005</v>
      </c>
      <c r="E205" s="3">
        <f>[1]Results!H1474</f>
        <v>757.31483760000003</v>
      </c>
      <c r="F205" s="3">
        <f>[1]Results!I1474</f>
        <v>755.91675469999996</v>
      </c>
      <c r="G205" s="3">
        <f>[1]Results!J1474</f>
        <v>755.49152919999995</v>
      </c>
      <c r="H205" s="3">
        <f>[1]Results!K1474</f>
        <v>756.13115900000003</v>
      </c>
      <c r="I205" s="3">
        <f>[1]Results!L1474</f>
        <v>757.46432240000001</v>
      </c>
      <c r="J205" s="3">
        <f>[1]Results!M1474</f>
        <v>759.32508580000001</v>
      </c>
      <c r="K205" s="3">
        <f>[1]Results!N1474</f>
        <v>761.56709569999998</v>
      </c>
      <c r="L205" s="3">
        <f>[1]Results!O1474</f>
        <v>764.06698719999997</v>
      </c>
      <c r="M205" s="3">
        <f>[1]Results!P1474</f>
        <v>767.1690026</v>
      </c>
      <c r="N205" s="3">
        <f>[1]Results!Q1474</f>
        <v>770.32745980000004</v>
      </c>
      <c r="O205" s="3">
        <f>[1]Results!R1474</f>
        <v>773.43415389999996</v>
      </c>
      <c r="P205" s="3">
        <f>[1]Results!S1474</f>
        <v>776.44274050000001</v>
      </c>
      <c r="Q205" s="3">
        <f>[1]Results!T1474</f>
        <v>779.33460820000005</v>
      </c>
      <c r="R205" s="3">
        <f>[1]Results!U1474</f>
        <v>782.10706519999997</v>
      </c>
      <c r="S205" s="3">
        <f>[1]Results!V1474</f>
        <v>784.76720230000001</v>
      </c>
      <c r="T205" s="3">
        <f>[1]Results!W1474</f>
        <v>787.32772320000004</v>
      </c>
      <c r="U205" s="3">
        <f>[1]Results!X1474</f>
        <v>789.80393730000003</v>
      </c>
      <c r="V205" s="3">
        <f>[1]Results!Y1474</f>
        <v>792.21168999999998</v>
      </c>
      <c r="W205" s="3">
        <f>[1]Results!Z1474</f>
        <v>794.27426939999998</v>
      </c>
      <c r="X205" s="3">
        <f>[1]Results!AA1474</f>
        <v>796.31609519999995</v>
      </c>
      <c r="Y205" s="3">
        <f>[1]Results!AB1474</f>
        <v>798.38529249999999</v>
      </c>
      <c r="Z205" s="3">
        <f>[1]Results!AC1474</f>
        <v>800.49781399999995</v>
      </c>
      <c r="AA205" s="3">
        <f>[1]Results!AD1474</f>
        <v>802.6576215</v>
      </c>
      <c r="AB205" s="3">
        <f>[1]Results!AE1474</f>
        <v>804.06893500000001</v>
      </c>
      <c r="AC205" s="3">
        <f>[1]Results!AF1474</f>
        <v>805.19966420000003</v>
      </c>
      <c r="AD205" s="3">
        <f>[1]Results!AG1474</f>
        <v>806.16685840000002</v>
      </c>
      <c r="AE205" s="3">
        <f>[1]Results!AH1474</f>
        <v>807.05121999999994</v>
      </c>
      <c r="AF205" s="3">
        <f>[1]Results!AI1474</f>
        <v>807.91324780000002</v>
      </c>
      <c r="AG205" s="3">
        <f>[1]Results!AJ1474</f>
        <v>808.79660369999999</v>
      </c>
      <c r="AH205" s="3">
        <f>[1]Results!AK1474</f>
        <v>809.73002459999998</v>
      </c>
      <c r="AI205" s="3">
        <f>[1]Results!AL1474</f>
        <v>810.7297509</v>
      </c>
      <c r="AJ205" s="3">
        <f>[1]Results!AM1474</f>
        <v>811.80236560000003</v>
      </c>
      <c r="AK205" s="3">
        <f>[1]Results!AN1474</f>
        <v>812.94762170000001</v>
      </c>
      <c r="AL205" s="3">
        <f>[1]Results!AO1474</f>
        <v>814.16093509999996</v>
      </c>
      <c r="AM205" s="3">
        <f>[1]Results!AP1474</f>
        <v>815.26672710000003</v>
      </c>
      <c r="AN205" s="3">
        <f>[1]Results!AQ1474</f>
        <v>816.26832790000003</v>
      </c>
      <c r="AO205" s="3">
        <f>[1]Results!AR1474</f>
        <v>817.19005890000005</v>
      </c>
      <c r="AP205" s="3">
        <f>[1]Results!AS1474</f>
        <v>818.06017029999998</v>
      </c>
      <c r="AQ205" s="3">
        <f>[1]Results!AT1474</f>
        <v>818.9050522</v>
      </c>
      <c r="AR205" s="3">
        <f>[1]Results!AU1474</f>
        <v>819.74677210000004</v>
      </c>
      <c r="AS205" s="3">
        <f>[1]Results!AV1474</f>
        <v>820.60211370000002</v>
      </c>
      <c r="AT205" s="3">
        <f>[1]Results!AW1474</f>
        <v>821.48254110000005</v>
      </c>
      <c r="AU205" s="3">
        <f>[1]Results!AX1474</f>
        <v>822.3947604</v>
      </c>
      <c r="AV205" s="3">
        <f>[1]Results!AY1474</f>
        <v>823.34158400000001</v>
      </c>
      <c r="AW205" s="3">
        <f>[1]Results!AZ1474</f>
        <v>824.33631890000004</v>
      </c>
      <c r="AX205" s="3">
        <f>[1]Results!BA1474</f>
        <v>825.3764923</v>
      </c>
      <c r="AY205" s="3">
        <f>[1]Results!BB1474</f>
        <v>826.45734300000004</v>
      </c>
      <c r="AZ205" s="3">
        <f>[1]Results!BC1474</f>
        <v>827.57273789999999</v>
      </c>
      <c r="BA205" s="3">
        <f>[1]Results!BD1474</f>
        <v>828.71630670000002</v>
      </c>
      <c r="BB205" s="3">
        <f>[1]Results!BE1474</f>
        <v>821.15535560000001</v>
      </c>
      <c r="BC205" s="3">
        <f>[1]Results!BF1474</f>
        <v>821.62769619999995</v>
      </c>
      <c r="BD205" s="3">
        <f>[1]Results!BG1474</f>
        <v>822.10868189999997</v>
      </c>
      <c r="BE205" s="3">
        <f>[1]Results!BH1474</f>
        <v>822.59935270000005</v>
      </c>
      <c r="BF205" s="3">
        <f>[1]Results!BI1474</f>
        <v>823.10108200000002</v>
      </c>
    </row>
    <row r="206" spans="1:58" x14ac:dyDescent="0.35">
      <c r="B206" t="s">
        <v>30</v>
      </c>
      <c r="C206" s="3">
        <f>[1]Results!F1477</f>
        <v>4367.1201650000003</v>
      </c>
      <c r="D206" s="3">
        <f>[1]Results!G1477</f>
        <v>4371.5474240000003</v>
      </c>
      <c r="E206" s="3">
        <f>[1]Results!H1477</f>
        <v>4377.7143210000004</v>
      </c>
      <c r="F206" s="3">
        <f>[1]Results!I1477</f>
        <v>4387.097976</v>
      </c>
      <c r="G206" s="3">
        <f>[1]Results!J1477</f>
        <v>4400.0579729999999</v>
      </c>
      <c r="H206" s="3">
        <f>[1]Results!K1477</f>
        <v>4416.372308</v>
      </c>
      <c r="I206" s="3">
        <f>[1]Results!L1477</f>
        <v>4434.1015550000002</v>
      </c>
      <c r="J206" s="3">
        <f>[1]Results!M1477</f>
        <v>4452.838436</v>
      </c>
      <c r="K206" s="3">
        <f>[1]Results!N1477</f>
        <v>4472.3342259999999</v>
      </c>
      <c r="L206" s="3">
        <f>[1]Results!O1477</f>
        <v>4492.4070590000001</v>
      </c>
      <c r="M206" s="3">
        <f>[1]Results!P1477</f>
        <v>4515.361774</v>
      </c>
      <c r="N206" s="3">
        <f>[1]Results!Q1477</f>
        <v>4538.4201700000003</v>
      </c>
      <c r="O206" s="3">
        <f>[1]Results!R1477</f>
        <v>4561.2697230000003</v>
      </c>
      <c r="P206" s="3">
        <f>[1]Results!S1477</f>
        <v>4583.8285839999999</v>
      </c>
      <c r="Q206" s="3">
        <f>[1]Results!T1477</f>
        <v>4606.0978029999997</v>
      </c>
      <c r="R206" s="3">
        <f>[1]Results!U1477</f>
        <v>4628.1141669999997</v>
      </c>
      <c r="S206" s="3">
        <f>[1]Results!V1477</f>
        <v>4649.9314109999996</v>
      </c>
      <c r="T206" s="3">
        <f>[1]Results!W1477</f>
        <v>4671.6105250000001</v>
      </c>
      <c r="U206" s="3">
        <f>[1]Results!X1477</f>
        <v>4693.2133860000004</v>
      </c>
      <c r="V206" s="3">
        <f>[1]Results!Y1477</f>
        <v>4714.7981060000002</v>
      </c>
      <c r="W206" s="3">
        <f>[1]Results!Z1477</f>
        <v>4734.7919920000004</v>
      </c>
      <c r="X206" s="3">
        <f>[1]Results!AA1477</f>
        <v>4754.9928719999998</v>
      </c>
      <c r="Y206" s="3">
        <f>[1]Results!AB1477</f>
        <v>4775.5807130000003</v>
      </c>
      <c r="Z206" s="3">
        <f>[1]Results!AC1477</f>
        <v>4796.5866809999998</v>
      </c>
      <c r="AA206" s="3">
        <f>[1]Results!AD1477</f>
        <v>4817.9891070000003</v>
      </c>
      <c r="AB206" s="3">
        <f>[1]Results!AE1477</f>
        <v>4835.31149</v>
      </c>
      <c r="AC206" s="3">
        <f>[1]Results!AF1477</f>
        <v>4851.1993949999996</v>
      </c>
      <c r="AD206" s="3">
        <f>[1]Results!AG1477</f>
        <v>4866.1657990000003</v>
      </c>
      <c r="AE206" s="3">
        <f>[1]Results!AH1477</f>
        <v>4880.5376409999999</v>
      </c>
      <c r="AF206" s="3">
        <f>[1]Results!AI1477</f>
        <v>4894.5395420000004</v>
      </c>
      <c r="AG206" s="3">
        <f>[1]Results!AJ1477</f>
        <v>4908.3212670000003</v>
      </c>
      <c r="AH206" s="3">
        <f>[1]Results!AK1477</f>
        <v>4921.9726780000001</v>
      </c>
      <c r="AI206" s="3">
        <f>[1]Results!AL1477</f>
        <v>4935.5357789999998</v>
      </c>
      <c r="AJ206" s="3">
        <f>[1]Results!AM1477</f>
        <v>4949.016001</v>
      </c>
      <c r="AK206" s="3">
        <f>[1]Results!AN1477</f>
        <v>4962.3928159999996</v>
      </c>
      <c r="AL206" s="3">
        <f>[1]Results!AO1477</f>
        <v>4975.629269</v>
      </c>
      <c r="AM206" s="3">
        <f>[1]Results!AP1477</f>
        <v>4987.7316879999998</v>
      </c>
      <c r="AN206" s="3">
        <f>[1]Results!AQ1477</f>
        <v>4998.7244849999997</v>
      </c>
      <c r="AO206" s="3">
        <f>[1]Results!AR1477</f>
        <v>5008.7239149999996</v>
      </c>
      <c r="AP206" s="3">
        <f>[1]Results!AS1477</f>
        <v>5017.8594860000003</v>
      </c>
      <c r="AQ206" s="3">
        <f>[1]Results!AT1477</f>
        <v>5026.2494139999999</v>
      </c>
      <c r="AR206" s="3">
        <f>[1]Results!AU1477</f>
        <v>5033.9929750000001</v>
      </c>
      <c r="AS206" s="3">
        <f>[1]Results!AV1477</f>
        <v>5041.1692460000004</v>
      </c>
      <c r="AT206" s="3">
        <f>[1]Results!AW1477</f>
        <v>5047.838667</v>
      </c>
      <c r="AU206" s="3">
        <f>[1]Results!AX1477</f>
        <v>5054.0460030000004</v>
      </c>
      <c r="AV206" s="3">
        <f>[1]Results!AY1477</f>
        <v>5059.8239819999999</v>
      </c>
      <c r="AW206" s="3">
        <f>[1]Results!AZ1477</f>
        <v>5065.2740039999999</v>
      </c>
      <c r="AX206" s="3">
        <f>[1]Results!BA1477</f>
        <v>5070.4102800000001</v>
      </c>
      <c r="AY206" s="3">
        <f>[1]Results!BB1477</f>
        <v>5075.2376009999998</v>
      </c>
      <c r="AZ206" s="3">
        <f>[1]Results!BC1477</f>
        <v>5079.7579009999999</v>
      </c>
      <c r="BA206" s="3">
        <f>[1]Results!BD1477</f>
        <v>5083.9747909999996</v>
      </c>
      <c r="BB206" s="3">
        <f>[1]Results!BE1477</f>
        <v>5222.4697040000001</v>
      </c>
      <c r="BC206" s="3">
        <f>[1]Results!BF1477</f>
        <v>5232.6580800000002</v>
      </c>
      <c r="BD206" s="3">
        <f>[1]Results!BG1477</f>
        <v>5242.3468860000003</v>
      </c>
      <c r="BE206" s="3">
        <f>[1]Results!BH1477</f>
        <v>5251.5300660000003</v>
      </c>
      <c r="BF206" s="3">
        <f>[1]Results!BI1477</f>
        <v>5260.2061640000002</v>
      </c>
    </row>
    <row r="207" spans="1:58" x14ac:dyDescent="0.35">
      <c r="B207" t="s">
        <v>28</v>
      </c>
      <c r="C207" s="3">
        <f>[1]Results!F1489</f>
        <v>868.26537050000002</v>
      </c>
      <c r="D207" s="3">
        <f>[1]Results!G1489</f>
        <v>868.48347030000002</v>
      </c>
      <c r="E207" s="3">
        <f>[1]Results!H1489</f>
        <v>868.50546039999995</v>
      </c>
      <c r="F207" s="3">
        <f>[1]Results!I1489</f>
        <v>868.81863199999998</v>
      </c>
      <c r="G207" s="3">
        <f>[1]Results!J1489</f>
        <v>869.64341119999995</v>
      </c>
      <c r="H207" s="3">
        <f>[1]Results!K1489</f>
        <v>871.02130090000003</v>
      </c>
      <c r="I207" s="3">
        <f>[1]Results!L1489</f>
        <v>872.59028590000003</v>
      </c>
      <c r="J207" s="3">
        <f>[1]Results!M1489</f>
        <v>874.31068909999999</v>
      </c>
      <c r="K207" s="3">
        <f>[1]Results!N1489</f>
        <v>876.14799900000003</v>
      </c>
      <c r="L207" s="3">
        <f>[1]Results!O1489</f>
        <v>878.0646342</v>
      </c>
      <c r="M207" s="3">
        <f>[1]Results!P1489</f>
        <v>880.53449720000003</v>
      </c>
      <c r="N207" s="3">
        <f>[1]Results!Q1489</f>
        <v>882.92085110000005</v>
      </c>
      <c r="O207" s="3">
        <f>[1]Results!R1489</f>
        <v>885.17503480000005</v>
      </c>
      <c r="P207" s="3">
        <f>[1]Results!S1489</f>
        <v>887.29482080000002</v>
      </c>
      <c r="Q207" s="3">
        <f>[1]Results!T1489</f>
        <v>889.28897140000004</v>
      </c>
      <c r="R207" s="3">
        <f>[1]Results!U1489</f>
        <v>891.17038060000004</v>
      </c>
      <c r="S207" s="3">
        <f>[1]Results!V1489</f>
        <v>892.9543741</v>
      </c>
      <c r="T207" s="3">
        <f>[1]Results!W1489</f>
        <v>894.65764190000004</v>
      </c>
      <c r="U207" s="3">
        <f>[1]Results!X1489</f>
        <v>896.29719309999996</v>
      </c>
      <c r="V207" s="3">
        <f>[1]Results!Y1489</f>
        <v>897.88943470000004</v>
      </c>
      <c r="W207" s="3">
        <f>[1]Results!Z1489</f>
        <v>899.11346809999998</v>
      </c>
      <c r="X207" s="3">
        <f>[1]Results!AA1489</f>
        <v>900.38128570000003</v>
      </c>
      <c r="Y207" s="3">
        <f>[1]Results!AB1489</f>
        <v>901.71975150000003</v>
      </c>
      <c r="Z207" s="3">
        <f>[1]Results!AC1489</f>
        <v>903.12793250000004</v>
      </c>
      <c r="AA207" s="3">
        <f>[1]Results!AD1489</f>
        <v>904.60016949999999</v>
      </c>
      <c r="AB207" s="3">
        <f>[1]Results!AE1489</f>
        <v>905.21651780000002</v>
      </c>
      <c r="AC207" s="3">
        <f>[1]Results!AF1489</f>
        <v>905.6259</v>
      </c>
      <c r="AD207" s="3">
        <f>[1]Results!AG1489</f>
        <v>905.94349139999997</v>
      </c>
      <c r="AE207" s="3">
        <f>[1]Results!AH1489</f>
        <v>906.23398910000003</v>
      </c>
      <c r="AF207" s="3">
        <f>[1]Results!AI1489</f>
        <v>906.54089180000005</v>
      </c>
      <c r="AG207" s="3">
        <f>[1]Results!AJ1489</f>
        <v>906.89355450000005</v>
      </c>
      <c r="AH207" s="3">
        <f>[1]Results!AK1489</f>
        <v>907.30994120000003</v>
      </c>
      <c r="AI207" s="3">
        <f>[1]Results!AL1489</f>
        <v>907.79879259999996</v>
      </c>
      <c r="AJ207" s="3">
        <f>[1]Results!AM1489</f>
        <v>908.36181020000004</v>
      </c>
      <c r="AK207" s="3">
        <f>[1]Results!AN1489</f>
        <v>908.9957713</v>
      </c>
      <c r="AL207" s="3">
        <f>[1]Results!AO1489</f>
        <v>909.69439709999995</v>
      </c>
      <c r="AM207" s="3">
        <f>[1]Results!AP1489</f>
        <v>910.25577280000005</v>
      </c>
      <c r="AN207" s="3">
        <f>[1]Results!AQ1489</f>
        <v>910.70801930000005</v>
      </c>
      <c r="AO207" s="3">
        <f>[1]Results!AR1489</f>
        <v>911.08818220000001</v>
      </c>
      <c r="AP207" s="3">
        <f>[1]Results!AS1489</f>
        <v>911.42770429999996</v>
      </c>
      <c r="AQ207" s="3">
        <f>[1]Results!AT1489</f>
        <v>911.75090869999997</v>
      </c>
      <c r="AR207" s="3">
        <f>[1]Results!AU1489</f>
        <v>912.07565590000002</v>
      </c>
      <c r="AS207" s="3">
        <f>[1]Results!AV1489</f>
        <v>912.41423980000002</v>
      </c>
      <c r="AT207" s="3">
        <f>[1]Results!AW1489</f>
        <v>912.77429229999996</v>
      </c>
      <c r="AU207" s="3">
        <f>[1]Results!AX1489</f>
        <v>913.15970230000005</v>
      </c>
      <c r="AV207" s="3">
        <f>[1]Results!AY1489</f>
        <v>913.57154119999996</v>
      </c>
      <c r="AW207" s="3">
        <f>[1]Results!AZ1489</f>
        <v>914.02462720000005</v>
      </c>
      <c r="AX207" s="3">
        <f>[1]Results!BA1489</f>
        <v>914.51409779999994</v>
      </c>
      <c r="AY207" s="3">
        <f>[1]Results!BB1489</f>
        <v>915.03384300000005</v>
      </c>
      <c r="AZ207" s="3">
        <f>[1]Results!BC1489</f>
        <v>915.57776909999995</v>
      </c>
      <c r="BA207" s="3">
        <f>[1]Results!BD1489</f>
        <v>916.14035479999995</v>
      </c>
      <c r="BB207" s="3">
        <f>[1]Results!BE1489</f>
        <v>906.06296829999997</v>
      </c>
      <c r="BC207" s="3">
        <f>[1]Results!BF1489</f>
        <v>906.10522619999995</v>
      </c>
      <c r="BD207" s="3">
        <f>[1]Results!BG1489</f>
        <v>906.16741290000004</v>
      </c>
      <c r="BE207" s="3">
        <f>[1]Results!BH1489</f>
        <v>906.24966629999994</v>
      </c>
      <c r="BF207" s="3">
        <f>[1]Results!BI1489</f>
        <v>906.35235750000004</v>
      </c>
    </row>
    <row r="208" spans="1:58" x14ac:dyDescent="0.35">
      <c r="B208" t="s">
        <v>10</v>
      </c>
      <c r="C208" s="3">
        <f>[1]Results!F1494</f>
        <v>21270.980510000001</v>
      </c>
      <c r="D208" s="3">
        <f>[1]Results!G1494</f>
        <v>21297.637299999999</v>
      </c>
      <c r="E208" s="3">
        <f>[1]Results!H1494</f>
        <v>21331.772209999999</v>
      </c>
      <c r="F208" s="3">
        <f>[1]Results!I1494</f>
        <v>21379.30891</v>
      </c>
      <c r="G208" s="3">
        <f>[1]Results!J1494</f>
        <v>21441.942230000001</v>
      </c>
      <c r="H208" s="3">
        <f>[1]Results!K1494</f>
        <v>21518.764050000002</v>
      </c>
      <c r="I208" s="3">
        <f>[1]Results!L1494</f>
        <v>21598.988659999999</v>
      </c>
      <c r="J208" s="3">
        <f>[1]Results!M1494</f>
        <v>21681.864089999999</v>
      </c>
      <c r="K208" s="3">
        <f>[1]Results!N1494</f>
        <v>21766.871660000001</v>
      </c>
      <c r="L208" s="3">
        <f>[1]Results!O1494</f>
        <v>21853.455000000002</v>
      </c>
      <c r="M208" s="3">
        <f>[1]Results!P1494</f>
        <v>21955.455330000001</v>
      </c>
      <c r="N208" s="3">
        <f>[1]Results!Q1494</f>
        <v>22055.009829999999</v>
      </c>
      <c r="O208" s="3">
        <f>[1]Results!R1494</f>
        <v>22151.369979999999</v>
      </c>
      <c r="P208" s="3">
        <f>[1]Results!S1494</f>
        <v>22244.611550000001</v>
      </c>
      <c r="Q208" s="3">
        <f>[1]Results!T1494</f>
        <v>22334.976930000001</v>
      </c>
      <c r="R208" s="3">
        <f>[1]Results!U1494</f>
        <v>22422.757699999998</v>
      </c>
      <c r="S208" s="3">
        <f>[1]Results!V1494</f>
        <v>22508.272639999999</v>
      </c>
      <c r="T208" s="3">
        <f>[1]Results!W1494</f>
        <v>22591.853940000001</v>
      </c>
      <c r="U208" s="3">
        <f>[1]Results!X1494</f>
        <v>22673.83078</v>
      </c>
      <c r="V208" s="3">
        <f>[1]Results!Y1494</f>
        <v>22754.514179999998</v>
      </c>
      <c r="W208" s="3">
        <f>[1]Results!Z1494</f>
        <v>22824.64068</v>
      </c>
      <c r="X208" s="3">
        <f>[1]Results!AA1494</f>
        <v>22895.915850000001</v>
      </c>
      <c r="Y208" s="3">
        <f>[1]Results!AB1494</f>
        <v>22968.731899999999</v>
      </c>
      <c r="Z208" s="3">
        <f>[1]Results!AC1494</f>
        <v>23042.959500000001</v>
      </c>
      <c r="AA208" s="3">
        <f>[1]Results!AD1494</f>
        <v>23118.387620000001</v>
      </c>
      <c r="AB208" s="3">
        <f>[1]Results!AE1494</f>
        <v>23168.77649</v>
      </c>
      <c r="AC208" s="3">
        <f>[1]Results!AF1494</f>
        <v>23212.9568</v>
      </c>
      <c r="AD208" s="3">
        <f>[1]Results!AG1494</f>
        <v>23253.684639999999</v>
      </c>
      <c r="AE208" s="3">
        <f>[1]Results!AH1494</f>
        <v>23292.648980000002</v>
      </c>
      <c r="AF208" s="3">
        <f>[1]Results!AI1494</f>
        <v>23331.03357</v>
      </c>
      <c r="AG208" s="3">
        <f>[1]Results!AJ1494</f>
        <v>23369.661499999998</v>
      </c>
      <c r="AH208" s="3">
        <f>[1]Results!AK1494</f>
        <v>23409.060010000001</v>
      </c>
      <c r="AI208" s="3">
        <f>[1]Results!AL1494</f>
        <v>23449.516660000001</v>
      </c>
      <c r="AJ208" s="3">
        <f>[1]Results!AM1494</f>
        <v>23491.136740000002</v>
      </c>
      <c r="AK208" s="3">
        <f>[1]Results!AN1494</f>
        <v>23533.898420000001</v>
      </c>
      <c r="AL208" s="3">
        <f>[1]Results!AO1494</f>
        <v>23577.700819999998</v>
      </c>
      <c r="AM208" s="3">
        <f>[1]Results!AP1494</f>
        <v>23616.858929999999</v>
      </c>
      <c r="AN208" s="3">
        <f>[1]Results!AQ1494</f>
        <v>23652.334350000001</v>
      </c>
      <c r="AO208" s="3">
        <f>[1]Results!AR1494</f>
        <v>23685.196609999999</v>
      </c>
      <c r="AP208" s="3">
        <f>[1]Results!AS1494</f>
        <v>23716.34978</v>
      </c>
      <c r="AQ208" s="3">
        <f>[1]Results!AT1494</f>
        <v>23746.50649</v>
      </c>
      <c r="AR208" s="3">
        <f>[1]Results!AU1494</f>
        <v>23776.204300000001</v>
      </c>
      <c r="AS208" s="3">
        <f>[1]Results!AV1494</f>
        <v>23805.827870000001</v>
      </c>
      <c r="AT208" s="3">
        <f>[1]Results!AW1494</f>
        <v>23835.632420000002</v>
      </c>
      <c r="AU208" s="3">
        <f>[1]Results!AX1494</f>
        <v>23865.76858</v>
      </c>
      <c r="AV208" s="3">
        <f>[1]Results!AY1494</f>
        <v>23896.307809999998</v>
      </c>
      <c r="AW208" s="3">
        <f>[1]Results!AZ1494</f>
        <v>23927.715800000002</v>
      </c>
      <c r="AX208" s="3">
        <f>[1]Results!BA1494</f>
        <v>23959.89143</v>
      </c>
      <c r="AY208" s="3">
        <f>[1]Results!BB1494</f>
        <v>23992.706450000001</v>
      </c>
      <c r="AZ208" s="3">
        <f>[1]Results!BC1494</f>
        <v>24026.022389999998</v>
      </c>
      <c r="BA208" s="3">
        <f>[1]Results!BD1494</f>
        <v>24059.709320000002</v>
      </c>
      <c r="BB208" s="3">
        <f>[1]Results!BE1494</f>
        <v>24069.530859999999</v>
      </c>
      <c r="BC208" s="3">
        <f>[1]Results!BF1494</f>
        <v>24095.26267</v>
      </c>
      <c r="BD208" s="3">
        <f>[1]Results!BG1494</f>
        <v>24120.821110000001</v>
      </c>
      <c r="BE208" s="3">
        <f>[1]Results!BH1494</f>
        <v>24146.22565</v>
      </c>
      <c r="BF208" s="3">
        <f>[1]Results!BI1494</f>
        <v>24171.505140000001</v>
      </c>
    </row>
    <row r="209" spans="1:58" x14ac:dyDescent="0.35">
      <c r="B209" t="s">
        <v>29</v>
      </c>
      <c r="C209" s="3">
        <f>C214-C210</f>
        <v>10.587678492200002</v>
      </c>
      <c r="D209" s="3">
        <f t="shared" ref="D209:AL209" si="95">D214-D210</f>
        <v>10.566688644200001</v>
      </c>
      <c r="E209" s="3">
        <f t="shared" si="95"/>
        <v>10.525732087</v>
      </c>
      <c r="F209" s="3">
        <f t="shared" si="95"/>
        <v>10.4813730488</v>
      </c>
      <c r="G209" s="3">
        <f t="shared" si="95"/>
        <v>10.443735864199999</v>
      </c>
      <c r="H209" s="3">
        <f t="shared" si="95"/>
        <v>10.4174075468</v>
      </c>
      <c r="I209" s="3">
        <f t="shared" si="95"/>
        <v>10.399563686</v>
      </c>
      <c r="J209" s="3">
        <f t="shared" si="95"/>
        <v>10.389550480399999</v>
      </c>
      <c r="K209" s="3">
        <f t="shared" si="95"/>
        <v>10.385935098199999</v>
      </c>
      <c r="L209" s="3">
        <f t="shared" si="95"/>
        <v>10.387025088</v>
      </c>
      <c r="M209" s="3">
        <f t="shared" si="95"/>
        <v>10.397090519499999</v>
      </c>
      <c r="N209" s="3">
        <f t="shared" si="95"/>
        <v>10.407743607500002</v>
      </c>
      <c r="O209" s="3">
        <f t="shared" si="95"/>
        <v>10.4179972867</v>
      </c>
      <c r="P209" s="3">
        <f t="shared" si="95"/>
        <v>10.427592299900002</v>
      </c>
      <c r="Q209" s="3">
        <f t="shared" si="95"/>
        <v>10.436446652299999</v>
      </c>
      <c r="R209" s="3">
        <f t="shared" si="95"/>
        <v>10.444550114399998</v>
      </c>
      <c r="S209" s="3">
        <f t="shared" si="95"/>
        <v>10.451937253299999</v>
      </c>
      <c r="T209" s="3">
        <f t="shared" si="95"/>
        <v>10.458673512000001</v>
      </c>
      <c r="U209" s="3">
        <f t="shared" si="95"/>
        <v>10.4648439205</v>
      </c>
      <c r="V209" s="3">
        <f t="shared" si="95"/>
        <v>10.470543607700002</v>
      </c>
      <c r="W209" s="3">
        <f t="shared" si="95"/>
        <v>10.472048776200001</v>
      </c>
      <c r="X209" s="3">
        <f t="shared" si="95"/>
        <v>10.474167001100001</v>
      </c>
      <c r="Y209" s="3">
        <f t="shared" si="95"/>
        <v>10.4770375642</v>
      </c>
      <c r="Z209" s="3">
        <f t="shared" si="95"/>
        <v>10.480507482899998</v>
      </c>
      <c r="AA209" s="3">
        <f t="shared" si="95"/>
        <v>10.484444802599999</v>
      </c>
      <c r="AB209" s="3">
        <f t="shared" si="95"/>
        <v>10.4783873686</v>
      </c>
      <c r="AC209" s="3">
        <f t="shared" si="95"/>
        <v>10.470228383200002</v>
      </c>
      <c r="AD209" s="3">
        <f t="shared" si="95"/>
        <v>10.461198393300002</v>
      </c>
      <c r="AE209" s="3">
        <f t="shared" si="95"/>
        <v>10.451833788799998</v>
      </c>
      <c r="AF209" s="3">
        <f t="shared" si="95"/>
        <v>10.442457180699998</v>
      </c>
      <c r="AG209" s="3">
        <f t="shared" si="95"/>
        <v>10.433288917800002</v>
      </c>
      <c r="AH209" s="3">
        <f t="shared" si="95"/>
        <v>10.424479947199998</v>
      </c>
      <c r="AI209" s="3">
        <f t="shared" si="95"/>
        <v>10.416125926899999</v>
      </c>
      <c r="AJ209" s="3">
        <f t="shared" si="95"/>
        <v>10.408277502600001</v>
      </c>
      <c r="AK209" s="3">
        <f t="shared" si="95"/>
        <v>10.400950188300001</v>
      </c>
      <c r="AL209" s="3">
        <f t="shared" si="95"/>
        <v>10.394133691</v>
      </c>
      <c r="AM209" s="3">
        <f t="shared" ref="AM209:BC209" si="96">AM214-AM210</f>
        <v>10.385607996000001</v>
      </c>
      <c r="AN209" s="3">
        <f t="shared" si="96"/>
        <v>10.375858976600002</v>
      </c>
      <c r="AO209" s="3">
        <f t="shared" si="96"/>
        <v>10.365388216800003</v>
      </c>
      <c r="AP209" s="3">
        <f t="shared" si="96"/>
        <v>10.3545585445</v>
      </c>
      <c r="AQ209" s="3">
        <f t="shared" si="96"/>
        <v>10.343616012</v>
      </c>
      <c r="AR209" s="3">
        <f t="shared" si="96"/>
        <v>10.332724859399999</v>
      </c>
      <c r="AS209" s="3">
        <f t="shared" si="96"/>
        <v>10.3219925828</v>
      </c>
      <c r="AT209" s="3">
        <f t="shared" si="96"/>
        <v>10.311486049300001</v>
      </c>
      <c r="AU209" s="3">
        <f t="shared" si="96"/>
        <v>10.301241486299999</v>
      </c>
      <c r="AV209" s="3">
        <f t="shared" si="96"/>
        <v>10.291269180399999</v>
      </c>
      <c r="AW209" s="3">
        <f t="shared" si="96"/>
        <v>10.2817210338</v>
      </c>
      <c r="AX209" s="3">
        <f t="shared" si="96"/>
        <v>10.272511723099999</v>
      </c>
      <c r="AY209" s="3">
        <f t="shared" si="96"/>
        <v>10.2635321162</v>
      </c>
      <c r="AZ209" s="3">
        <f t="shared" si="96"/>
        <v>10.254776727799999</v>
      </c>
      <c r="BA209" s="3">
        <f t="shared" si="96"/>
        <v>10.246283843099999</v>
      </c>
      <c r="BB209" s="3">
        <f t="shared" si="96"/>
        <v>10.1385891352</v>
      </c>
      <c r="BC209" s="3">
        <f t="shared" si="96"/>
        <v>10.1267563557</v>
      </c>
      <c r="BD209" s="3">
        <f t="shared" ref="BD209:BF209" si="97">BD214-BD210</f>
        <v>10.115161729</v>
      </c>
      <c r="BE209" s="3">
        <f t="shared" si="97"/>
        <v>10.1038212526</v>
      </c>
      <c r="BF209" s="3">
        <f t="shared" si="97"/>
        <v>10.092751701099999</v>
      </c>
    </row>
    <row r="210" spans="1:58" x14ac:dyDescent="0.35">
      <c r="B210" t="s">
        <v>36</v>
      </c>
      <c r="C210" s="3">
        <f>C212+C213</f>
        <v>7.4064825877999994</v>
      </c>
      <c r="D210" s="3">
        <f t="shared" ref="D210:AL210" si="98">D212+D213</f>
        <v>7.3832166558000001</v>
      </c>
      <c r="E210" s="3">
        <f t="shared" si="98"/>
        <v>7.3411235829999999</v>
      </c>
      <c r="F210" s="3">
        <f t="shared" si="98"/>
        <v>7.2961147212000004</v>
      </c>
      <c r="G210" s="3">
        <f t="shared" si="98"/>
        <v>7.2579222358000006</v>
      </c>
      <c r="H210" s="3">
        <f t="shared" si="98"/>
        <v>7.2303833131999999</v>
      </c>
      <c r="I210" s="3">
        <f t="shared" si="98"/>
        <v>7.2114877839999991</v>
      </c>
      <c r="J210" s="3">
        <f t="shared" si="98"/>
        <v>7.2001106396000001</v>
      </c>
      <c r="K210" s="3">
        <f t="shared" si="98"/>
        <v>7.1945751817999994</v>
      </c>
      <c r="L210" s="3">
        <f t="shared" si="98"/>
        <v>7.1931961819999994</v>
      </c>
      <c r="M210" s="3">
        <f t="shared" si="98"/>
        <v>7.1981322505000005</v>
      </c>
      <c r="N210" s="3">
        <f t="shared" si="98"/>
        <v>7.2039200125000002</v>
      </c>
      <c r="O210" s="3">
        <f t="shared" si="98"/>
        <v>7.2098245332999999</v>
      </c>
      <c r="P210" s="3">
        <f t="shared" si="98"/>
        <v>7.2155143200999996</v>
      </c>
      <c r="Q210" s="3">
        <f t="shared" si="98"/>
        <v>7.2208043076999999</v>
      </c>
      <c r="R210" s="3">
        <f t="shared" si="98"/>
        <v>7.2255950356000005</v>
      </c>
      <c r="S210" s="3">
        <f t="shared" si="98"/>
        <v>7.2298464767000006</v>
      </c>
      <c r="T210" s="3">
        <f t="shared" si="98"/>
        <v>7.2335595280000007</v>
      </c>
      <c r="U210" s="3">
        <f t="shared" si="98"/>
        <v>7.2367614995</v>
      </c>
      <c r="V210" s="3">
        <f t="shared" si="98"/>
        <v>7.2394951722999998</v>
      </c>
      <c r="W210" s="3">
        <f t="shared" si="98"/>
        <v>7.2394525937999994</v>
      </c>
      <c r="X210" s="3">
        <f t="shared" si="98"/>
        <v>7.2395899988999997</v>
      </c>
      <c r="Y210" s="3">
        <f t="shared" si="98"/>
        <v>7.2399381458000001</v>
      </c>
      <c r="Z210" s="3">
        <f t="shared" si="98"/>
        <v>7.2404239371000001</v>
      </c>
      <c r="AA210" s="3">
        <f t="shared" si="98"/>
        <v>7.2409946074000002</v>
      </c>
      <c r="AB210" s="3">
        <f t="shared" si="98"/>
        <v>7.2352068813999999</v>
      </c>
      <c r="AC210" s="3">
        <f t="shared" si="98"/>
        <v>7.2279458268000001</v>
      </c>
      <c r="AD210" s="3">
        <f t="shared" si="98"/>
        <v>7.2198356167000002</v>
      </c>
      <c r="AE210" s="3">
        <f t="shared" si="98"/>
        <v>7.2112009312000005</v>
      </c>
      <c r="AF210" s="3">
        <f t="shared" si="98"/>
        <v>7.2022749593000004</v>
      </c>
      <c r="AG210" s="3">
        <f t="shared" si="98"/>
        <v>7.1932388321999996</v>
      </c>
      <c r="AH210" s="3">
        <f t="shared" si="98"/>
        <v>7.1842297628000003</v>
      </c>
      <c r="AI210" s="3">
        <f t="shared" si="98"/>
        <v>7.1753453031000003</v>
      </c>
      <c r="AJ210" s="3">
        <f t="shared" si="98"/>
        <v>7.1666487073999994</v>
      </c>
      <c r="AK210" s="3">
        <f t="shared" si="98"/>
        <v>7.1581754517</v>
      </c>
      <c r="AL210" s="3">
        <f t="shared" si="98"/>
        <v>7.1499400389999996</v>
      </c>
      <c r="AM210" s="3">
        <f t="shared" ref="AM210:BC210" si="99">AM212+AM213</f>
        <v>7.1405848140000003</v>
      </c>
      <c r="AN210" s="3">
        <f t="shared" si="99"/>
        <v>7.1304254633999999</v>
      </c>
      <c r="AO210" s="3">
        <f t="shared" si="99"/>
        <v>7.1197545331999992</v>
      </c>
      <c r="AP210" s="3">
        <f t="shared" si="99"/>
        <v>7.1087873854999994</v>
      </c>
      <c r="AQ210" s="3">
        <f t="shared" si="99"/>
        <v>7.0976789779999994</v>
      </c>
      <c r="AR210" s="3">
        <f t="shared" si="99"/>
        <v>7.0865415106</v>
      </c>
      <c r="AS210" s="3">
        <f t="shared" si="99"/>
        <v>7.0754557471999995</v>
      </c>
      <c r="AT210" s="3">
        <f t="shared" si="99"/>
        <v>7.0644780806999998</v>
      </c>
      <c r="AU210" s="3">
        <f t="shared" si="99"/>
        <v>7.0536454336999999</v>
      </c>
      <c r="AV210" s="3">
        <f t="shared" si="99"/>
        <v>7.0429790295999997</v>
      </c>
      <c r="AW210" s="3">
        <f t="shared" si="99"/>
        <v>7.0325954262000003</v>
      </c>
      <c r="AX210" s="3">
        <f t="shared" si="99"/>
        <v>7.0224606469000008</v>
      </c>
      <c r="AY210" s="3">
        <f t="shared" si="99"/>
        <v>7.0125320737999992</v>
      </c>
      <c r="AZ210" s="3">
        <f t="shared" si="99"/>
        <v>7.0027921922000003</v>
      </c>
      <c r="BA210" s="3">
        <f t="shared" si="99"/>
        <v>6.9932354369</v>
      </c>
      <c r="BB210" s="3">
        <f t="shared" si="99"/>
        <v>6.9228504148000001</v>
      </c>
      <c r="BC210" s="3">
        <f t="shared" si="99"/>
        <v>6.9103832043000004</v>
      </c>
      <c r="BD210" s="3">
        <f t="shared" ref="BD210:BF210" si="100">BD212+BD213</f>
        <v>6.8980857909999997</v>
      </c>
      <c r="BE210" s="3">
        <f t="shared" si="100"/>
        <v>6.8859729474</v>
      </c>
      <c r="BF210" s="3">
        <f t="shared" si="100"/>
        <v>6.8740612289000005</v>
      </c>
    </row>
    <row r="211" spans="1:58" x14ac:dyDescent="0.35">
      <c r="B211" t="s">
        <v>33</v>
      </c>
      <c r="C211" s="3">
        <f>[1]Results!F1502</f>
        <v>86.953612710000002</v>
      </c>
      <c r="D211" s="3">
        <f>[1]Results!G1502</f>
        <v>86.760530610000004</v>
      </c>
      <c r="E211" s="3">
        <f>[1]Results!H1502</f>
        <v>86.366415590000003</v>
      </c>
      <c r="F211" s="3">
        <f>[1]Results!I1502</f>
        <v>85.888597630000007</v>
      </c>
      <c r="G211" s="3">
        <f>[1]Results!J1502</f>
        <v>85.407461479999995</v>
      </c>
      <c r="H211" s="3">
        <f>[1]Results!K1502</f>
        <v>84.970071590000003</v>
      </c>
      <c r="I211" s="3">
        <f>[1]Results!L1502</f>
        <v>84.571033600000007</v>
      </c>
      <c r="J211" s="3">
        <f>[1]Results!M1502</f>
        <v>84.214655570000005</v>
      </c>
      <c r="K211" s="3">
        <f>[1]Results!N1502</f>
        <v>83.897710950000004</v>
      </c>
      <c r="L211" s="3">
        <f>[1]Results!O1502</f>
        <v>83.611805230000002</v>
      </c>
      <c r="M211" s="3">
        <f>[1]Results!P1502</f>
        <v>83.390268840000005</v>
      </c>
      <c r="N211" s="3">
        <f>[1]Results!Q1502</f>
        <v>83.176826809999994</v>
      </c>
      <c r="O211" s="3">
        <f>[1]Results!R1502</f>
        <v>82.958994450000006</v>
      </c>
      <c r="P211" s="3">
        <f>[1]Results!S1502</f>
        <v>82.734078580000002</v>
      </c>
      <c r="Q211" s="3">
        <f>[1]Results!T1502</f>
        <v>82.502258870000006</v>
      </c>
      <c r="R211" s="3">
        <f>[1]Results!U1502</f>
        <v>82.264650720000006</v>
      </c>
      <c r="S211" s="3">
        <f>[1]Results!V1502</f>
        <v>82.022713710000005</v>
      </c>
      <c r="T211" s="3">
        <f>[1]Results!W1502</f>
        <v>81.77804347</v>
      </c>
      <c r="U211" s="3">
        <f>[1]Results!X1502</f>
        <v>81.532275229999996</v>
      </c>
      <c r="V211" s="3">
        <f>[1]Results!Y1502</f>
        <v>81.28702002</v>
      </c>
      <c r="W211" s="3">
        <f>[1]Results!Z1502</f>
        <v>81.016300479999998</v>
      </c>
      <c r="X211" s="3">
        <f>[1]Results!AA1502</f>
        <v>80.752447410000002</v>
      </c>
      <c r="Y211" s="3">
        <f>[1]Results!AB1502</f>
        <v>80.50071629</v>
      </c>
      <c r="Z211" s="3">
        <f>[1]Results!AC1502</f>
        <v>80.261308900000003</v>
      </c>
      <c r="AA211" s="3">
        <f>[1]Results!AD1502</f>
        <v>80.033515820000005</v>
      </c>
      <c r="AB211" s="3">
        <f>[1]Results!AE1502</f>
        <v>79.742775559999998</v>
      </c>
      <c r="AC211" s="3">
        <f>[1]Results!AF1502</f>
        <v>79.436979519999994</v>
      </c>
      <c r="AD211" s="3">
        <f>[1]Results!AG1502</f>
        <v>79.130657769999999</v>
      </c>
      <c r="AE211" s="3">
        <f>[1]Results!AH1502</f>
        <v>78.830343859999999</v>
      </c>
      <c r="AF211" s="3">
        <f>[1]Results!AI1502</f>
        <v>78.539496970000002</v>
      </c>
      <c r="AG211" s="3">
        <f>[1]Results!AJ1502</f>
        <v>78.26005327</v>
      </c>
      <c r="AH211" s="3">
        <f>[1]Results!AK1502</f>
        <v>77.993015080000006</v>
      </c>
      <c r="AI211" s="3">
        <f>[1]Results!AL1502</f>
        <v>77.738735899999995</v>
      </c>
      <c r="AJ211" s="3">
        <f>[1]Results!AM1502</f>
        <v>77.497098350000002</v>
      </c>
      <c r="AK211" s="3">
        <f>[1]Results!AN1502</f>
        <v>77.267649379999995</v>
      </c>
      <c r="AL211" s="3">
        <f>[1]Results!AO1502</f>
        <v>77.049712869999993</v>
      </c>
      <c r="AM211" s="3">
        <f>[1]Results!AP1502</f>
        <v>76.827196749999999</v>
      </c>
      <c r="AN211" s="3">
        <f>[1]Results!AQ1502</f>
        <v>76.601173450000005</v>
      </c>
      <c r="AO211" s="3">
        <f>[1]Results!AR1502</f>
        <v>76.374873410000006</v>
      </c>
      <c r="AP211" s="3">
        <f>[1]Results!AS1502</f>
        <v>76.151072209999995</v>
      </c>
      <c r="AQ211" s="3">
        <f>[1]Results!AT1502</f>
        <v>75.93172835</v>
      </c>
      <c r="AR211" s="3">
        <f>[1]Results!AU1502</f>
        <v>75.718101340000004</v>
      </c>
      <c r="AS211" s="3">
        <f>[1]Results!AV1502</f>
        <v>75.510929469999994</v>
      </c>
      <c r="AT211" s="3">
        <f>[1]Results!AW1502</f>
        <v>75.310584109999994</v>
      </c>
      <c r="AU211" s="3">
        <f>[1]Results!AX1502</f>
        <v>75.117170669999993</v>
      </c>
      <c r="AV211" s="3">
        <f>[1]Results!AY1502</f>
        <v>74.93056224</v>
      </c>
      <c r="AW211" s="3">
        <f>[1]Results!AZ1502</f>
        <v>74.751421870000001</v>
      </c>
      <c r="AX211" s="3">
        <f>[1]Results!BA1502</f>
        <v>74.577560079999998</v>
      </c>
      <c r="AY211" s="3">
        <f>[1]Results!BB1502</f>
        <v>74.40690549</v>
      </c>
      <c r="AZ211" s="3">
        <f>[1]Results!BC1502</f>
        <v>74.239388219999995</v>
      </c>
      <c r="BA211" s="3">
        <f>[1]Results!BD1502</f>
        <v>74.075950270000007</v>
      </c>
      <c r="BB211" s="3">
        <f>[1]Results!BE1502</f>
        <v>71.369933189999998</v>
      </c>
      <c r="BC211" s="3">
        <f>[1]Results!BF1502</f>
        <v>71.162944929999995</v>
      </c>
      <c r="BD211" s="3">
        <f>[1]Results!BG1502</f>
        <v>70.960819119999996</v>
      </c>
      <c r="BE211" s="3">
        <f>[1]Results!BH1502</f>
        <v>70.76353349</v>
      </c>
      <c r="BF211" s="3">
        <f>[1]Results!BI1502</f>
        <v>70.57103103</v>
      </c>
    </row>
    <row r="212" spans="1:58" x14ac:dyDescent="0.35">
      <c r="B212" t="s">
        <v>35</v>
      </c>
      <c r="C212" s="3">
        <f>[1]Results!F1499</f>
        <v>6.6863688339999996</v>
      </c>
      <c r="D212" s="3">
        <f>[1]Results!G1499</f>
        <v>6.6636884539999999</v>
      </c>
      <c r="E212" s="3">
        <f>[1]Results!H1499</f>
        <v>6.6230406139999998</v>
      </c>
      <c r="F212" s="3">
        <f>[1]Results!I1499</f>
        <v>6.5796770130000004</v>
      </c>
      <c r="G212" s="3">
        <f>[1]Results!J1499</f>
        <v>6.5429209090000002</v>
      </c>
      <c r="H212" s="3">
        <f>[1]Results!K1499</f>
        <v>6.5163610009999999</v>
      </c>
      <c r="I212" s="3">
        <f>[1]Results!L1499</f>
        <v>6.4981650679999996</v>
      </c>
      <c r="J212" s="3">
        <f>[1]Results!M1499</f>
        <v>6.4871787830000001</v>
      </c>
      <c r="K212" s="3">
        <f>[1]Results!N1499</f>
        <v>6.4817429349999998</v>
      </c>
      <c r="L212" s="3">
        <f>[1]Results!O1499</f>
        <v>6.4802288399999997</v>
      </c>
      <c r="M212" s="3">
        <f>[1]Results!P1499</f>
        <v>6.4844130590000004</v>
      </c>
      <c r="N212" s="3">
        <f>[1]Results!Q1499</f>
        <v>6.4894319090000003</v>
      </c>
      <c r="O212" s="3">
        <f>[1]Results!R1499</f>
        <v>6.4946345970000001</v>
      </c>
      <c r="P212" s="3">
        <f>[1]Results!S1499</f>
        <v>6.4997009419999996</v>
      </c>
      <c r="Q212" s="3">
        <f>[1]Results!T1499</f>
        <v>6.5044421229999996</v>
      </c>
      <c r="R212" s="3">
        <f>[1]Results!U1499</f>
        <v>6.5087515710000003</v>
      </c>
      <c r="S212" s="3">
        <f>[1]Results!V1499</f>
        <v>6.5125810770000001</v>
      </c>
      <c r="T212" s="3">
        <f>[1]Results!W1499</f>
        <v>6.5159227260000003</v>
      </c>
      <c r="U212" s="3">
        <f>[1]Results!X1499</f>
        <v>6.5187945870000004</v>
      </c>
      <c r="V212" s="3">
        <f>[1]Results!Y1499</f>
        <v>6.52123001</v>
      </c>
      <c r="W212" s="3">
        <f>[1]Results!Z1499</f>
        <v>6.5212052409999997</v>
      </c>
      <c r="X212" s="3">
        <f>[1]Results!AA1499</f>
        <v>6.5213172029999997</v>
      </c>
      <c r="Y212" s="3">
        <f>[1]Results!AB1499</f>
        <v>6.5215674210000003</v>
      </c>
      <c r="Z212" s="3">
        <f>[1]Results!AC1499</f>
        <v>6.5218916690000004</v>
      </c>
      <c r="AA212" s="3">
        <f>[1]Results!AD1499</f>
        <v>6.5222483120000003</v>
      </c>
      <c r="AB212" s="3">
        <f>[1]Results!AE1499</f>
        <v>6.516995605</v>
      </c>
      <c r="AC212" s="3">
        <f>[1]Results!AF1499</f>
        <v>6.5104472539999998</v>
      </c>
      <c r="AD212" s="3">
        <f>[1]Results!AG1499</f>
        <v>6.5031028339999999</v>
      </c>
      <c r="AE212" s="3">
        <f>[1]Results!AH1499</f>
        <v>6.4952354640000003</v>
      </c>
      <c r="AF212" s="3">
        <f>[1]Results!AI1499</f>
        <v>6.4870515040000001</v>
      </c>
      <c r="AG212" s="3">
        <f>[1]Results!AJ1499</f>
        <v>6.4787162929999997</v>
      </c>
      <c r="AH212" s="3">
        <f>[1]Results!AK1499</f>
        <v>6.4703575730000003</v>
      </c>
      <c r="AI212" s="3">
        <f>[1]Results!AL1499</f>
        <v>6.4620677530000004</v>
      </c>
      <c r="AJ212" s="3">
        <f>[1]Results!AM1499</f>
        <v>6.4539081539999996</v>
      </c>
      <c r="AK212" s="3">
        <f>[1]Results!AN1499</f>
        <v>6.4459147220000004</v>
      </c>
      <c r="AL212" s="3">
        <f>[1]Results!AO1499</f>
        <v>6.4381041659999996</v>
      </c>
      <c r="AM212" s="3">
        <f>[1]Results!AP1499</f>
        <v>6.42928839</v>
      </c>
      <c r="AN212" s="3">
        <f>[1]Results!AQ1499</f>
        <v>6.4197541979999997</v>
      </c>
      <c r="AO212" s="3">
        <f>[1]Results!AR1499</f>
        <v>6.4097546769999996</v>
      </c>
      <c r="AP212" s="3">
        <f>[1]Results!AS1499</f>
        <v>6.3994752999999998</v>
      </c>
      <c r="AQ212" s="3">
        <f>[1]Results!AT1499</f>
        <v>6.3890510149999997</v>
      </c>
      <c r="AR212" s="3">
        <f>[1]Results!AU1499</f>
        <v>6.3785813539999996</v>
      </c>
      <c r="AS212" s="3">
        <f>[1]Results!AV1499</f>
        <v>6.3681394969999996</v>
      </c>
      <c r="AT212" s="3">
        <f>[1]Results!AW1499</f>
        <v>6.3577777370000002</v>
      </c>
      <c r="AU212" s="3">
        <f>[1]Results!AX1499</f>
        <v>6.3475313499999997</v>
      </c>
      <c r="AV212" s="3">
        <f>[1]Results!AY1499</f>
        <v>6.3374218459999998</v>
      </c>
      <c r="AW212" s="3">
        <f>[1]Results!AZ1499</f>
        <v>6.3275552030000002</v>
      </c>
      <c r="AX212" s="3">
        <f>[1]Results!BA1499</f>
        <v>6.3179103220000004</v>
      </c>
      <c r="AY212" s="3">
        <f>[1]Results!BB1499</f>
        <v>6.3084635349999996</v>
      </c>
      <c r="AZ212" s="3">
        <f>[1]Results!BC1499</f>
        <v>6.2991946219999999</v>
      </c>
      <c r="BA212" s="3">
        <f>[1]Results!BD1499</f>
        <v>6.2900861490000004</v>
      </c>
      <c r="BB212" s="3">
        <f>[1]Results!BE1499</f>
        <v>6.2314564189999997</v>
      </c>
      <c r="BC212" s="3">
        <f>[1]Results!BF1499</f>
        <v>6.21968941</v>
      </c>
      <c r="BD212" s="3">
        <f>[1]Results!BG1499</f>
        <v>6.2080740509999996</v>
      </c>
      <c r="BE212" s="3">
        <f>[1]Results!BH1499</f>
        <v>6.1966238159999998</v>
      </c>
      <c r="BF212" s="3">
        <f>[1]Results!BI1499</f>
        <v>6.1853541830000003</v>
      </c>
    </row>
    <row r="213" spans="1:58" x14ac:dyDescent="0.35">
      <c r="B213" t="s">
        <v>34</v>
      </c>
      <c r="C213" s="3">
        <f>[1]Results!F1501</f>
        <v>0.72011375379999998</v>
      </c>
      <c r="D213" s="3">
        <f>[1]Results!G1501</f>
        <v>0.71952820179999999</v>
      </c>
      <c r="E213" s="3">
        <f>[1]Results!H1501</f>
        <v>0.71808296900000002</v>
      </c>
      <c r="F213" s="3">
        <f>[1]Results!I1501</f>
        <v>0.71643770819999997</v>
      </c>
      <c r="G213" s="3">
        <f>[1]Results!J1501</f>
        <v>0.71500132679999995</v>
      </c>
      <c r="H213" s="3">
        <f>[1]Results!K1501</f>
        <v>0.71402231220000001</v>
      </c>
      <c r="I213" s="3">
        <f>[1]Results!L1501</f>
        <v>0.71332271599999997</v>
      </c>
      <c r="J213" s="3">
        <f>[1]Results!M1501</f>
        <v>0.71293185660000002</v>
      </c>
      <c r="K213" s="3">
        <f>[1]Results!N1501</f>
        <v>0.71283224680000001</v>
      </c>
      <c r="L213" s="3">
        <f>[1]Results!O1501</f>
        <v>0.712967342</v>
      </c>
      <c r="M213" s="3">
        <f>[1]Results!P1501</f>
        <v>0.71371919149999996</v>
      </c>
      <c r="N213" s="3">
        <f>[1]Results!Q1501</f>
        <v>0.71448810350000003</v>
      </c>
      <c r="O213" s="3">
        <f>[1]Results!R1501</f>
        <v>0.71518993630000005</v>
      </c>
      <c r="P213" s="3">
        <f>[1]Results!S1501</f>
        <v>0.71581337810000001</v>
      </c>
      <c r="Q213" s="3">
        <f>[1]Results!T1501</f>
        <v>0.71636218470000002</v>
      </c>
      <c r="R213" s="3">
        <f>[1]Results!U1501</f>
        <v>0.71684346460000004</v>
      </c>
      <c r="S213" s="3">
        <f>[1]Results!V1501</f>
        <v>0.71726539970000003</v>
      </c>
      <c r="T213" s="3">
        <f>[1]Results!W1501</f>
        <v>0.71763680200000002</v>
      </c>
      <c r="U213" s="3">
        <f>[1]Results!X1501</f>
        <v>0.7179669125</v>
      </c>
      <c r="V213" s="3">
        <f>[1]Results!Y1501</f>
        <v>0.71826516230000004</v>
      </c>
      <c r="W213" s="3">
        <f>[1]Results!Z1501</f>
        <v>0.71824735279999996</v>
      </c>
      <c r="X213" s="3">
        <f>[1]Results!AA1501</f>
        <v>0.71827279590000004</v>
      </c>
      <c r="Y213" s="3">
        <f>[1]Results!AB1501</f>
        <v>0.71837072479999997</v>
      </c>
      <c r="Z213" s="3">
        <f>[1]Results!AC1501</f>
        <v>0.71853226810000004</v>
      </c>
      <c r="AA213" s="3">
        <f>[1]Results!AD1501</f>
        <v>0.71874629540000001</v>
      </c>
      <c r="AB213" s="3">
        <f>[1]Results!AE1501</f>
        <v>0.71821127640000004</v>
      </c>
      <c r="AC213" s="3">
        <f>[1]Results!AF1501</f>
        <v>0.71749857279999996</v>
      </c>
      <c r="AD213" s="3">
        <f>[1]Results!AG1501</f>
        <v>0.71673278269999996</v>
      </c>
      <c r="AE213" s="3">
        <f>[1]Results!AH1501</f>
        <v>0.71596546719999998</v>
      </c>
      <c r="AF213" s="3">
        <f>[1]Results!AI1501</f>
        <v>0.71522345529999998</v>
      </c>
      <c r="AG213" s="3">
        <f>[1]Results!AJ1501</f>
        <v>0.71452253919999997</v>
      </c>
      <c r="AH213" s="3">
        <f>[1]Results!AK1501</f>
        <v>0.7138721898</v>
      </c>
      <c r="AI213" s="3">
        <f>[1]Results!AL1501</f>
        <v>0.71327755010000005</v>
      </c>
      <c r="AJ213" s="3">
        <f>[1]Results!AM1501</f>
        <v>0.71274055339999998</v>
      </c>
      <c r="AK213" s="3">
        <f>[1]Results!AN1501</f>
        <v>0.71226072969999998</v>
      </c>
      <c r="AL213" s="3">
        <f>[1]Results!AO1501</f>
        <v>0.71183587299999995</v>
      </c>
      <c r="AM213" s="3">
        <f>[1]Results!AP1501</f>
        <v>0.71129642400000004</v>
      </c>
      <c r="AN213" s="3">
        <f>[1]Results!AQ1501</f>
        <v>0.71067126540000003</v>
      </c>
      <c r="AO213" s="3">
        <f>[1]Results!AR1501</f>
        <v>0.70999985619999995</v>
      </c>
      <c r="AP213" s="3">
        <f>[1]Results!AS1501</f>
        <v>0.70931208550000002</v>
      </c>
      <c r="AQ213" s="3">
        <f>[1]Results!AT1501</f>
        <v>0.70862796299999997</v>
      </c>
      <c r="AR213" s="3">
        <f>[1]Results!AU1501</f>
        <v>0.7079601566</v>
      </c>
      <c r="AS213" s="3">
        <f>[1]Results!AV1501</f>
        <v>0.7073162502</v>
      </c>
      <c r="AT213" s="3">
        <f>[1]Results!AW1501</f>
        <v>0.70670034370000001</v>
      </c>
      <c r="AU213" s="3">
        <f>[1]Results!AX1501</f>
        <v>0.70611408369999995</v>
      </c>
      <c r="AV213" s="3">
        <f>[1]Results!AY1501</f>
        <v>0.70555718359999997</v>
      </c>
      <c r="AW213" s="3">
        <f>[1]Results!AZ1501</f>
        <v>0.70504022320000004</v>
      </c>
      <c r="AX213" s="3">
        <f>[1]Results!BA1501</f>
        <v>0.70455032490000002</v>
      </c>
      <c r="AY213" s="3">
        <f>[1]Results!BB1501</f>
        <v>0.70406853879999998</v>
      </c>
      <c r="AZ213" s="3">
        <f>[1]Results!BC1501</f>
        <v>0.70359757020000002</v>
      </c>
      <c r="BA213" s="3">
        <f>[1]Results!BD1501</f>
        <v>0.70314928789999998</v>
      </c>
      <c r="BB213" s="3">
        <f>[1]Results!BE1501</f>
        <v>0.69139399580000005</v>
      </c>
      <c r="BC213" s="3">
        <f>[1]Results!BF1501</f>
        <v>0.6906937943</v>
      </c>
      <c r="BD213" s="3">
        <f>[1]Results!BG1501</f>
        <v>0.69001173999999998</v>
      </c>
      <c r="BE213" s="3">
        <f>[1]Results!BH1501</f>
        <v>0.68934913139999998</v>
      </c>
      <c r="BF213" s="3">
        <f>[1]Results!BI1501</f>
        <v>0.68870704589999998</v>
      </c>
    </row>
    <row r="214" spans="1:58" x14ac:dyDescent="0.35">
      <c r="B214" t="s">
        <v>37</v>
      </c>
      <c r="C214" s="3">
        <f>[1]Results!F1497</f>
        <v>17.994161080000001</v>
      </c>
      <c r="D214" s="3">
        <f>[1]Results!G1497</f>
        <v>17.949905300000001</v>
      </c>
      <c r="E214" s="3">
        <f>[1]Results!H1497</f>
        <v>17.86685567</v>
      </c>
      <c r="F214" s="3">
        <f>[1]Results!I1497</f>
        <v>17.77748777</v>
      </c>
      <c r="G214" s="3">
        <f>[1]Results!J1497</f>
        <v>17.7016581</v>
      </c>
      <c r="H214" s="3">
        <f>[1]Results!K1497</f>
        <v>17.647790860000001</v>
      </c>
      <c r="I214" s="3">
        <f>[1]Results!L1497</f>
        <v>17.61105147</v>
      </c>
      <c r="J214" s="3">
        <f>[1]Results!M1497</f>
        <v>17.589661119999999</v>
      </c>
      <c r="K214" s="3">
        <f>[1]Results!N1497</f>
        <v>17.580510279999999</v>
      </c>
      <c r="L214" s="3">
        <f>[1]Results!O1497</f>
        <v>17.580221269999999</v>
      </c>
      <c r="M214" s="3">
        <f>[1]Results!P1497</f>
        <v>17.595222769999999</v>
      </c>
      <c r="N214" s="3">
        <f>[1]Results!Q1497</f>
        <v>17.611663620000002</v>
      </c>
      <c r="O214" s="3">
        <f>[1]Results!R1497</f>
        <v>17.627821820000001</v>
      </c>
      <c r="P214" s="3">
        <f>[1]Results!S1497</f>
        <v>17.643106620000001</v>
      </c>
      <c r="Q214" s="3">
        <f>[1]Results!T1497</f>
        <v>17.657250959999999</v>
      </c>
      <c r="R214" s="3">
        <f>[1]Results!U1497</f>
        <v>17.67014515</v>
      </c>
      <c r="S214" s="3">
        <f>[1]Results!V1497</f>
        <v>17.681783729999999</v>
      </c>
      <c r="T214" s="3">
        <f>[1]Results!W1497</f>
        <v>17.692233040000001</v>
      </c>
      <c r="U214" s="3">
        <f>[1]Results!X1497</f>
        <v>17.70160542</v>
      </c>
      <c r="V214" s="3">
        <f>[1]Results!Y1497</f>
        <v>17.710038780000001</v>
      </c>
      <c r="W214" s="3">
        <f>[1]Results!Z1497</f>
        <v>17.711501370000001</v>
      </c>
      <c r="X214" s="3">
        <f>[1]Results!AA1497</f>
        <v>17.713757000000001</v>
      </c>
      <c r="Y214" s="3">
        <f>[1]Results!AB1497</f>
        <v>17.71697571</v>
      </c>
      <c r="Z214" s="3">
        <f>[1]Results!AC1497</f>
        <v>17.720931419999999</v>
      </c>
      <c r="AA214" s="3">
        <f>[1]Results!AD1497</f>
        <v>17.72543941</v>
      </c>
      <c r="AB214" s="3">
        <f>[1]Results!AE1497</f>
        <v>17.71359425</v>
      </c>
      <c r="AC214" s="3">
        <f>[1]Results!AF1497</f>
        <v>17.698174210000001</v>
      </c>
      <c r="AD214" s="3">
        <f>[1]Results!AG1497</f>
        <v>17.681034010000001</v>
      </c>
      <c r="AE214" s="3">
        <f>[1]Results!AH1497</f>
        <v>17.663034719999999</v>
      </c>
      <c r="AF214" s="3">
        <f>[1]Results!AI1497</f>
        <v>17.644732139999999</v>
      </c>
      <c r="AG214" s="3">
        <f>[1]Results!AJ1497</f>
        <v>17.626527750000001</v>
      </c>
      <c r="AH214" s="3">
        <f>[1]Results!AK1497</f>
        <v>17.608709709999999</v>
      </c>
      <c r="AI214" s="3">
        <f>[1]Results!AL1497</f>
        <v>17.59147123</v>
      </c>
      <c r="AJ214" s="3">
        <f>[1]Results!AM1497</f>
        <v>17.574926210000001</v>
      </c>
      <c r="AK214" s="3">
        <f>[1]Results!AN1497</f>
        <v>17.559125640000001</v>
      </c>
      <c r="AL214" s="3">
        <f>[1]Results!AO1497</f>
        <v>17.544073730000001</v>
      </c>
      <c r="AM214" s="3">
        <f>[1]Results!AP1497</f>
        <v>17.526192810000001</v>
      </c>
      <c r="AN214" s="3">
        <f>[1]Results!AQ1497</f>
        <v>17.506284440000002</v>
      </c>
      <c r="AO214" s="3">
        <f>[1]Results!AR1497</f>
        <v>17.485142750000001</v>
      </c>
      <c r="AP214" s="3">
        <f>[1]Results!AS1497</f>
        <v>17.463345929999999</v>
      </c>
      <c r="AQ214" s="3">
        <f>[1]Results!AT1497</f>
        <v>17.441294989999999</v>
      </c>
      <c r="AR214" s="3">
        <f>[1]Results!AU1497</f>
        <v>17.419266369999999</v>
      </c>
      <c r="AS214" s="3">
        <f>[1]Results!AV1497</f>
        <v>17.39744833</v>
      </c>
      <c r="AT214" s="3">
        <f>[1]Results!AW1497</f>
        <v>17.37596413</v>
      </c>
      <c r="AU214" s="3">
        <f>[1]Results!AX1497</f>
        <v>17.354886919999998</v>
      </c>
      <c r="AV214" s="3">
        <f>[1]Results!AY1497</f>
        <v>17.334248209999998</v>
      </c>
      <c r="AW214" s="3">
        <f>[1]Results!AZ1497</f>
        <v>17.314316460000001</v>
      </c>
      <c r="AX214" s="3">
        <f>[1]Results!BA1497</f>
        <v>17.29497237</v>
      </c>
      <c r="AY214" s="3">
        <f>[1]Results!BB1497</f>
        <v>17.27606419</v>
      </c>
      <c r="AZ214" s="3">
        <f>[1]Results!BC1497</f>
        <v>17.257568920000001</v>
      </c>
      <c r="BA214" s="3">
        <f>[1]Results!BD1497</f>
        <v>17.23951928</v>
      </c>
      <c r="BB214" s="3">
        <f>[1]Results!BE1497</f>
        <v>17.061439549999999</v>
      </c>
      <c r="BC214" s="3">
        <f>[1]Results!BF1497</f>
        <v>17.03713956</v>
      </c>
      <c r="BD214" s="3">
        <f>[1]Results!BG1497</f>
        <v>17.01324752</v>
      </c>
      <c r="BE214" s="3">
        <f>[1]Results!BH1497</f>
        <v>16.989794199999999</v>
      </c>
      <c r="BF214" s="3">
        <f>[1]Results!BI1497</f>
        <v>16.96681293</v>
      </c>
    </row>
    <row r="216" spans="1:58" x14ac:dyDescent="0.35">
      <c r="A216" s="12" t="s">
        <v>86</v>
      </c>
      <c r="B216" t="s">
        <v>27</v>
      </c>
      <c r="C216" s="5">
        <f t="shared" ref="C216:AL216" si="101">C192-C204</f>
        <v>-179.68942000000243</v>
      </c>
      <c r="D216" s="5">
        <f t="shared" si="101"/>
        <v>-341.81471999999849</v>
      </c>
      <c r="E216" s="5">
        <f t="shared" si="101"/>
        <v>-473.66505999999936</v>
      </c>
      <c r="F216" s="5">
        <f t="shared" si="101"/>
        <v>-577.87051000000065</v>
      </c>
      <c r="G216" s="5">
        <f t="shared" si="101"/>
        <v>-659.95847999999751</v>
      </c>
      <c r="H216" s="5">
        <f t="shared" si="101"/>
        <v>-725.32477999999901</v>
      </c>
      <c r="I216" s="5">
        <f t="shared" si="101"/>
        <v>-778.50314000000071</v>
      </c>
      <c r="J216" s="5">
        <f t="shared" si="101"/>
        <v>-823.06374999999753</v>
      </c>
      <c r="K216" s="5">
        <f t="shared" si="101"/>
        <v>-861.74723000000085</v>
      </c>
      <c r="L216" s="5">
        <f t="shared" si="101"/>
        <v>-896.61260000000038</v>
      </c>
      <c r="M216" s="5">
        <f t="shared" si="101"/>
        <v>-944.10800000000017</v>
      </c>
      <c r="N216" s="5">
        <f t="shared" si="101"/>
        <v>-977.83471999999892</v>
      </c>
      <c r="O216" s="5">
        <f t="shared" si="101"/>
        <v>-1000.551370000001</v>
      </c>
      <c r="P216" s="5">
        <f t="shared" si="101"/>
        <v>-1015.7387899999994</v>
      </c>
      <c r="Q216" s="5">
        <f t="shared" si="101"/>
        <v>-1026.175470000002</v>
      </c>
      <c r="R216" s="5">
        <f t="shared" si="101"/>
        <v>-1033.8988900000004</v>
      </c>
      <c r="S216" s="5">
        <f t="shared" si="101"/>
        <v>-1040.6565300000002</v>
      </c>
      <c r="T216" s="5">
        <f t="shared" si="101"/>
        <v>-1047.5333800000008</v>
      </c>
      <c r="U216" s="5">
        <f t="shared" si="101"/>
        <v>-1055.2112300000008</v>
      </c>
      <c r="V216" s="5">
        <f t="shared" si="101"/>
        <v>-1064.1080399999992</v>
      </c>
      <c r="W216" s="5">
        <f t="shared" si="101"/>
        <v>-1074.0780500000001</v>
      </c>
      <c r="X216" s="5">
        <f t="shared" si="101"/>
        <v>-1085.6213299999981</v>
      </c>
      <c r="Y216" s="5">
        <f t="shared" si="101"/>
        <v>-1098.7478699999992</v>
      </c>
      <c r="Z216" s="5">
        <f t="shared" si="101"/>
        <v>-1113.377120000001</v>
      </c>
      <c r="AA216" s="5">
        <f t="shared" si="101"/>
        <v>-1129.3708899999983</v>
      </c>
      <c r="AB216" s="5">
        <f t="shared" si="101"/>
        <v>-1145.4405000000006</v>
      </c>
      <c r="AC216" s="5">
        <f t="shared" si="101"/>
        <v>-1161.991280000002</v>
      </c>
      <c r="AD216" s="5">
        <f t="shared" si="101"/>
        <v>-1178.8626799999984</v>
      </c>
      <c r="AE216" s="5">
        <f t="shared" si="101"/>
        <v>-1195.9332899999972</v>
      </c>
      <c r="AF216" s="5">
        <f t="shared" si="101"/>
        <v>-1213.1076900000007</v>
      </c>
      <c r="AG216" s="5">
        <f t="shared" si="101"/>
        <v>-1230.2998899999984</v>
      </c>
      <c r="AH216" s="5">
        <f t="shared" si="101"/>
        <v>-1247.3898000000008</v>
      </c>
      <c r="AI216" s="5">
        <f t="shared" si="101"/>
        <v>-1264.2599499999997</v>
      </c>
      <c r="AJ216" s="5">
        <f t="shared" si="101"/>
        <v>-1280.8281400000014</v>
      </c>
      <c r="AK216" s="5">
        <f t="shared" si="101"/>
        <v>-1297.0307399999983</v>
      </c>
      <c r="AL216" s="5">
        <f t="shared" si="101"/>
        <v>-1312.8171900000016</v>
      </c>
      <c r="AM216" s="5">
        <f t="shared" ref="AM216:BC216" si="102">AM192-AM204</f>
        <v>-1327.6502099999998</v>
      </c>
      <c r="AN216" s="5">
        <f t="shared" si="102"/>
        <v>-1341.1956399999981</v>
      </c>
      <c r="AO216" s="5">
        <f t="shared" si="102"/>
        <v>-1353.4662399999979</v>
      </c>
      <c r="AP216" s="5">
        <f t="shared" si="102"/>
        <v>-1364.6117199999971</v>
      </c>
      <c r="AQ216" s="5">
        <f t="shared" si="102"/>
        <v>-1374.82474</v>
      </c>
      <c r="AR216" s="5">
        <f t="shared" si="102"/>
        <v>-1384.2715800000005</v>
      </c>
      <c r="AS216" s="5">
        <f t="shared" si="102"/>
        <v>-1393.0521599999993</v>
      </c>
      <c r="AT216" s="5">
        <f t="shared" si="102"/>
        <v>-1401.2933899999989</v>
      </c>
      <c r="AU216" s="5">
        <f t="shared" si="102"/>
        <v>-1409.119160000002</v>
      </c>
      <c r="AV216" s="5">
        <f t="shared" si="102"/>
        <v>-1416.6402600000001</v>
      </c>
      <c r="AW216" s="5">
        <f t="shared" si="102"/>
        <v>-1423.9493399999992</v>
      </c>
      <c r="AX216" s="5">
        <f t="shared" si="102"/>
        <v>-1430.8943899999977</v>
      </c>
      <c r="AY216" s="5">
        <f t="shared" si="102"/>
        <v>-1437.5114500000018</v>
      </c>
      <c r="AZ216" s="5">
        <f t="shared" si="102"/>
        <v>-1443.8901699999988</v>
      </c>
      <c r="BA216" s="5">
        <f t="shared" si="102"/>
        <v>-1450.1270600000025</v>
      </c>
      <c r="BB216" s="5">
        <f t="shared" si="102"/>
        <v>43.635760000001028</v>
      </c>
      <c r="BC216" s="5">
        <f t="shared" si="102"/>
        <v>45.909630000001926</v>
      </c>
      <c r="BD216" s="5">
        <f t="shared" ref="BD216:BF216" si="103">BD192-BD204</f>
        <v>48.272320000000036</v>
      </c>
      <c r="BE216" s="5">
        <f t="shared" si="103"/>
        <v>50.7316000000028</v>
      </c>
      <c r="BF216" s="5">
        <f t="shared" si="103"/>
        <v>53.282609999998385</v>
      </c>
    </row>
    <row r="217" spans="1:58" x14ac:dyDescent="0.35">
      <c r="A217" t="s">
        <v>87</v>
      </c>
      <c r="B217" t="s">
        <v>7</v>
      </c>
      <c r="C217" s="5">
        <f t="shared" ref="C217:AL217" si="104">C193-C205</f>
        <v>-2.7135202000000618</v>
      </c>
      <c r="D217" s="5">
        <f t="shared" si="104"/>
        <v>-6.0003415000001041</v>
      </c>
      <c r="E217" s="5">
        <f t="shared" si="104"/>
        <v>-8.9747987000000649</v>
      </c>
      <c r="F217" s="5">
        <f t="shared" si="104"/>
        <v>-11.358695399999988</v>
      </c>
      <c r="G217" s="5">
        <f t="shared" si="104"/>
        <v>-13.111318099999949</v>
      </c>
      <c r="H217" s="5">
        <f t="shared" si="104"/>
        <v>-14.301632199999972</v>
      </c>
      <c r="I217" s="5">
        <f t="shared" si="104"/>
        <v>-15.025188800000024</v>
      </c>
      <c r="J217" s="5">
        <f t="shared" si="104"/>
        <v>-15.397058799999968</v>
      </c>
      <c r="K217" s="5">
        <f t="shared" si="104"/>
        <v>-15.51753599999995</v>
      </c>
      <c r="L217" s="5">
        <f t="shared" si="104"/>
        <v>-15.468451899999991</v>
      </c>
      <c r="M217" s="5">
        <f t="shared" si="104"/>
        <v>-15.91125020000004</v>
      </c>
      <c r="N217" s="5">
        <f t="shared" si="104"/>
        <v>-15.681235600000036</v>
      </c>
      <c r="O217" s="5">
        <f t="shared" si="104"/>
        <v>-14.972755399999983</v>
      </c>
      <c r="P217" s="5">
        <f t="shared" si="104"/>
        <v>-13.954053700000031</v>
      </c>
      <c r="Q217" s="5">
        <f t="shared" si="104"/>
        <v>-12.74365540000008</v>
      </c>
      <c r="R217" s="5">
        <f t="shared" si="104"/>
        <v>-11.423946099999966</v>
      </c>
      <c r="S217" s="5">
        <f t="shared" si="104"/>
        <v>-10.004168899999968</v>
      </c>
      <c r="T217" s="5">
        <f t="shared" si="104"/>
        <v>-8.5595850000000837</v>
      </c>
      <c r="U217" s="5">
        <f t="shared" si="104"/>
        <v>-7.1358576000000085</v>
      </c>
      <c r="V217" s="5">
        <f t="shared" si="104"/>
        <v>-5.758992199999966</v>
      </c>
      <c r="W217" s="5">
        <f t="shared" si="104"/>
        <v>-4.4381428000000369</v>
      </c>
      <c r="X217" s="5">
        <f t="shared" si="104"/>
        <v>-3.1895264999999426</v>
      </c>
      <c r="Y217" s="5">
        <f t="shared" si="104"/>
        <v>-2.0090486999999939</v>
      </c>
      <c r="Z217" s="5">
        <f t="shared" si="104"/>
        <v>-0.89145599999994829</v>
      </c>
      <c r="AA217" s="5">
        <f t="shared" si="104"/>
        <v>0.1694787000000133</v>
      </c>
      <c r="AB217" s="5">
        <f t="shared" si="104"/>
        <v>1.1893965000000435</v>
      </c>
      <c r="AC217" s="5">
        <f t="shared" si="104"/>
        <v>2.1282406999999921</v>
      </c>
      <c r="AD217" s="5">
        <f t="shared" si="104"/>
        <v>3.0162361999999803</v>
      </c>
      <c r="AE217" s="5">
        <f t="shared" si="104"/>
        <v>3.8722535000000562</v>
      </c>
      <c r="AF217" s="5">
        <f t="shared" si="104"/>
        <v>4.7079211000000214</v>
      </c>
      <c r="AG217" s="5">
        <f t="shared" si="104"/>
        <v>5.5308949000000212</v>
      </c>
      <c r="AH217" s="5">
        <f t="shared" si="104"/>
        <v>6.3327858999999762</v>
      </c>
      <c r="AI217" s="5">
        <f t="shared" si="104"/>
        <v>7.1277036999999837</v>
      </c>
      <c r="AJ217" s="5">
        <f t="shared" si="104"/>
        <v>7.9241473999999243</v>
      </c>
      <c r="AK217" s="5">
        <f t="shared" si="104"/>
        <v>8.7271776000000045</v>
      </c>
      <c r="AL217" s="5">
        <f t="shared" si="104"/>
        <v>9.5398800000000392</v>
      </c>
      <c r="AM217" s="5">
        <f t="shared" ref="AM217:BC217" si="105">AM193-AM205</f>
        <v>10.235864099999958</v>
      </c>
      <c r="AN217" s="5">
        <f t="shared" si="105"/>
        <v>10.900421299999948</v>
      </c>
      <c r="AO217" s="5">
        <f t="shared" si="105"/>
        <v>11.575386099999946</v>
      </c>
      <c r="AP217" s="5">
        <f t="shared" si="105"/>
        <v>12.276330799999982</v>
      </c>
      <c r="AQ217" s="5">
        <f t="shared" si="105"/>
        <v>13.005204100000014</v>
      </c>
      <c r="AR217" s="5">
        <f t="shared" si="105"/>
        <v>13.7367749</v>
      </c>
      <c r="AS217" s="5">
        <f t="shared" si="105"/>
        <v>14.480199800000037</v>
      </c>
      <c r="AT217" s="5">
        <f t="shared" si="105"/>
        <v>15.237452699999949</v>
      </c>
      <c r="AU217" s="5">
        <f t="shared" si="105"/>
        <v>16.007057199999963</v>
      </c>
      <c r="AV217" s="5">
        <f t="shared" si="105"/>
        <v>16.786373799999978</v>
      </c>
      <c r="AW217" s="5">
        <f t="shared" si="105"/>
        <v>17.498476699999969</v>
      </c>
      <c r="AX217" s="5">
        <f t="shared" si="105"/>
        <v>18.191286600000012</v>
      </c>
      <c r="AY217" s="5">
        <f t="shared" si="105"/>
        <v>18.886462999999935</v>
      </c>
      <c r="AZ217" s="5">
        <f t="shared" si="105"/>
        <v>19.591316300000017</v>
      </c>
      <c r="BA217" s="5">
        <f t="shared" si="105"/>
        <v>20.306215899999984</v>
      </c>
      <c r="BB217" s="5">
        <f t="shared" si="105"/>
        <v>-0.16417460000002393</v>
      </c>
      <c r="BC217" s="5">
        <f t="shared" si="105"/>
        <v>-0.16895409999995081</v>
      </c>
      <c r="BD217" s="5">
        <f t="shared" ref="BD217:BF217" si="106">BD193-BD205</f>
        <v>-0.17318269999998392</v>
      </c>
      <c r="BE217" s="5">
        <f t="shared" si="106"/>
        <v>-0.17673520000005283</v>
      </c>
      <c r="BF217" s="5">
        <f t="shared" si="106"/>
        <v>-0.17985069999997449</v>
      </c>
    </row>
    <row r="218" spans="1:58" x14ac:dyDescent="0.35">
      <c r="B218" t="s">
        <v>30</v>
      </c>
      <c r="C218" s="5">
        <f t="shared" ref="C218:AL218" si="107">C194-C206</f>
        <v>-44.518533999999818</v>
      </c>
      <c r="D218" s="5">
        <f t="shared" si="107"/>
        <v>-80.691984000000048</v>
      </c>
      <c r="E218" s="5">
        <f t="shared" si="107"/>
        <v>-108.90941000000021</v>
      </c>
      <c r="F218" s="5">
        <f t="shared" si="107"/>
        <v>-130.95664599999964</v>
      </c>
      <c r="G218" s="5">
        <f t="shared" si="107"/>
        <v>-148.54941700000018</v>
      </c>
      <c r="H218" s="5">
        <f t="shared" si="107"/>
        <v>-163.07892600000014</v>
      </c>
      <c r="I218" s="5">
        <f t="shared" si="107"/>
        <v>-175.60610100000031</v>
      </c>
      <c r="J218" s="5">
        <f t="shared" si="107"/>
        <v>-186.89027900000019</v>
      </c>
      <c r="K218" s="5">
        <f t="shared" si="107"/>
        <v>-197.46600099999978</v>
      </c>
      <c r="L218" s="5">
        <f t="shared" si="107"/>
        <v>-207.70106399999986</v>
      </c>
      <c r="M218" s="5">
        <f t="shared" si="107"/>
        <v>-221.36466899999959</v>
      </c>
      <c r="N218" s="5">
        <f t="shared" si="107"/>
        <v>-231.93694400000004</v>
      </c>
      <c r="O218" s="5">
        <f t="shared" si="107"/>
        <v>-240.3135570000004</v>
      </c>
      <c r="P218" s="5">
        <f t="shared" si="107"/>
        <v>-247.33771999999954</v>
      </c>
      <c r="Q218" s="5">
        <f t="shared" si="107"/>
        <v>-253.62557199999992</v>
      </c>
      <c r="R218" s="5">
        <f t="shared" si="107"/>
        <v>-259.58944699999938</v>
      </c>
      <c r="S218" s="5">
        <f t="shared" si="107"/>
        <v>-265.59833899999921</v>
      </c>
      <c r="T218" s="5">
        <f t="shared" si="107"/>
        <v>-271.78926500000034</v>
      </c>
      <c r="U218" s="5">
        <f t="shared" si="107"/>
        <v>-278.22733300000073</v>
      </c>
      <c r="V218" s="5">
        <f t="shared" si="107"/>
        <v>-284.93426900000031</v>
      </c>
      <c r="W218" s="5">
        <f t="shared" si="107"/>
        <v>-291.80431900000076</v>
      </c>
      <c r="X218" s="5">
        <f t="shared" si="107"/>
        <v>-298.92258200000015</v>
      </c>
      <c r="Y218" s="5">
        <f t="shared" si="107"/>
        <v>-306.25531200000023</v>
      </c>
      <c r="Z218" s="5">
        <f t="shared" si="107"/>
        <v>-313.76017299999967</v>
      </c>
      <c r="AA218" s="5">
        <f t="shared" si="107"/>
        <v>-321.39006900000004</v>
      </c>
      <c r="AB218" s="5">
        <f t="shared" si="107"/>
        <v>-328.78888800000004</v>
      </c>
      <c r="AC218" s="5">
        <f t="shared" si="107"/>
        <v>-336.05678399999942</v>
      </c>
      <c r="AD218" s="5">
        <f t="shared" si="107"/>
        <v>-343.16716200000064</v>
      </c>
      <c r="AE218" s="5">
        <f t="shared" si="107"/>
        <v>-350.09674600000017</v>
      </c>
      <c r="AF218" s="5">
        <f t="shared" si="107"/>
        <v>-356.82603900000049</v>
      </c>
      <c r="AG218" s="5">
        <f t="shared" si="107"/>
        <v>-363.33827800000017</v>
      </c>
      <c r="AH218" s="5">
        <f t="shared" si="107"/>
        <v>-369.59726800000044</v>
      </c>
      <c r="AI218" s="5">
        <f t="shared" si="107"/>
        <v>-375.59104200000002</v>
      </c>
      <c r="AJ218" s="5">
        <f t="shared" si="107"/>
        <v>-381.31158899999991</v>
      </c>
      <c r="AK218" s="5">
        <f t="shared" si="107"/>
        <v>-386.75360699999965</v>
      </c>
      <c r="AL218" s="5">
        <f t="shared" si="107"/>
        <v>-391.91441899999973</v>
      </c>
      <c r="AM218" s="5">
        <f t="shared" ref="AM218:BC218" si="108">AM194-AM206</f>
        <v>-396.53883899999983</v>
      </c>
      <c r="AN218" s="5">
        <f t="shared" si="108"/>
        <v>-400.64520699999957</v>
      </c>
      <c r="AO218" s="5">
        <f t="shared" si="108"/>
        <v>-404.27857999999924</v>
      </c>
      <c r="AP218" s="5">
        <f t="shared" si="108"/>
        <v>-407.49225400000068</v>
      </c>
      <c r="AQ218" s="5">
        <f t="shared" si="108"/>
        <v>-410.34063999999944</v>
      </c>
      <c r="AR218" s="5">
        <f t="shared" si="108"/>
        <v>-412.84883900000023</v>
      </c>
      <c r="AS218" s="5">
        <f t="shared" si="108"/>
        <v>-415.0616200000004</v>
      </c>
      <c r="AT218" s="5">
        <f t="shared" si="108"/>
        <v>-417.02234500000031</v>
      </c>
      <c r="AU218" s="5">
        <f t="shared" si="108"/>
        <v>-418.77058800000032</v>
      </c>
      <c r="AV218" s="5">
        <f t="shared" si="108"/>
        <v>-420.34190800000033</v>
      </c>
      <c r="AW218" s="5">
        <f t="shared" si="108"/>
        <v>-421.694031</v>
      </c>
      <c r="AX218" s="5">
        <f t="shared" si="108"/>
        <v>-422.84785600000032</v>
      </c>
      <c r="AY218" s="5">
        <f t="shared" si="108"/>
        <v>-423.83885800000007</v>
      </c>
      <c r="AZ218" s="5">
        <f t="shared" si="108"/>
        <v>-424.70444399999997</v>
      </c>
      <c r="BA218" s="5">
        <f t="shared" si="108"/>
        <v>-425.48014999999941</v>
      </c>
      <c r="BB218" s="5">
        <f t="shared" si="108"/>
        <v>8.6910689999995157</v>
      </c>
      <c r="BC218" s="5">
        <f t="shared" si="108"/>
        <v>9.6807890000000043</v>
      </c>
      <c r="BD218" s="5">
        <f t="shared" ref="BD218:BF218" si="109">BD194-BD206</f>
        <v>10.731380999999601</v>
      </c>
      <c r="BE218" s="5">
        <f t="shared" si="109"/>
        <v>11.842853999999534</v>
      </c>
      <c r="BF218" s="5">
        <f t="shared" si="109"/>
        <v>13.012241999999787</v>
      </c>
    </row>
    <row r="219" spans="1:58" x14ac:dyDescent="0.35">
      <c r="B219" t="s">
        <v>28</v>
      </c>
      <c r="C219" s="5">
        <f t="shared" ref="C219:AL219" si="110">C195-C207</f>
        <v>-7.9834760999999617</v>
      </c>
      <c r="D219" s="5">
        <f t="shared" si="110"/>
        <v>-14.168301000000042</v>
      </c>
      <c r="E219" s="5">
        <f t="shared" si="110"/>
        <v>-18.756998999999951</v>
      </c>
      <c r="F219" s="5">
        <f t="shared" si="110"/>
        <v>-22.176804599999969</v>
      </c>
      <c r="G219" s="5">
        <f t="shared" si="110"/>
        <v>-24.771885599999905</v>
      </c>
      <c r="H219" s="5">
        <f t="shared" si="110"/>
        <v>-26.791853600000081</v>
      </c>
      <c r="I219" s="5">
        <f t="shared" si="110"/>
        <v>-28.41727000000003</v>
      </c>
      <c r="J219" s="5">
        <f t="shared" si="110"/>
        <v>-29.77666320000003</v>
      </c>
      <c r="K219" s="5">
        <f t="shared" si="110"/>
        <v>-30.964268000000061</v>
      </c>
      <c r="L219" s="5">
        <f t="shared" si="110"/>
        <v>-32.049510199999986</v>
      </c>
      <c r="M219" s="5">
        <f t="shared" si="110"/>
        <v>-33.737292600000046</v>
      </c>
      <c r="N219" s="5">
        <f t="shared" si="110"/>
        <v>-34.797540500000082</v>
      </c>
      <c r="O219" s="5">
        <f t="shared" si="110"/>
        <v>-35.425034299999993</v>
      </c>
      <c r="P219" s="5">
        <f t="shared" si="110"/>
        <v>-35.797361200000068</v>
      </c>
      <c r="Q219" s="5">
        <f t="shared" si="110"/>
        <v>-36.038133700000003</v>
      </c>
      <c r="R219" s="5">
        <f t="shared" si="110"/>
        <v>-36.228312300000084</v>
      </c>
      <c r="S219" s="5">
        <f t="shared" si="110"/>
        <v>-36.440342799999939</v>
      </c>
      <c r="T219" s="5">
        <f t="shared" si="110"/>
        <v>-36.703151800000001</v>
      </c>
      <c r="U219" s="5">
        <f t="shared" si="110"/>
        <v>-37.032774099999983</v>
      </c>
      <c r="V219" s="5">
        <f t="shared" si="110"/>
        <v>-37.437443200000075</v>
      </c>
      <c r="W219" s="5">
        <f t="shared" si="110"/>
        <v>-37.90352269999994</v>
      </c>
      <c r="X219" s="5">
        <f t="shared" si="110"/>
        <v>-38.450064400000088</v>
      </c>
      <c r="Y219" s="5">
        <f t="shared" si="110"/>
        <v>-39.072693800000025</v>
      </c>
      <c r="Z219" s="5">
        <f t="shared" si="110"/>
        <v>-39.764925199999993</v>
      </c>
      <c r="AA219" s="5">
        <f t="shared" si="110"/>
        <v>-40.519126899999947</v>
      </c>
      <c r="AB219" s="5">
        <f t="shared" si="110"/>
        <v>-41.276970500000061</v>
      </c>
      <c r="AC219" s="5">
        <f t="shared" si="110"/>
        <v>-42.060124599999995</v>
      </c>
      <c r="AD219" s="5">
        <f t="shared" si="110"/>
        <v>-42.86522889999992</v>
      </c>
      <c r="AE219" s="5">
        <f t="shared" si="110"/>
        <v>-43.688631600000008</v>
      </c>
      <c r="AF219" s="5">
        <f t="shared" si="110"/>
        <v>-44.526754900000014</v>
      </c>
      <c r="AG219" s="5">
        <f t="shared" si="110"/>
        <v>-45.376050300000088</v>
      </c>
      <c r="AH219" s="5">
        <f t="shared" si="110"/>
        <v>-46.22898459999999</v>
      </c>
      <c r="AI219" s="5">
        <f t="shared" si="110"/>
        <v>-47.082665799999972</v>
      </c>
      <c r="AJ219" s="5">
        <f t="shared" si="110"/>
        <v>-47.934788500000082</v>
      </c>
      <c r="AK219" s="5">
        <f t="shared" si="110"/>
        <v>-48.783315300000027</v>
      </c>
      <c r="AL219" s="5">
        <f t="shared" si="110"/>
        <v>-49.626467699999921</v>
      </c>
      <c r="AM219" s="5">
        <f t="shared" ref="AM219:BC219" si="111">AM195-AM207</f>
        <v>-50.416469300000017</v>
      </c>
      <c r="AN219" s="5">
        <f t="shared" si="111"/>
        <v>-51.159212900000057</v>
      </c>
      <c r="AO219" s="5">
        <f t="shared" si="111"/>
        <v>-51.864479299999971</v>
      </c>
      <c r="AP219" s="5">
        <f t="shared" si="111"/>
        <v>-52.541568699999971</v>
      </c>
      <c r="AQ219" s="5">
        <f t="shared" si="111"/>
        <v>-53.198361999999975</v>
      </c>
      <c r="AR219" s="5">
        <f t="shared" si="111"/>
        <v>-53.836155400000052</v>
      </c>
      <c r="AS219" s="5">
        <f t="shared" si="111"/>
        <v>-54.460030899999992</v>
      </c>
      <c r="AT219" s="5">
        <f t="shared" si="111"/>
        <v>-55.074618199999918</v>
      </c>
      <c r="AU219" s="5">
        <f t="shared" si="111"/>
        <v>-55.683653000000049</v>
      </c>
      <c r="AV219" s="5">
        <f t="shared" si="111"/>
        <v>-56.290020599999934</v>
      </c>
      <c r="AW219" s="5">
        <f t="shared" si="111"/>
        <v>-56.881455500000015</v>
      </c>
      <c r="AX219" s="5">
        <f t="shared" si="111"/>
        <v>-57.459836799999948</v>
      </c>
      <c r="AY219" s="5">
        <f t="shared" si="111"/>
        <v>-58.029658600000062</v>
      </c>
      <c r="AZ219" s="5">
        <f t="shared" si="111"/>
        <v>-58.5951278</v>
      </c>
      <c r="BA219" s="5">
        <f t="shared" si="111"/>
        <v>-59.159504699999957</v>
      </c>
      <c r="BB219" s="5">
        <f t="shared" si="111"/>
        <v>-9.4779999999445863E-3</v>
      </c>
      <c r="BC219" s="5">
        <f t="shared" si="111"/>
        <v>-2.0267799999942326E-2</v>
      </c>
      <c r="BD219" s="5">
        <f t="shared" ref="BD219:BF219" si="112">BD195-BD207</f>
        <v>-3.0122600000026978E-2</v>
      </c>
      <c r="BE219" s="5">
        <f t="shared" si="112"/>
        <v>-3.8734399999952984E-2</v>
      </c>
      <c r="BF219" s="5">
        <f t="shared" si="112"/>
        <v>-4.615200000000641E-2</v>
      </c>
    </row>
    <row r="220" spans="1:58" x14ac:dyDescent="0.35">
      <c r="B220" t="s">
        <v>10</v>
      </c>
      <c r="C220" s="5">
        <f t="shared" ref="C220:AL220" si="113">C196-C208</f>
        <v>-124.32338000000163</v>
      </c>
      <c r="D220" s="5">
        <f t="shared" si="113"/>
        <v>-240.53423999999723</v>
      </c>
      <c r="E220" s="5">
        <f t="shared" si="113"/>
        <v>-336.34575000000041</v>
      </c>
      <c r="F220" s="5">
        <f t="shared" si="113"/>
        <v>-412.48345999999947</v>
      </c>
      <c r="G220" s="5">
        <f t="shared" si="113"/>
        <v>-472.47507000000041</v>
      </c>
      <c r="H220" s="5">
        <f t="shared" si="113"/>
        <v>-520.00782000000254</v>
      </c>
      <c r="I220" s="5">
        <f t="shared" si="113"/>
        <v>-558.26756999999998</v>
      </c>
      <c r="J220" s="5">
        <f t="shared" si="113"/>
        <v>-589.80418999999893</v>
      </c>
      <c r="K220" s="5">
        <f t="shared" si="113"/>
        <v>-616.61310000000231</v>
      </c>
      <c r="L220" s="5">
        <f t="shared" si="113"/>
        <v>-640.21969000000172</v>
      </c>
      <c r="M220" s="5">
        <f t="shared" si="113"/>
        <v>-671.85945999999967</v>
      </c>
      <c r="N220" s="5">
        <f t="shared" si="113"/>
        <v>-694.16869999999835</v>
      </c>
      <c r="O220" s="5">
        <f t="shared" si="113"/>
        <v>-708.60734999999841</v>
      </c>
      <c r="P220" s="5">
        <f t="shared" si="113"/>
        <v>-717.4522300000026</v>
      </c>
      <c r="Q220" s="5">
        <f t="shared" si="113"/>
        <v>-722.61431000000084</v>
      </c>
      <c r="R220" s="5">
        <f t="shared" si="113"/>
        <v>-725.55007999999725</v>
      </c>
      <c r="S220" s="5">
        <f t="shared" si="113"/>
        <v>-727.55809999999838</v>
      </c>
      <c r="T220" s="5">
        <f t="shared" si="113"/>
        <v>-729.4761299999991</v>
      </c>
      <c r="U220" s="5">
        <f t="shared" si="113"/>
        <v>-731.85608000000138</v>
      </c>
      <c r="V220" s="5">
        <f t="shared" si="113"/>
        <v>-735.05859999999666</v>
      </c>
      <c r="W220" s="5">
        <f t="shared" si="113"/>
        <v>-739.0483000000022</v>
      </c>
      <c r="X220" s="5">
        <f t="shared" si="113"/>
        <v>-744.20377999999982</v>
      </c>
      <c r="Y220" s="5">
        <f t="shared" si="113"/>
        <v>-750.57807999999932</v>
      </c>
      <c r="Z220" s="5">
        <f t="shared" si="113"/>
        <v>-758.14555000000109</v>
      </c>
      <c r="AA220" s="5">
        <f t="shared" si="113"/>
        <v>-766.82981000000291</v>
      </c>
      <c r="AB220" s="5">
        <f t="shared" si="113"/>
        <v>-775.77456000000166</v>
      </c>
      <c r="AC220" s="5">
        <f t="shared" si="113"/>
        <v>-785.21927000000142</v>
      </c>
      <c r="AD220" s="5">
        <f t="shared" si="113"/>
        <v>-795.06682000000001</v>
      </c>
      <c r="AE220" s="5">
        <f t="shared" si="113"/>
        <v>-805.24349000000075</v>
      </c>
      <c r="AF220" s="5">
        <f t="shared" si="113"/>
        <v>-815.68972999999824</v>
      </c>
      <c r="AG220" s="5">
        <f t="shared" si="113"/>
        <v>-826.34819999999672</v>
      </c>
      <c r="AH220" s="5">
        <f t="shared" si="113"/>
        <v>-837.13320000000022</v>
      </c>
      <c r="AI220" s="5">
        <f t="shared" si="113"/>
        <v>-847.9575900000018</v>
      </c>
      <c r="AJ220" s="5">
        <f t="shared" si="113"/>
        <v>-858.75868000000264</v>
      </c>
      <c r="AK220" s="5">
        <f t="shared" si="113"/>
        <v>-869.48556000000099</v>
      </c>
      <c r="AL220" s="5">
        <f t="shared" si="113"/>
        <v>-880.09528999999748</v>
      </c>
      <c r="AM220" s="5">
        <f t="shared" ref="AM220:BC220" si="114">AM196-AM208</f>
        <v>-890.21520999999848</v>
      </c>
      <c r="AN220" s="5">
        <f t="shared" si="114"/>
        <v>-899.58098000000246</v>
      </c>
      <c r="AO220" s="5">
        <f t="shared" si="114"/>
        <v>-908.19616999999926</v>
      </c>
      <c r="AP220" s="5">
        <f t="shared" si="114"/>
        <v>-916.16455000000133</v>
      </c>
      <c r="AQ220" s="5">
        <f t="shared" si="114"/>
        <v>-923.61813999999868</v>
      </c>
      <c r="AR220" s="5">
        <f t="shared" si="114"/>
        <v>-930.66875000000073</v>
      </c>
      <c r="AS220" s="5">
        <f t="shared" si="114"/>
        <v>-937.37613000000056</v>
      </c>
      <c r="AT220" s="5">
        <f t="shared" si="114"/>
        <v>-943.82096000000092</v>
      </c>
      <c r="AU220" s="5">
        <f t="shared" si="114"/>
        <v>-950.08179999999993</v>
      </c>
      <c r="AV220" s="5">
        <f t="shared" si="114"/>
        <v>-956.22779999999693</v>
      </c>
      <c r="AW220" s="5">
        <f t="shared" si="114"/>
        <v>-962.32213000000047</v>
      </c>
      <c r="AX220" s="5">
        <f t="shared" si="114"/>
        <v>-968.24429999999847</v>
      </c>
      <c r="AY220" s="5">
        <f t="shared" si="114"/>
        <v>-974.01549000000159</v>
      </c>
      <c r="AZ220" s="5">
        <f t="shared" si="114"/>
        <v>-979.69089999999778</v>
      </c>
      <c r="BA220" s="5">
        <f t="shared" si="114"/>
        <v>-985.3268100000023</v>
      </c>
      <c r="BB220" s="5">
        <f t="shared" si="114"/>
        <v>36.307130000001052</v>
      </c>
      <c r="BC220" s="5">
        <f t="shared" si="114"/>
        <v>37.62279000000126</v>
      </c>
      <c r="BD220" s="5">
        <f t="shared" ref="BD220:BF220" si="115">BD196-BD208</f>
        <v>38.963700000000244</v>
      </c>
      <c r="BE220" s="5">
        <f t="shared" si="115"/>
        <v>40.337459999998828</v>
      </c>
      <c r="BF220" s="5">
        <f t="shared" si="115"/>
        <v>41.742719999998371</v>
      </c>
    </row>
    <row r="221" spans="1:58" x14ac:dyDescent="0.35">
      <c r="B221" t="s">
        <v>31</v>
      </c>
      <c r="C221" s="5">
        <f>C197-C209</f>
        <v>-0.11831840620000023</v>
      </c>
      <c r="D221" s="5">
        <f t="shared" ref="D221:AL221" si="116">D197-D209</f>
        <v>-0.20164867119999919</v>
      </c>
      <c r="E221" s="5">
        <f t="shared" si="116"/>
        <v>-0.25968755609999938</v>
      </c>
      <c r="F221" s="5">
        <f t="shared" si="116"/>
        <v>-0.30300136790000032</v>
      </c>
      <c r="G221" s="5">
        <f t="shared" si="116"/>
        <v>-0.33756664529999725</v>
      </c>
      <c r="H221" s="5">
        <f t="shared" si="116"/>
        <v>-0.36699143430000092</v>
      </c>
      <c r="I221" s="5">
        <f t="shared" si="116"/>
        <v>-0.39339581820000191</v>
      </c>
      <c r="J221" s="5">
        <f t="shared" si="116"/>
        <v>-0.41798256469999906</v>
      </c>
      <c r="K221" s="5">
        <f t="shared" si="116"/>
        <v>-0.44148133799999911</v>
      </c>
      <c r="L221" s="5">
        <f t="shared" si="116"/>
        <v>-0.46446585539999852</v>
      </c>
      <c r="M221" s="5">
        <f t="shared" si="116"/>
        <v>-0.49736593649999783</v>
      </c>
      <c r="N221" s="5">
        <f t="shared" si="116"/>
        <v>-0.52077344859999997</v>
      </c>
      <c r="O221" s="5">
        <f t="shared" si="116"/>
        <v>-0.53763856320000158</v>
      </c>
      <c r="P221" s="5">
        <f t="shared" si="116"/>
        <v>-0.5506422918000009</v>
      </c>
      <c r="Q221" s="5">
        <f t="shared" si="116"/>
        <v>-0.56146533879999794</v>
      </c>
      <c r="R221" s="5">
        <f t="shared" si="116"/>
        <v>-0.5710908230999987</v>
      </c>
      <c r="S221" s="5">
        <f t="shared" si="116"/>
        <v>-0.58036811219999862</v>
      </c>
      <c r="T221" s="5">
        <f t="shared" si="116"/>
        <v>-0.58956773699999943</v>
      </c>
      <c r="U221" s="5">
        <f t="shared" si="116"/>
        <v>-0.59884226680000019</v>
      </c>
      <c r="V221" s="5">
        <f t="shared" si="116"/>
        <v>-0.60829313660000039</v>
      </c>
      <c r="W221" s="5">
        <f t="shared" si="116"/>
        <v>-0.61769679060000371</v>
      </c>
      <c r="X221" s="5">
        <f t="shared" si="116"/>
        <v>-0.62747958869999998</v>
      </c>
      <c r="Y221" s="5">
        <f t="shared" si="116"/>
        <v>-0.63763630759999934</v>
      </c>
      <c r="Z221" s="5">
        <f t="shared" si="116"/>
        <v>-0.64813843309999797</v>
      </c>
      <c r="AA221" s="5">
        <f t="shared" si="116"/>
        <v>-0.65895127960000011</v>
      </c>
      <c r="AB221" s="5">
        <f t="shared" si="116"/>
        <v>-0.66916793040000044</v>
      </c>
      <c r="AC221" s="5">
        <f t="shared" si="116"/>
        <v>-0.67938550260000063</v>
      </c>
      <c r="AD221" s="5">
        <f t="shared" si="116"/>
        <v>-0.68964909000000318</v>
      </c>
      <c r="AE221" s="5">
        <f t="shared" si="116"/>
        <v>-0.69995350389999977</v>
      </c>
      <c r="AF221" s="5">
        <f t="shared" si="116"/>
        <v>-0.71027135129999941</v>
      </c>
      <c r="AG221" s="5">
        <f t="shared" si="116"/>
        <v>-0.72056820550000111</v>
      </c>
      <c r="AH221" s="5">
        <f t="shared" si="116"/>
        <v>-0.73075606399999771</v>
      </c>
      <c r="AI221" s="5">
        <f t="shared" si="116"/>
        <v>-0.74081819899999957</v>
      </c>
      <c r="AJ221" s="5">
        <f t="shared" si="116"/>
        <v>-0.75074209710000162</v>
      </c>
      <c r="AK221" s="5">
        <f t="shared" si="116"/>
        <v>-0.76051546790000302</v>
      </c>
      <c r="AL221" s="5">
        <f t="shared" si="116"/>
        <v>-0.77012443010000098</v>
      </c>
      <c r="AM221" s="5">
        <f t="shared" ref="AM221:BC221" si="117">AM197-AM209</f>
        <v>-0.77888930050000127</v>
      </c>
      <c r="AN221" s="5">
        <f t="shared" si="117"/>
        <v>-0.78699074740000263</v>
      </c>
      <c r="AO221" s="5">
        <f t="shared" si="117"/>
        <v>-0.79458981070000334</v>
      </c>
      <c r="AP221" s="5">
        <f t="shared" si="117"/>
        <v>-0.80178897819999762</v>
      </c>
      <c r="AQ221" s="5">
        <f t="shared" si="117"/>
        <v>-0.80865318179999868</v>
      </c>
      <c r="AR221" s="5">
        <f t="shared" si="117"/>
        <v>-0.81515980660000054</v>
      </c>
      <c r="AS221" s="5">
        <f t="shared" si="117"/>
        <v>-0.82135845699999877</v>
      </c>
      <c r="AT221" s="5">
        <f t="shared" si="117"/>
        <v>-0.82729179099999861</v>
      </c>
      <c r="AU221" s="5">
        <f t="shared" si="117"/>
        <v>-0.83298987069999697</v>
      </c>
      <c r="AV221" s="5">
        <f t="shared" si="117"/>
        <v>-0.83846943539999863</v>
      </c>
      <c r="AW221" s="5">
        <f t="shared" si="117"/>
        <v>-0.84352691489999998</v>
      </c>
      <c r="AX221" s="5">
        <f t="shared" si="117"/>
        <v>-0.84817933099999721</v>
      </c>
      <c r="AY221" s="5">
        <f t="shared" si="117"/>
        <v>-0.8524291794000014</v>
      </c>
      <c r="AZ221" s="5">
        <f t="shared" si="117"/>
        <v>-0.8563558914999998</v>
      </c>
      <c r="BA221" s="5">
        <f t="shared" si="117"/>
        <v>-0.86005972139999898</v>
      </c>
      <c r="BB221" s="5">
        <f t="shared" si="117"/>
        <v>1.7359366700000933E-2</v>
      </c>
      <c r="BC221" s="5">
        <f t="shared" si="117"/>
        <v>1.8674377900001815E-2</v>
      </c>
      <c r="BD221" s="5">
        <f t="shared" ref="BD221:BF221" si="118">BD197-BD209</f>
        <v>2.0024306199999842E-2</v>
      </c>
      <c r="BE221" s="5">
        <f t="shared" si="118"/>
        <v>2.1408881100001054E-2</v>
      </c>
      <c r="BF221" s="5">
        <f t="shared" si="118"/>
        <v>2.2827946200001392E-2</v>
      </c>
    </row>
    <row r="222" spans="1:58" x14ac:dyDescent="0.35">
      <c r="B222" t="s">
        <v>36</v>
      </c>
      <c r="C222" s="5">
        <f>C198-C210</f>
        <v>-7.5558723799999505E-2</v>
      </c>
      <c r="D222" s="5">
        <f t="shared" ref="D222:AL222" si="119">D198-D210</f>
        <v>-0.12890082879999998</v>
      </c>
      <c r="E222" s="5">
        <f t="shared" si="119"/>
        <v>-0.16690657389999952</v>
      </c>
      <c r="F222" s="5">
        <f t="shared" si="119"/>
        <v>-0.19608669210000063</v>
      </c>
      <c r="G222" s="5">
        <f t="shared" si="119"/>
        <v>-0.2201975147000006</v>
      </c>
      <c r="H222" s="5">
        <f t="shared" si="119"/>
        <v>-0.2412515556999999</v>
      </c>
      <c r="I222" s="5">
        <f t="shared" si="119"/>
        <v>-0.26030942179999883</v>
      </c>
      <c r="J222" s="5">
        <f t="shared" si="119"/>
        <v>-0.27795088530000012</v>
      </c>
      <c r="K222" s="5">
        <f t="shared" si="119"/>
        <v>-0.29453345199999958</v>
      </c>
      <c r="L222" s="5">
        <f t="shared" si="119"/>
        <v>-0.31032713459999872</v>
      </c>
      <c r="M222" s="5">
        <f t="shared" si="119"/>
        <v>-0.33194681350000099</v>
      </c>
      <c r="N222" s="5">
        <f t="shared" si="119"/>
        <v>-0.3469846614000005</v>
      </c>
      <c r="O222" s="5">
        <f t="shared" si="119"/>
        <v>-0.35758292679999926</v>
      </c>
      <c r="P222" s="5">
        <f t="shared" si="119"/>
        <v>-0.36544859819999953</v>
      </c>
      <c r="Q222" s="5">
        <f t="shared" si="119"/>
        <v>-0.37164272119999975</v>
      </c>
      <c r="R222" s="5">
        <f t="shared" si="119"/>
        <v>-0.37680470690000067</v>
      </c>
      <c r="S222" s="5">
        <f t="shared" si="119"/>
        <v>-0.38148630780000037</v>
      </c>
      <c r="T222" s="5">
        <f t="shared" si="119"/>
        <v>-0.38589705300000077</v>
      </c>
      <c r="U222" s="5">
        <f t="shared" si="119"/>
        <v>-0.3901809032000001</v>
      </c>
      <c r="V222" s="5">
        <f t="shared" si="119"/>
        <v>-0.39444485339999957</v>
      </c>
      <c r="W222" s="5">
        <f t="shared" si="119"/>
        <v>-0.39857852939999905</v>
      </c>
      <c r="X222" s="5">
        <f t="shared" si="119"/>
        <v>-0.4028946613000004</v>
      </c>
      <c r="Y222" s="5">
        <f t="shared" si="119"/>
        <v>-0.4074097424000005</v>
      </c>
      <c r="Z222" s="5">
        <f t="shared" si="119"/>
        <v>-0.41212667690000071</v>
      </c>
      <c r="AA222" s="5">
        <f t="shared" si="119"/>
        <v>-0.41704211039999972</v>
      </c>
      <c r="AB222" s="5">
        <f t="shared" si="119"/>
        <v>-0.4215851596000002</v>
      </c>
      <c r="AC222" s="5">
        <f t="shared" si="119"/>
        <v>-0.42618024740000049</v>
      </c>
      <c r="AD222" s="5">
        <f t="shared" si="119"/>
        <v>-0.43085412000000023</v>
      </c>
      <c r="AE222" s="5">
        <f t="shared" si="119"/>
        <v>-0.43560247609999969</v>
      </c>
      <c r="AF222" s="5">
        <f t="shared" si="119"/>
        <v>-0.44040943869999971</v>
      </c>
      <c r="AG222" s="5">
        <f t="shared" si="119"/>
        <v>-0.44525493449999942</v>
      </c>
      <c r="AH222" s="5">
        <f t="shared" si="119"/>
        <v>-0.45008750600000091</v>
      </c>
      <c r="AI222" s="5">
        <f t="shared" si="119"/>
        <v>-0.45489453100000077</v>
      </c>
      <c r="AJ222" s="5">
        <f t="shared" si="119"/>
        <v>-0.45966200289999914</v>
      </c>
      <c r="AK222" s="5">
        <f t="shared" si="119"/>
        <v>-0.4643744520999995</v>
      </c>
      <c r="AL222" s="5">
        <f t="shared" si="119"/>
        <v>-0.46901577989999943</v>
      </c>
      <c r="AM222" s="5">
        <f t="shared" ref="AM222:BC222" si="120">AM198-AM210</f>
        <v>-0.47318267949999981</v>
      </c>
      <c r="AN222" s="5">
        <f t="shared" si="120"/>
        <v>-0.47698408260000047</v>
      </c>
      <c r="AO222" s="5">
        <f t="shared" si="120"/>
        <v>-0.48049679929999911</v>
      </c>
      <c r="AP222" s="5">
        <f t="shared" si="120"/>
        <v>-0.48376519179999988</v>
      </c>
      <c r="AQ222" s="5">
        <f t="shared" si="120"/>
        <v>-0.48681583819999918</v>
      </c>
      <c r="AR222" s="5">
        <f t="shared" si="120"/>
        <v>-0.48962945340000008</v>
      </c>
      <c r="AS222" s="5">
        <f t="shared" si="120"/>
        <v>-0.49222867299999962</v>
      </c>
      <c r="AT222" s="5">
        <f t="shared" si="120"/>
        <v>-0.49463090900000051</v>
      </c>
      <c r="AU222" s="5">
        <f t="shared" si="120"/>
        <v>-0.49684797930000002</v>
      </c>
      <c r="AV222" s="5">
        <f t="shared" si="120"/>
        <v>-0.49888713459999945</v>
      </c>
      <c r="AW222" s="5">
        <f t="shared" si="120"/>
        <v>-0.5006460251</v>
      </c>
      <c r="AX222" s="5">
        <f t="shared" si="120"/>
        <v>-0.50214048900000119</v>
      </c>
      <c r="AY222" s="5">
        <f t="shared" si="120"/>
        <v>-0.50337614059999947</v>
      </c>
      <c r="AZ222" s="5">
        <f t="shared" si="120"/>
        <v>-0.50437203850000056</v>
      </c>
      <c r="BA222" s="5">
        <f t="shared" si="120"/>
        <v>-0.50515000860000026</v>
      </c>
      <c r="BB222" s="5">
        <f t="shared" si="120"/>
        <v>2.7924103299999281E-2</v>
      </c>
      <c r="BC222" s="5">
        <f t="shared" si="120"/>
        <v>2.9139782099999678E-2</v>
      </c>
      <c r="BD222" s="5">
        <f t="shared" ref="BD222:BF222" si="121">BD198-BD210</f>
        <v>3.0374093799999891E-2</v>
      </c>
      <c r="BE222" s="5">
        <f t="shared" si="121"/>
        <v>3.1631748899999756E-2</v>
      </c>
      <c r="BF222" s="5">
        <f t="shared" si="121"/>
        <v>3.2915973799999776E-2</v>
      </c>
    </row>
    <row r="223" spans="1:58" x14ac:dyDescent="0.35">
      <c r="B223" t="s">
        <v>11</v>
      </c>
      <c r="C223" s="5">
        <f>C199-C211</f>
        <v>4.3366460000001439E-2</v>
      </c>
      <c r="D223" s="5">
        <f t="shared" ref="D223:AL223" si="122">D199-D211</f>
        <v>-8.9294600000002333E-2</v>
      </c>
      <c r="E223" s="5">
        <f t="shared" si="122"/>
        <v>-0.25150727999999845</v>
      </c>
      <c r="F223" s="5">
        <f t="shared" si="122"/>
        <v>-0.39581344000001195</v>
      </c>
      <c r="G223" s="5">
        <f t="shared" si="122"/>
        <v>-0.49302145000000053</v>
      </c>
      <c r="H223" s="5">
        <f t="shared" si="122"/>
        <v>-0.53631366000000469</v>
      </c>
      <c r="I223" s="5">
        <f t="shared" si="122"/>
        <v>-0.53331017000000713</v>
      </c>
      <c r="J223" s="5">
        <f t="shared" si="122"/>
        <v>-0.49961685000000955</v>
      </c>
      <c r="K223" s="5">
        <f t="shared" si="122"/>
        <v>-0.45031169000000659</v>
      </c>
      <c r="L223" s="5">
        <f t="shared" si="122"/>
        <v>-0.39909203000000559</v>
      </c>
      <c r="M223" s="5">
        <f t="shared" si="122"/>
        <v>-0.40602685000000349</v>
      </c>
      <c r="N223" s="5">
        <f t="shared" si="122"/>
        <v>-0.38254603999999404</v>
      </c>
      <c r="O223" s="5">
        <f t="shared" si="122"/>
        <v>-0.33745068000000344</v>
      </c>
      <c r="P223" s="5">
        <f t="shared" si="122"/>
        <v>-0.28133144999999615</v>
      </c>
      <c r="Q223" s="5">
        <f t="shared" si="122"/>
        <v>-0.22068928000000199</v>
      </c>
      <c r="R223" s="5">
        <f t="shared" si="122"/>
        <v>-0.15921876000000168</v>
      </c>
      <c r="S223" s="5">
        <f t="shared" si="122"/>
        <v>-9.3721030000011751E-2</v>
      </c>
      <c r="T223" s="5">
        <f t="shared" si="122"/>
        <v>-2.978921999999784E-2</v>
      </c>
      <c r="U223" s="5">
        <f t="shared" si="122"/>
        <v>2.9834590000007211E-2</v>
      </c>
      <c r="V223" s="5">
        <f t="shared" si="122"/>
        <v>8.4002010000006067E-2</v>
      </c>
      <c r="W223" s="5">
        <f t="shared" si="122"/>
        <v>0.13251372999999944</v>
      </c>
      <c r="X223" s="5">
        <f t="shared" si="122"/>
        <v>0.17500083000000188</v>
      </c>
      <c r="Y223" s="5">
        <f t="shared" si="122"/>
        <v>0.21231097999999804</v>
      </c>
      <c r="Z223" s="5">
        <f t="shared" si="122"/>
        <v>0.24525418999999715</v>
      </c>
      <c r="AA223" s="5">
        <f t="shared" si="122"/>
        <v>0.27462541999999246</v>
      </c>
      <c r="AB223" s="5">
        <f t="shared" si="122"/>
        <v>0.30127909000000841</v>
      </c>
      <c r="AC223" s="5">
        <f t="shared" si="122"/>
        <v>0.32222980000000234</v>
      </c>
      <c r="AD223" s="5">
        <f t="shared" si="122"/>
        <v>0.34079146000000549</v>
      </c>
      <c r="AE223" s="5">
        <f t="shared" si="122"/>
        <v>0.35888525000000016</v>
      </c>
      <c r="AF223" s="5">
        <f t="shared" si="122"/>
        <v>0.37759652999999105</v>
      </c>
      <c r="AG223" s="5">
        <f t="shared" si="122"/>
        <v>0.39755273000000102</v>
      </c>
      <c r="AH223" s="5">
        <f t="shared" si="122"/>
        <v>0.41770371999999156</v>
      </c>
      <c r="AI223" s="5">
        <f t="shared" si="122"/>
        <v>0.43935992000000113</v>
      </c>
      <c r="AJ223" s="5">
        <f t="shared" si="122"/>
        <v>0.46317897999999502</v>
      </c>
      <c r="AK223" s="5">
        <f t="shared" si="122"/>
        <v>0.48944652000000133</v>
      </c>
      <c r="AL223" s="5">
        <f t="shared" si="122"/>
        <v>0.51824677000000463</v>
      </c>
      <c r="AM223" s="5">
        <f t="shared" ref="AM223:BC223" si="123">AM199-AM211</f>
        <v>0.53651555000000428</v>
      </c>
      <c r="AN223" s="5">
        <f t="shared" si="123"/>
        <v>0.55331138999999041</v>
      </c>
      <c r="AO223" s="5">
        <f t="shared" si="123"/>
        <v>0.57269076999999413</v>
      </c>
      <c r="AP223" s="5">
        <f t="shared" si="123"/>
        <v>0.59587244000000794</v>
      </c>
      <c r="AQ223" s="5">
        <f t="shared" si="123"/>
        <v>0.62266486000000043</v>
      </c>
      <c r="AR223" s="5">
        <f t="shared" si="123"/>
        <v>0.65018121999999323</v>
      </c>
      <c r="AS223" s="5">
        <f t="shared" si="123"/>
        <v>0.67901454000001138</v>
      </c>
      <c r="AT223" s="5">
        <f t="shared" si="123"/>
        <v>0.70900130000001127</v>
      </c>
      <c r="AU223" s="5">
        <f t="shared" si="123"/>
        <v>0.7396536300000065</v>
      </c>
      <c r="AV223" s="5">
        <f t="shared" si="123"/>
        <v>0.77044655000000262</v>
      </c>
      <c r="AW223" s="5">
        <f t="shared" si="123"/>
        <v>0.79397120999999515</v>
      </c>
      <c r="AX223" s="5">
        <f t="shared" si="123"/>
        <v>0.8166434400000071</v>
      </c>
      <c r="AY223" s="5">
        <f t="shared" si="123"/>
        <v>0.84189949000000297</v>
      </c>
      <c r="AZ223" s="5">
        <f t="shared" si="123"/>
        <v>0.86970854000000486</v>
      </c>
      <c r="BA223" s="5">
        <f t="shared" si="123"/>
        <v>0.89840517999999747</v>
      </c>
      <c r="BB223" s="5">
        <f t="shared" si="123"/>
        <v>-1.2340731399999925</v>
      </c>
      <c r="BC223" s="5">
        <f t="shared" si="123"/>
        <v>-1.2525495099999944</v>
      </c>
      <c r="BD223" s="5">
        <f t="shared" ref="BD223:BF223" si="124">BD199-BD211</f>
        <v>-1.2698560799999967</v>
      </c>
      <c r="BE223" s="5">
        <f t="shared" si="124"/>
        <v>-1.2862876399999976</v>
      </c>
      <c r="BF223" s="5">
        <f t="shared" si="124"/>
        <v>-1.302085610000006</v>
      </c>
    </row>
    <row r="225" spans="1:58" x14ac:dyDescent="0.35">
      <c r="A225" s="12" t="s">
        <v>86</v>
      </c>
      <c r="B225" t="s">
        <v>14</v>
      </c>
      <c r="C225" s="7" t="s">
        <v>15</v>
      </c>
      <c r="D225" s="7" t="s">
        <v>16</v>
      </c>
      <c r="E225" s="7" t="s">
        <v>17</v>
      </c>
    </row>
    <row r="226" spans="1:58" x14ac:dyDescent="0.35">
      <c r="A226" t="s">
        <v>87</v>
      </c>
      <c r="B226" t="s">
        <v>27</v>
      </c>
      <c r="C226" s="6">
        <f t="shared" ref="C226:C232" si="125">R216</f>
        <v>-1033.8988900000004</v>
      </c>
      <c r="D226" s="6">
        <f t="shared" ref="D226:D232" si="126">AB216</f>
        <v>-1145.4405000000006</v>
      </c>
      <c r="E226" s="6">
        <f>AL216</f>
        <v>-1312.8171900000016</v>
      </c>
    </row>
    <row r="227" spans="1:58" x14ac:dyDescent="0.35">
      <c r="B227" t="s">
        <v>7</v>
      </c>
      <c r="C227" s="6">
        <f t="shared" si="125"/>
        <v>-11.423946099999966</v>
      </c>
      <c r="D227" s="6">
        <f t="shared" si="126"/>
        <v>1.1893965000000435</v>
      </c>
      <c r="E227" s="6">
        <f t="shared" ref="E227:E231" si="127">AL217</f>
        <v>9.5398800000000392</v>
      </c>
    </row>
    <row r="228" spans="1:58" x14ac:dyDescent="0.35">
      <c r="B228" t="s">
        <v>30</v>
      </c>
      <c r="C228" s="6">
        <f t="shared" si="125"/>
        <v>-259.58944699999938</v>
      </c>
      <c r="D228" s="6">
        <f t="shared" si="126"/>
        <v>-328.78888800000004</v>
      </c>
      <c r="E228" s="6">
        <f t="shared" si="127"/>
        <v>-391.91441899999973</v>
      </c>
    </row>
    <row r="229" spans="1:58" x14ac:dyDescent="0.35">
      <c r="B229" t="s">
        <v>28</v>
      </c>
      <c r="C229" s="6">
        <f t="shared" si="125"/>
        <v>-36.228312300000084</v>
      </c>
      <c r="D229" s="6">
        <f t="shared" si="126"/>
        <v>-41.276970500000061</v>
      </c>
      <c r="E229" s="6">
        <f t="shared" si="127"/>
        <v>-49.626467699999921</v>
      </c>
    </row>
    <row r="230" spans="1:58" x14ac:dyDescent="0.35">
      <c r="B230" t="s">
        <v>10</v>
      </c>
      <c r="C230" s="6">
        <f t="shared" si="125"/>
        <v>-725.55007999999725</v>
      </c>
      <c r="D230" s="6">
        <f t="shared" si="126"/>
        <v>-775.77456000000166</v>
      </c>
      <c r="E230" s="6">
        <f t="shared" si="127"/>
        <v>-880.09528999999748</v>
      </c>
    </row>
    <row r="231" spans="1:58" x14ac:dyDescent="0.35">
      <c r="B231" t="s">
        <v>29</v>
      </c>
      <c r="C231" s="1">
        <f t="shared" si="125"/>
        <v>-0.5710908230999987</v>
      </c>
      <c r="D231" s="1">
        <f t="shared" si="126"/>
        <v>-0.66916793040000044</v>
      </c>
      <c r="E231" s="1">
        <f t="shared" si="127"/>
        <v>-0.77012443010000098</v>
      </c>
    </row>
    <row r="232" spans="1:58" x14ac:dyDescent="0.35">
      <c r="B232" t="s">
        <v>32</v>
      </c>
      <c r="C232" s="1">
        <f t="shared" si="125"/>
        <v>-0.37680470690000067</v>
      </c>
      <c r="D232" s="1">
        <f t="shared" si="126"/>
        <v>-0.4215851596000002</v>
      </c>
      <c r="E232" s="1">
        <f t="shared" ref="E232" si="128">AL222</f>
        <v>-0.46901577989999943</v>
      </c>
    </row>
    <row r="233" spans="1:58" x14ac:dyDescent="0.35">
      <c r="B233" t="s">
        <v>33</v>
      </c>
      <c r="C233" s="1">
        <f t="shared" ref="C233" si="129">R223</f>
        <v>-0.15921876000000168</v>
      </c>
      <c r="D233" s="1">
        <f t="shared" ref="D233" si="130">AB223</f>
        <v>0.30127909000000841</v>
      </c>
      <c r="E233" s="1">
        <f t="shared" ref="E233" si="131">AL223</f>
        <v>0.51824677000000463</v>
      </c>
    </row>
    <row r="235" spans="1:58" x14ac:dyDescent="0.35">
      <c r="A235" s="12" t="s">
        <v>43</v>
      </c>
      <c r="B235" t="s">
        <v>26</v>
      </c>
      <c r="C235" s="5">
        <f>C236+C237+C238+C239</f>
        <v>96.252589240000006</v>
      </c>
      <c r="D235" s="5">
        <f t="shared" ref="D235:AL235" si="132">D236+D237+D238+D239</f>
        <v>96.670855180000004</v>
      </c>
      <c r="E235" s="5">
        <f t="shared" si="132"/>
        <v>97.385487154000003</v>
      </c>
      <c r="F235" s="5">
        <f t="shared" si="132"/>
        <v>98.282894514000006</v>
      </c>
      <c r="G235" s="5">
        <f t="shared" si="132"/>
        <v>99.346049518000001</v>
      </c>
      <c r="H235" s="5">
        <f t="shared" si="132"/>
        <v>100.55877365500001</v>
      </c>
      <c r="I235" s="5">
        <f t="shared" si="132"/>
        <v>101.835510481</v>
      </c>
      <c r="J235" s="5">
        <f t="shared" si="132"/>
        <v>103.188738732</v>
      </c>
      <c r="K235" s="5">
        <f t="shared" si="132"/>
        <v>104.60602628499998</v>
      </c>
      <c r="L235" s="5">
        <f t="shared" si="132"/>
        <v>106.073021235</v>
      </c>
      <c r="M235" s="5">
        <f t="shared" si="132"/>
        <v>107.530659982</v>
      </c>
      <c r="N235" s="5">
        <f t="shared" si="132"/>
        <v>109.15985749800001</v>
      </c>
      <c r="O235" s="5">
        <f t="shared" si="132"/>
        <v>110.84614434400001</v>
      </c>
      <c r="P235" s="5">
        <f t="shared" si="132"/>
        <v>112.56504189200001</v>
      </c>
      <c r="Q235" s="5">
        <f t="shared" si="132"/>
        <v>114.30679406600001</v>
      </c>
      <c r="R235" s="5">
        <f t="shared" si="132"/>
        <v>116.06495723099999</v>
      </c>
      <c r="S235" s="5">
        <f t="shared" si="132"/>
        <v>117.83046712399999</v>
      </c>
      <c r="T235" s="5">
        <f t="shared" si="132"/>
        <v>119.60231561000001</v>
      </c>
      <c r="U235" s="5">
        <f t="shared" si="132"/>
        <v>121.379160794</v>
      </c>
      <c r="V235" s="5">
        <f t="shared" si="132"/>
        <v>123.160553951</v>
      </c>
      <c r="W235" s="5">
        <f t="shared" si="132"/>
        <v>124.86868625300001</v>
      </c>
      <c r="X235" s="5">
        <f t="shared" si="132"/>
        <v>126.627887222</v>
      </c>
      <c r="Y235" s="5">
        <f t="shared" si="132"/>
        <v>128.40708168899999</v>
      </c>
      <c r="Z235" s="5">
        <f t="shared" si="132"/>
        <v>130.202054051</v>
      </c>
      <c r="AA235" s="5">
        <f t="shared" si="132"/>
        <v>132.013526246</v>
      </c>
      <c r="AB235" s="5">
        <f t="shared" si="132"/>
        <v>133.61847360100001</v>
      </c>
      <c r="AC235" s="5">
        <f t="shared" si="132"/>
        <v>135.26715890200001</v>
      </c>
      <c r="AD235" s="5">
        <f t="shared" si="132"/>
        <v>136.92613238300001</v>
      </c>
      <c r="AE235" s="5">
        <f t="shared" si="132"/>
        <v>138.594891902</v>
      </c>
      <c r="AF235" s="5">
        <f t="shared" si="132"/>
        <v>140.278184896</v>
      </c>
      <c r="AG235" s="5">
        <f t="shared" si="132"/>
        <v>141.98079554999998</v>
      </c>
      <c r="AH235" s="5">
        <f t="shared" si="132"/>
        <v>143.70786816099999</v>
      </c>
      <c r="AI235" s="5">
        <f t="shared" si="132"/>
        <v>145.46163370799999</v>
      </c>
      <c r="AJ235" s="5">
        <f t="shared" si="132"/>
        <v>147.24391287399999</v>
      </c>
      <c r="AK235" s="5">
        <f t="shared" si="132"/>
        <v>149.05584695800002</v>
      </c>
      <c r="AL235" s="5">
        <f t="shared" si="132"/>
        <v>150.89799054400001</v>
      </c>
      <c r="AM235" s="5">
        <f t="shared" ref="AM235:BC235" si="133">AM236+AM237+AM238+AM239</f>
        <v>152.729108736</v>
      </c>
      <c r="AN235" s="5">
        <f t="shared" si="133"/>
        <v>154.572857844</v>
      </c>
      <c r="AO235" s="5">
        <f t="shared" si="133"/>
        <v>156.43563360600001</v>
      </c>
      <c r="AP235" s="5">
        <f t="shared" si="133"/>
        <v>158.320147456</v>
      </c>
      <c r="AQ235" s="5">
        <f t="shared" si="133"/>
        <v>160.22799011800001</v>
      </c>
      <c r="AR235" s="5">
        <f t="shared" si="133"/>
        <v>162.16227681699999</v>
      </c>
      <c r="AS235" s="5">
        <f t="shared" si="133"/>
        <v>164.122677033</v>
      </c>
      <c r="AT235" s="5">
        <f t="shared" si="133"/>
        <v>166.10935112600001</v>
      </c>
      <c r="AU235" s="5">
        <f t="shared" si="133"/>
        <v>168.12230192800001</v>
      </c>
      <c r="AV235" s="5">
        <f t="shared" si="133"/>
        <v>170.16132204499999</v>
      </c>
      <c r="AW235" s="5">
        <f t="shared" si="133"/>
        <v>172.23828979499999</v>
      </c>
      <c r="AX235" s="5">
        <f t="shared" si="133"/>
        <v>174.34650189300001</v>
      </c>
      <c r="AY235" s="5">
        <f t="shared" si="133"/>
        <v>176.48406222400001</v>
      </c>
      <c r="AZ235" s="5">
        <f t="shared" si="133"/>
        <v>178.64981456000001</v>
      </c>
      <c r="BA235" s="5">
        <f t="shared" si="133"/>
        <v>180.842714452</v>
      </c>
      <c r="BB235" s="5">
        <f t="shared" si="133"/>
        <v>219.54593958000001</v>
      </c>
      <c r="BC235" s="5">
        <f t="shared" si="133"/>
        <v>223.20089697</v>
      </c>
      <c r="BD235" s="5">
        <f t="shared" ref="BD235:BF235" si="134">BD236+BD237+BD238+BD239</f>
        <v>226.91325506999999</v>
      </c>
      <c r="BE235" s="5">
        <f t="shared" si="134"/>
        <v>230.68433690999996</v>
      </c>
      <c r="BF235" s="5">
        <f t="shared" si="134"/>
        <v>234.51543447</v>
      </c>
    </row>
    <row r="236" spans="1:58" x14ac:dyDescent="0.35">
      <c r="A236" t="s">
        <v>39</v>
      </c>
      <c r="B236" t="s">
        <v>7</v>
      </c>
      <c r="C236" s="5">
        <f>[1]Results!F378</f>
        <v>4.8456605399999999</v>
      </c>
      <c r="D236" s="5">
        <f>[1]Results!G378</f>
        <v>4.8552410400000001</v>
      </c>
      <c r="E236" s="5">
        <f>[1]Results!H378</f>
        <v>4.8755089939999996</v>
      </c>
      <c r="F236" s="5">
        <f>[1]Results!I378</f>
        <v>4.9080095439999996</v>
      </c>
      <c r="G236" s="5">
        <f>[1]Results!J378</f>
        <v>4.9525666580000003</v>
      </c>
      <c r="H236" s="5">
        <f>[1]Results!K378</f>
        <v>5.0079315649999998</v>
      </c>
      <c r="I236" s="5">
        <f>[1]Results!L378</f>
        <v>5.0697045709999999</v>
      </c>
      <c r="J236" s="5">
        <f>[1]Results!M378</f>
        <v>5.1373350320000002</v>
      </c>
      <c r="K236" s="5">
        <f>[1]Results!N378</f>
        <v>5.2097854449999996</v>
      </c>
      <c r="L236" s="5">
        <f>[1]Results!O378</f>
        <v>5.2860841550000002</v>
      </c>
      <c r="M236" s="5">
        <f>[1]Results!P378</f>
        <v>5.3635180120000001</v>
      </c>
      <c r="N236" s="5">
        <f>[1]Results!Q378</f>
        <v>5.4503646679999997</v>
      </c>
      <c r="O236" s="5">
        <f>[1]Results!R378</f>
        <v>5.5409838840000001</v>
      </c>
      <c r="P236" s="5">
        <f>[1]Results!S378</f>
        <v>5.6341220520000004</v>
      </c>
      <c r="Q236" s="5">
        <f>[1]Results!T378</f>
        <v>5.7292372360000003</v>
      </c>
      <c r="R236" s="5">
        <f>[1]Results!U378</f>
        <v>5.8259318709999999</v>
      </c>
      <c r="S236" s="5">
        <f>[1]Results!V378</f>
        <v>5.9242372540000003</v>
      </c>
      <c r="T236" s="5">
        <f>[1]Results!W378</f>
        <v>6.0234740899999997</v>
      </c>
      <c r="U236" s="5">
        <f>[1]Results!X378</f>
        <v>6.1234261639999996</v>
      </c>
      <c r="V236" s="5">
        <f>[1]Results!Y378</f>
        <v>6.2239946709999998</v>
      </c>
      <c r="W236" s="5">
        <f>[1]Results!Z378</f>
        <v>6.3215773930000001</v>
      </c>
      <c r="X236" s="5">
        <f>[1]Results!AA378</f>
        <v>6.4212013920000004</v>
      </c>
      <c r="Y236" s="5">
        <f>[1]Results!AB378</f>
        <v>6.5220391790000001</v>
      </c>
      <c r="Z236" s="5">
        <f>[1]Results!AC378</f>
        <v>6.6239363510000002</v>
      </c>
      <c r="AA236" s="5">
        <f>[1]Results!AD378</f>
        <v>6.7268939159999999</v>
      </c>
      <c r="AB236" s="5">
        <f>[1]Results!AE378</f>
        <v>6.8206533110000001</v>
      </c>
      <c r="AC236" s="5">
        <f>[1]Results!AF378</f>
        <v>6.9146884919999998</v>
      </c>
      <c r="AD236" s="5">
        <f>[1]Results!AG378</f>
        <v>7.0087783630000002</v>
      </c>
      <c r="AE236" s="5">
        <f>[1]Results!AH378</f>
        <v>7.103194212</v>
      </c>
      <c r="AF236" s="5">
        <f>[1]Results!AI378</f>
        <v>7.1982986359999996</v>
      </c>
      <c r="AG236" s="5">
        <f>[1]Results!AJ378</f>
        <v>7.2944142999999997</v>
      </c>
      <c r="AH236" s="5">
        <f>[1]Results!AK378</f>
        <v>7.3916850009999999</v>
      </c>
      <c r="AI236" s="5">
        <f>[1]Results!AL378</f>
        <v>7.4904335179999997</v>
      </c>
      <c r="AJ236" s="5">
        <f>[1]Results!AM378</f>
        <v>7.5908034840000003</v>
      </c>
      <c r="AK236" s="5">
        <f>[1]Results!AN378</f>
        <v>7.6928774080000002</v>
      </c>
      <c r="AL236" s="5">
        <f>[1]Results!AO378</f>
        <v>7.796703494</v>
      </c>
      <c r="AM236" s="5">
        <f>[1]Results!AP378</f>
        <v>7.8987822559999996</v>
      </c>
      <c r="AN236" s="5">
        <f>[1]Results!AQ378</f>
        <v>8.0014045239999998</v>
      </c>
      <c r="AO236" s="5">
        <f>[1]Results!AR378</f>
        <v>8.1050989159999993</v>
      </c>
      <c r="AP236" s="5">
        <f>[1]Results!AS378</f>
        <v>8.2100766259999993</v>
      </c>
      <c r="AQ236" s="5">
        <f>[1]Results!AT378</f>
        <v>8.3164751880000001</v>
      </c>
      <c r="AR236" s="5">
        <f>[1]Results!AU378</f>
        <v>8.4242227869999997</v>
      </c>
      <c r="AS236" s="5">
        <f>[1]Results!AV378</f>
        <v>8.5336246029999998</v>
      </c>
      <c r="AT236" s="5">
        <f>[1]Results!AW378</f>
        <v>8.6447618160000008</v>
      </c>
      <c r="AU236" s="5">
        <f>[1]Results!AX378</f>
        <v>8.757665008</v>
      </c>
      <c r="AV236" s="5">
        <f>[1]Results!AY378</f>
        <v>8.872342905</v>
      </c>
      <c r="AW236" s="5">
        <f>[1]Results!AZ378</f>
        <v>8.9883701150000004</v>
      </c>
      <c r="AX236" s="5">
        <f>[1]Results!BA378</f>
        <v>9.1064419930000007</v>
      </c>
      <c r="AY236" s="5">
        <f>[1]Results!BB378</f>
        <v>9.2265791640000003</v>
      </c>
      <c r="AZ236" s="5">
        <f>[1]Results!BC378</f>
        <v>9.3487088800000002</v>
      </c>
      <c r="BA236" s="5">
        <f>[1]Results!BD378</f>
        <v>9.4727507820000003</v>
      </c>
      <c r="BB236" s="5">
        <f>[1]Results!BE378</f>
        <v>10.89254086</v>
      </c>
      <c r="BC236" s="5">
        <f>[1]Results!BF378</f>
        <v>11.071818240000001</v>
      </c>
      <c r="BD236" s="5">
        <f>[1]Results!BG378</f>
        <v>11.25394421</v>
      </c>
      <c r="BE236" s="5">
        <f>[1]Results!BH378</f>
        <v>11.439009499999999</v>
      </c>
      <c r="BF236" s="5">
        <f>[1]Results!BI378</f>
        <v>11.62710313</v>
      </c>
    </row>
    <row r="237" spans="1:58" x14ac:dyDescent="0.35">
      <c r="B237" t="s">
        <v>8</v>
      </c>
      <c r="C237" s="5">
        <f>[1]Results!F390</f>
        <v>43.154683990000002</v>
      </c>
      <c r="D237" s="5">
        <f>[1]Results!G390</f>
        <v>43.28225407</v>
      </c>
      <c r="E237" s="5">
        <f>[1]Results!H390</f>
        <v>43.581656449999997</v>
      </c>
      <c r="F237" s="5">
        <f>[1]Results!I390</f>
        <v>43.970559870000002</v>
      </c>
      <c r="G237" s="5">
        <f>[1]Results!J390</f>
        <v>44.435749899999998</v>
      </c>
      <c r="H237" s="5">
        <f>[1]Results!K390</f>
        <v>44.968412180000001</v>
      </c>
      <c r="I237" s="5">
        <f>[1]Results!L390</f>
        <v>45.527319290000001</v>
      </c>
      <c r="J237" s="5">
        <f>[1]Results!M390</f>
        <v>46.119802550000003</v>
      </c>
      <c r="K237" s="5">
        <f>[1]Results!N390</f>
        <v>46.739866159999998</v>
      </c>
      <c r="L237" s="5">
        <f>[1]Results!O390</f>
        <v>47.380586530000002</v>
      </c>
      <c r="M237" s="5">
        <f>[1]Results!P390</f>
        <v>47.99697055</v>
      </c>
      <c r="N237" s="5">
        <f>[1]Results!Q390</f>
        <v>48.71479386</v>
      </c>
      <c r="O237" s="5">
        <f>[1]Results!R390</f>
        <v>49.45983974</v>
      </c>
      <c r="P237" s="5">
        <f>[1]Results!S390</f>
        <v>50.217780570000002</v>
      </c>
      <c r="Q237" s="5">
        <f>[1]Results!T390</f>
        <v>50.983733299999997</v>
      </c>
      <c r="R237" s="5">
        <f>[1]Results!U390</f>
        <v>51.75477849</v>
      </c>
      <c r="S237" s="5">
        <f>[1]Results!V390</f>
        <v>52.524729020000002</v>
      </c>
      <c r="T237" s="5">
        <f>[1]Results!W390</f>
        <v>53.295268180000001</v>
      </c>
      <c r="U237" s="5">
        <f>[1]Results!X390</f>
        <v>54.066237389999998</v>
      </c>
      <c r="V237" s="5">
        <f>[1]Results!Y390</f>
        <v>54.837702389999997</v>
      </c>
      <c r="W237" s="5">
        <f>[1]Results!Z390</f>
        <v>55.573698350000001</v>
      </c>
      <c r="X237" s="5">
        <f>[1]Results!AA390</f>
        <v>56.333838219999997</v>
      </c>
      <c r="Y237" s="5">
        <f>[1]Results!AB390</f>
        <v>57.102165290000002</v>
      </c>
      <c r="Z237" s="5">
        <f>[1]Results!AC390</f>
        <v>57.876840319999999</v>
      </c>
      <c r="AA237" s="5">
        <f>[1]Results!AD390</f>
        <v>58.658448479999997</v>
      </c>
      <c r="AB237" s="5">
        <f>[1]Results!AE390</f>
        <v>59.343850879999998</v>
      </c>
      <c r="AC237" s="5">
        <f>[1]Results!AF390</f>
        <v>60.054430539999998</v>
      </c>
      <c r="AD237" s="5">
        <f>[1]Results!AG390</f>
        <v>60.770845399999999</v>
      </c>
      <c r="AE237" s="5">
        <f>[1]Results!AH390</f>
        <v>61.492234979999999</v>
      </c>
      <c r="AF237" s="5">
        <f>[1]Results!AI390</f>
        <v>62.220524140000002</v>
      </c>
      <c r="AG237" s="5">
        <f>[1]Results!AJ390</f>
        <v>62.957720389999999</v>
      </c>
      <c r="AH237" s="5">
        <f>[1]Results!AK390</f>
        <v>63.706672689999998</v>
      </c>
      <c r="AI237" s="5">
        <f>[1]Results!AL390</f>
        <v>64.467715810000001</v>
      </c>
      <c r="AJ237" s="5">
        <f>[1]Results!AM390</f>
        <v>65.241519760000003</v>
      </c>
      <c r="AK237" s="5">
        <f>[1]Results!AN390</f>
        <v>66.028500809999997</v>
      </c>
      <c r="AL237" s="5">
        <f>[1]Results!AO390</f>
        <v>66.828798599999999</v>
      </c>
      <c r="AM237" s="5">
        <f>[1]Results!AP390</f>
        <v>67.629269239999999</v>
      </c>
      <c r="AN237" s="5">
        <f>[1]Results!AQ390</f>
        <v>68.436202429999994</v>
      </c>
      <c r="AO237" s="5">
        <f>[1]Results!AR390</f>
        <v>69.251664989999995</v>
      </c>
      <c r="AP237" s="5">
        <f>[1]Results!AS390</f>
        <v>70.076519239999996</v>
      </c>
      <c r="AQ237" s="5">
        <f>[1]Results!AT390</f>
        <v>70.911168880000005</v>
      </c>
      <c r="AR237" s="5">
        <f>[1]Results!AU390</f>
        <v>71.757744819999999</v>
      </c>
      <c r="AS237" s="5">
        <f>[1]Results!AV390</f>
        <v>72.614923630000007</v>
      </c>
      <c r="AT237" s="5">
        <f>[1]Results!AW390</f>
        <v>73.482464440000001</v>
      </c>
      <c r="AU237" s="5">
        <f>[1]Results!AX390</f>
        <v>74.360192920000003</v>
      </c>
      <c r="AV237" s="5">
        <f>[1]Results!AY390</f>
        <v>75.247880519999995</v>
      </c>
      <c r="AW237" s="5">
        <f>[1]Results!AZ390</f>
        <v>76.154450539999999</v>
      </c>
      <c r="AX237" s="5">
        <f>[1]Results!BA390</f>
        <v>77.073457669999996</v>
      </c>
      <c r="AY237" s="5">
        <f>[1]Results!BB390</f>
        <v>78.003659929999998</v>
      </c>
      <c r="AZ237" s="5">
        <f>[1]Results!BC390</f>
        <v>78.944503710000006</v>
      </c>
      <c r="BA237" s="5">
        <f>[1]Results!BD390</f>
        <v>79.895505959999994</v>
      </c>
      <c r="BB237" s="5">
        <f>[1]Results!BE390</f>
        <v>101.8741746</v>
      </c>
      <c r="BC237" s="5">
        <f>[1]Results!BF390</f>
        <v>103.62538499999999</v>
      </c>
      <c r="BD237" s="5">
        <f>[1]Results!BG390</f>
        <v>105.40327739999999</v>
      </c>
      <c r="BE237" s="5">
        <f>[1]Results!BH390</f>
        <v>107.20839049999999</v>
      </c>
      <c r="BF237" s="5">
        <f>[1]Results!BI390</f>
        <v>109.0412402</v>
      </c>
    </row>
    <row r="238" spans="1:58" x14ac:dyDescent="0.35">
      <c r="B238" t="s">
        <v>28</v>
      </c>
      <c r="C238" s="5">
        <f>[1]Results!F366</f>
        <v>25.954692720000001</v>
      </c>
      <c r="D238" s="5">
        <f>[1]Results!G366</f>
        <v>26.10867601</v>
      </c>
      <c r="E238" s="5">
        <f>[1]Results!H366</f>
        <v>26.33126257</v>
      </c>
      <c r="F238" s="5">
        <f>[1]Results!I366</f>
        <v>26.590715880000001</v>
      </c>
      <c r="G238" s="5">
        <f>[1]Results!J366</f>
        <v>26.880934830000001</v>
      </c>
      <c r="H238" s="5">
        <f>[1]Results!K366</f>
        <v>27.19800828</v>
      </c>
      <c r="I238" s="5">
        <f>[1]Results!L366</f>
        <v>27.52195008</v>
      </c>
      <c r="J238" s="5">
        <f>[1]Results!M366</f>
        <v>27.857977829999999</v>
      </c>
      <c r="K238" s="5">
        <f>[1]Results!N366</f>
        <v>28.205028939999998</v>
      </c>
      <c r="L238" s="5">
        <f>[1]Results!O366</f>
        <v>28.5610514</v>
      </c>
      <c r="M238" s="5">
        <f>[1]Results!P366</f>
        <v>28.914359810000001</v>
      </c>
      <c r="N238" s="5">
        <f>[1]Results!Q366</f>
        <v>29.306541660000001</v>
      </c>
      <c r="O238" s="5">
        <f>[1]Results!R366</f>
        <v>29.710281330000001</v>
      </c>
      <c r="P238" s="5">
        <f>[1]Results!S366</f>
        <v>30.12000218</v>
      </c>
      <c r="Q238" s="5">
        <f>[1]Results!T366</f>
        <v>30.533836390000001</v>
      </c>
      <c r="R238" s="5">
        <f>[1]Results!U366</f>
        <v>30.95078934</v>
      </c>
      <c r="S238" s="5">
        <f>[1]Results!V366</f>
        <v>31.368502060000001</v>
      </c>
      <c r="T238" s="5">
        <f>[1]Results!W366</f>
        <v>31.787812479999999</v>
      </c>
      <c r="U238" s="5">
        <f>[1]Results!X366</f>
        <v>32.208794910000002</v>
      </c>
      <c r="V238" s="5">
        <f>[1]Results!Y366</f>
        <v>32.631535820000003</v>
      </c>
      <c r="W238" s="5">
        <f>[1]Results!Z366</f>
        <v>33.036918980000003</v>
      </c>
      <c r="X238" s="5">
        <f>[1]Results!AA366</f>
        <v>33.45583852</v>
      </c>
      <c r="Y238" s="5">
        <f>[1]Results!AB366</f>
        <v>33.880680179999999</v>
      </c>
      <c r="Z238" s="5">
        <f>[1]Results!AC366</f>
        <v>34.310141229999999</v>
      </c>
      <c r="AA238" s="5">
        <f>[1]Results!AD366</f>
        <v>34.744205379999997</v>
      </c>
      <c r="AB238" s="5">
        <f>[1]Results!AE366</f>
        <v>35.127778999999997</v>
      </c>
      <c r="AC238" s="5">
        <f>[1]Results!AF366</f>
        <v>35.523318160000002</v>
      </c>
      <c r="AD238" s="5">
        <f>[1]Results!AG366</f>
        <v>35.922637629999997</v>
      </c>
      <c r="AE238" s="5">
        <f>[1]Results!AH366</f>
        <v>36.325311020000001</v>
      </c>
      <c r="AF238" s="5">
        <f>[1]Results!AI366</f>
        <v>36.732281649999997</v>
      </c>
      <c r="AG238" s="5">
        <f>[1]Results!AJ366</f>
        <v>37.144537370000002</v>
      </c>
      <c r="AH238" s="5">
        <f>[1]Results!AK366</f>
        <v>37.563363039999999</v>
      </c>
      <c r="AI238" s="5">
        <f>[1]Results!AL366</f>
        <v>37.98893064</v>
      </c>
      <c r="AJ238" s="5">
        <f>[1]Results!AM366</f>
        <v>38.421488269999998</v>
      </c>
      <c r="AK238" s="5">
        <f>[1]Results!AN366</f>
        <v>38.861170700000002</v>
      </c>
      <c r="AL238" s="5">
        <f>[1]Results!AO366</f>
        <v>39.30801039</v>
      </c>
      <c r="AM238" s="5">
        <f>[1]Results!AP366</f>
        <v>39.75369439</v>
      </c>
      <c r="AN238" s="5">
        <f>[1]Results!AQ366</f>
        <v>40.202270900000002</v>
      </c>
      <c r="AO238" s="5">
        <f>[1]Results!AR366</f>
        <v>40.65516744</v>
      </c>
      <c r="AP238" s="5">
        <f>[1]Results!AS366</f>
        <v>41.113088619999999</v>
      </c>
      <c r="AQ238" s="5">
        <f>[1]Results!AT366</f>
        <v>41.576520819999999</v>
      </c>
      <c r="AR238" s="5">
        <f>[1]Results!AU366</f>
        <v>42.04667208</v>
      </c>
      <c r="AS238" s="5">
        <f>[1]Results!AV366</f>
        <v>42.523251549999998</v>
      </c>
      <c r="AT238" s="5">
        <f>[1]Results!AW366</f>
        <v>43.006327120000002</v>
      </c>
      <c r="AU238" s="5">
        <f>[1]Results!AX366</f>
        <v>43.495952959999997</v>
      </c>
      <c r="AV238" s="5">
        <f>[1]Results!AY366</f>
        <v>43.992130439999997</v>
      </c>
      <c r="AW238" s="5">
        <f>[1]Results!AZ366</f>
        <v>44.49899001</v>
      </c>
      <c r="AX238" s="5">
        <f>[1]Results!BA366</f>
        <v>45.013762579999998</v>
      </c>
      <c r="AY238" s="5">
        <f>[1]Results!BB366</f>
        <v>45.535771990000001</v>
      </c>
      <c r="AZ238" s="5">
        <f>[1]Results!BC366</f>
        <v>46.064709299999997</v>
      </c>
      <c r="BA238" s="5">
        <f>[1]Results!BD366</f>
        <v>46.600364910000003</v>
      </c>
      <c r="BB238" s="5">
        <f>[1]Results!BE366</f>
        <v>55.400333269999997</v>
      </c>
      <c r="BC238" s="5">
        <f>[1]Results!BF366</f>
        <v>56.275190469999998</v>
      </c>
      <c r="BD238" s="5">
        <f>[1]Results!BG366</f>
        <v>57.165000159999998</v>
      </c>
      <c r="BE238" s="5">
        <f>[1]Results!BH366</f>
        <v>58.070065749999998</v>
      </c>
      <c r="BF238" s="5">
        <f>[1]Results!BI366</f>
        <v>58.990694609999998</v>
      </c>
    </row>
    <row r="239" spans="1:58" x14ac:dyDescent="0.35">
      <c r="B239" t="s">
        <v>10</v>
      </c>
      <c r="C239" s="5">
        <f>[1]Results!F402</f>
        <v>22.297551989999999</v>
      </c>
      <c r="D239" s="5">
        <f>[1]Results!G402</f>
        <v>22.424684060000001</v>
      </c>
      <c r="E239" s="5">
        <f>[1]Results!H402</f>
        <v>22.597059139999999</v>
      </c>
      <c r="F239" s="5">
        <f>[1]Results!I402</f>
        <v>22.81360922</v>
      </c>
      <c r="G239" s="5">
        <f>[1]Results!J402</f>
        <v>23.07679813</v>
      </c>
      <c r="H239" s="5">
        <f>[1]Results!K402</f>
        <v>23.384421629999999</v>
      </c>
      <c r="I239" s="5">
        <f>[1]Results!L402</f>
        <v>23.71653654</v>
      </c>
      <c r="J239" s="5">
        <f>[1]Results!M402</f>
        <v>24.073623319999999</v>
      </c>
      <c r="K239" s="5">
        <f>[1]Results!N402</f>
        <v>24.451345740000001</v>
      </c>
      <c r="L239" s="5">
        <f>[1]Results!O402</f>
        <v>24.845299149999999</v>
      </c>
      <c r="M239" s="5">
        <f>[1]Results!P402</f>
        <v>25.255811609999999</v>
      </c>
      <c r="N239" s="5">
        <f>[1]Results!Q402</f>
        <v>25.688157310000001</v>
      </c>
      <c r="O239" s="5">
        <f>[1]Results!R402</f>
        <v>26.135039389999999</v>
      </c>
      <c r="P239" s="5">
        <f>[1]Results!S402</f>
        <v>26.593137089999999</v>
      </c>
      <c r="Q239" s="5">
        <f>[1]Results!T402</f>
        <v>27.05998714</v>
      </c>
      <c r="R239" s="5">
        <f>[1]Results!U402</f>
        <v>27.53345753</v>
      </c>
      <c r="S239" s="5">
        <f>[1]Results!V402</f>
        <v>28.012998790000001</v>
      </c>
      <c r="T239" s="5">
        <f>[1]Results!W402</f>
        <v>28.495760860000001</v>
      </c>
      <c r="U239" s="5">
        <f>[1]Results!X402</f>
        <v>28.98070233</v>
      </c>
      <c r="V239" s="5">
        <f>[1]Results!Y402</f>
        <v>29.467321070000001</v>
      </c>
      <c r="W239" s="5">
        <f>[1]Results!Z402</f>
        <v>29.936491530000001</v>
      </c>
      <c r="X239" s="5">
        <f>[1]Results!AA402</f>
        <v>30.417009090000001</v>
      </c>
      <c r="Y239" s="5">
        <f>[1]Results!AB402</f>
        <v>30.902197040000001</v>
      </c>
      <c r="Z239" s="5">
        <f>[1]Results!AC402</f>
        <v>31.391136150000001</v>
      </c>
      <c r="AA239" s="5">
        <f>[1]Results!AD402</f>
        <v>31.883978469999999</v>
      </c>
      <c r="AB239" s="5">
        <f>[1]Results!AE402</f>
        <v>32.326190410000002</v>
      </c>
      <c r="AC239" s="5">
        <f>[1]Results!AF402</f>
        <v>32.774721710000001</v>
      </c>
      <c r="AD239" s="5">
        <f>[1]Results!AG402</f>
        <v>33.223870990000002</v>
      </c>
      <c r="AE239" s="5">
        <f>[1]Results!AH402</f>
        <v>33.674151690000002</v>
      </c>
      <c r="AF239" s="5">
        <f>[1]Results!AI402</f>
        <v>34.127080470000003</v>
      </c>
      <c r="AG239" s="5">
        <f>[1]Results!AJ402</f>
        <v>34.584123490000003</v>
      </c>
      <c r="AH239" s="5">
        <f>[1]Results!AK402</f>
        <v>35.046147429999998</v>
      </c>
      <c r="AI239" s="5">
        <f>[1]Results!AL402</f>
        <v>35.514553739999997</v>
      </c>
      <c r="AJ239" s="5">
        <f>[1]Results!AM402</f>
        <v>35.990101359999997</v>
      </c>
      <c r="AK239" s="5">
        <f>[1]Results!AN402</f>
        <v>36.473298040000003</v>
      </c>
      <c r="AL239" s="5">
        <f>[1]Results!AO402</f>
        <v>36.964478059999998</v>
      </c>
      <c r="AM239" s="5">
        <f>[1]Results!AP402</f>
        <v>37.447362849999998</v>
      </c>
      <c r="AN239" s="5">
        <f>[1]Results!AQ402</f>
        <v>37.93297999</v>
      </c>
      <c r="AO239" s="5">
        <f>[1]Results!AR402</f>
        <v>38.423702259999999</v>
      </c>
      <c r="AP239" s="5">
        <f>[1]Results!AS402</f>
        <v>38.920462970000003</v>
      </c>
      <c r="AQ239" s="5">
        <f>[1]Results!AT402</f>
        <v>39.423825229999998</v>
      </c>
      <c r="AR239" s="5">
        <f>[1]Results!AU402</f>
        <v>39.933637130000001</v>
      </c>
      <c r="AS239" s="5">
        <f>[1]Results!AV402</f>
        <v>40.450877249999998</v>
      </c>
      <c r="AT239" s="5">
        <f>[1]Results!AW402</f>
        <v>40.975797749999998</v>
      </c>
      <c r="AU239" s="5">
        <f>[1]Results!AX402</f>
        <v>41.508491040000003</v>
      </c>
      <c r="AV239" s="5">
        <f>[1]Results!AY402</f>
        <v>42.048968180000003</v>
      </c>
      <c r="AW239" s="5">
        <f>[1]Results!AZ402</f>
        <v>42.596479129999999</v>
      </c>
      <c r="AX239" s="5">
        <f>[1]Results!BA402</f>
        <v>43.152839649999997</v>
      </c>
      <c r="AY239" s="5">
        <f>[1]Results!BB402</f>
        <v>43.71805114</v>
      </c>
      <c r="AZ239" s="5">
        <f>[1]Results!BC402</f>
        <v>44.291892670000003</v>
      </c>
      <c r="BA239" s="5">
        <f>[1]Results!BD402</f>
        <v>44.8740928</v>
      </c>
      <c r="BB239" s="5">
        <f>[1]Results!BE402</f>
        <v>51.378890849999998</v>
      </c>
      <c r="BC239" s="5">
        <f>[1]Results!BF402</f>
        <v>52.228503259999997</v>
      </c>
      <c r="BD239" s="5">
        <f>[1]Results!BG402</f>
        <v>53.091033299999999</v>
      </c>
      <c r="BE239" s="5">
        <f>[1]Results!BH402</f>
        <v>53.966871159999997</v>
      </c>
      <c r="BF239" s="5">
        <f>[1]Results!BI402</f>
        <v>54.856396529999998</v>
      </c>
    </row>
    <row r="240" spans="1:58" x14ac:dyDescent="0.35">
      <c r="B240" t="s">
        <v>44</v>
      </c>
      <c r="C240" s="5">
        <f>[1]Results!F353</f>
        <v>64.30144018</v>
      </c>
      <c r="D240" s="5">
        <f>[1]Results!G353</f>
        <v>64.311548689999995</v>
      </c>
      <c r="E240" s="5">
        <f>[1]Results!H353</f>
        <v>64.021508800000007</v>
      </c>
      <c r="F240" s="5">
        <f>[1]Results!I353</f>
        <v>63.691322419999999</v>
      </c>
      <c r="G240" s="5">
        <f>[1]Results!J353</f>
        <v>63.41221865</v>
      </c>
      <c r="H240" s="5">
        <f>[1]Results!K353</f>
        <v>63.206232049999997</v>
      </c>
      <c r="I240" s="5">
        <f>[1]Results!L353</f>
        <v>63.050111749999999</v>
      </c>
      <c r="J240" s="5">
        <f>[1]Results!M353</f>
        <v>62.938125329999998</v>
      </c>
      <c r="K240" s="5">
        <f>[1]Results!N353</f>
        <v>62.856187030000001</v>
      </c>
      <c r="L240" s="5">
        <f>[1]Results!O353</f>
        <v>62.785061319999997</v>
      </c>
      <c r="M240" s="5">
        <f>[1]Results!P353</f>
        <v>62.736037959999997</v>
      </c>
      <c r="N240" s="5">
        <f>[1]Results!Q353</f>
        <v>62.662565999999998</v>
      </c>
      <c r="O240" s="5">
        <f>[1]Results!R353</f>
        <v>62.578473719999998</v>
      </c>
      <c r="P240" s="5">
        <f>[1]Results!S353</f>
        <v>62.492567299999997</v>
      </c>
      <c r="Q240" s="5">
        <f>[1]Results!T353</f>
        <v>62.410104070000003</v>
      </c>
      <c r="R240" s="5">
        <f>[1]Results!U353</f>
        <v>62.334365509999998</v>
      </c>
      <c r="S240" s="5">
        <f>[1]Results!V353</f>
        <v>62.263476500000003</v>
      </c>
      <c r="T240" s="5">
        <f>[1]Results!W353</f>
        <v>62.200056029999999</v>
      </c>
      <c r="U240" s="5">
        <f>[1]Results!X353</f>
        <v>62.144740679999998</v>
      </c>
      <c r="V240" s="5">
        <f>[1]Results!Y353</f>
        <v>62.097205719999998</v>
      </c>
      <c r="W240" s="5">
        <f>[1]Results!Z353</f>
        <v>62.037877250000001</v>
      </c>
      <c r="X240" s="5">
        <f>[1]Results!AA353</f>
        <v>61.994171229999999</v>
      </c>
      <c r="Y240" s="5">
        <f>[1]Results!AB353</f>
        <v>61.960241680000003</v>
      </c>
      <c r="Z240" s="5">
        <f>[1]Results!AC353</f>
        <v>61.933085079999998</v>
      </c>
      <c r="AA240" s="5">
        <f>[1]Results!AD353</f>
        <v>61.911097480000002</v>
      </c>
      <c r="AB240" s="5">
        <f>[1]Results!AE353</f>
        <v>61.84221582</v>
      </c>
      <c r="AC240" s="5">
        <f>[1]Results!AF353</f>
        <v>61.779794369999998</v>
      </c>
      <c r="AD240" s="5">
        <f>[1]Results!AG353</f>
        <v>61.720796329999999</v>
      </c>
      <c r="AE240" s="5">
        <f>[1]Results!AH353</f>
        <v>61.66392003</v>
      </c>
      <c r="AF240" s="5">
        <f>[1]Results!AI353</f>
        <v>61.608758289999997</v>
      </c>
      <c r="AG240" s="5">
        <f>[1]Results!AJ353</f>
        <v>61.555333619999999</v>
      </c>
      <c r="AH240" s="5">
        <f>[1]Results!AK353</f>
        <v>61.504645140000001</v>
      </c>
      <c r="AI240" s="5">
        <f>[1]Results!AL353</f>
        <v>61.456476019999997</v>
      </c>
      <c r="AJ240" s="5">
        <f>[1]Results!AM353</f>
        <v>61.410772770000001</v>
      </c>
      <c r="AK240" s="5">
        <f>[1]Results!AN353</f>
        <v>61.367556149999999</v>
      </c>
      <c r="AL240" s="5">
        <f>[1]Results!AO353</f>
        <v>61.326992619999999</v>
      </c>
      <c r="AM240" s="5">
        <f>[1]Results!AP353</f>
        <v>61.285327909999999</v>
      </c>
      <c r="AN240" s="5">
        <f>[1]Results!AQ353</f>
        <v>61.243873100000002</v>
      </c>
      <c r="AO240" s="5">
        <f>[1]Results!AR353</f>
        <v>61.203556710000001</v>
      </c>
      <c r="AP240" s="5">
        <f>[1]Results!AS353</f>
        <v>61.165075960000003</v>
      </c>
      <c r="AQ240" s="5">
        <f>[1]Results!AT353</f>
        <v>61.129004389999999</v>
      </c>
      <c r="AR240" s="5">
        <f>[1]Results!AU353</f>
        <v>61.096906990000001</v>
      </c>
      <c r="AS240" s="5">
        <f>[1]Results!AV353</f>
        <v>61.068588310000003</v>
      </c>
      <c r="AT240" s="5">
        <f>[1]Results!AW353</f>
        <v>61.044166079999997</v>
      </c>
      <c r="AU240" s="5">
        <f>[1]Results!AX353</f>
        <v>61.023864000000003</v>
      </c>
      <c r="AV240" s="5">
        <f>[1]Results!AY353</f>
        <v>61.007928040000003</v>
      </c>
      <c r="AW240" s="5">
        <f>[1]Results!AZ353</f>
        <v>61.000962260000001</v>
      </c>
      <c r="AX240" s="5">
        <f>[1]Results!BA353</f>
        <v>61.000717629999997</v>
      </c>
      <c r="AY240" s="5">
        <f>[1]Results!BB353</f>
        <v>61.006346829999998</v>
      </c>
      <c r="AZ240" s="5">
        <f>[1]Results!BC353</f>
        <v>61.017624740000002</v>
      </c>
      <c r="BA240" s="5">
        <f>[1]Results!BD353</f>
        <v>61.034651949999997</v>
      </c>
      <c r="BB240" s="5">
        <f>[1]Results!BE353</f>
        <v>64.419719540000003</v>
      </c>
      <c r="BC240" s="5">
        <f>[1]Results!BF353</f>
        <v>64.521376770000003</v>
      </c>
      <c r="BD240" s="5">
        <f>[1]Results!BG353</f>
        <v>64.626029189999997</v>
      </c>
      <c r="BE240" s="5">
        <f>[1]Results!BH353</f>
        <v>64.733579050000003</v>
      </c>
      <c r="BF240" s="5">
        <f>[1]Results!BI353</f>
        <v>64.844110799999996</v>
      </c>
    </row>
    <row r="241" spans="1:58" x14ac:dyDescent="0.35">
      <c r="B241" t="s">
        <v>45</v>
      </c>
      <c r="C241" s="5">
        <f>[1]Results!F354</f>
        <v>42.52087745</v>
      </c>
      <c r="D241" s="5">
        <f>[1]Results!G354</f>
        <v>42.826716130000001</v>
      </c>
      <c r="E241" s="5">
        <f>[1]Results!H354</f>
        <v>42.706732369999997</v>
      </c>
      <c r="F241" s="5">
        <f>[1]Results!I354</f>
        <v>42.459953200000001</v>
      </c>
      <c r="G241" s="5">
        <f>[1]Results!J354</f>
        <v>42.203473189999997</v>
      </c>
      <c r="H241" s="5">
        <f>[1]Results!K354</f>
        <v>41.976090490000004</v>
      </c>
      <c r="I241" s="5">
        <f>[1]Results!L354</f>
        <v>41.768039280000004</v>
      </c>
      <c r="J241" s="5">
        <f>[1]Results!M354</f>
        <v>41.580798030000004</v>
      </c>
      <c r="K241" s="5">
        <f>[1]Results!N354</f>
        <v>41.405254899999996</v>
      </c>
      <c r="L241" s="5">
        <f>[1]Results!O354</f>
        <v>41.225771700000003</v>
      </c>
      <c r="M241" s="5">
        <f>[1]Results!P354</f>
        <v>41.053872640000002</v>
      </c>
      <c r="N241" s="5">
        <f>[1]Results!Q354</f>
        <v>40.847521560000004</v>
      </c>
      <c r="O241" s="5">
        <f>[1]Results!R354</f>
        <v>40.621443520000007</v>
      </c>
      <c r="P241" s="5">
        <f>[1]Results!S354</f>
        <v>40.385620270000004</v>
      </c>
      <c r="Q241" s="5">
        <f>[1]Results!T354</f>
        <v>40.146477099999998</v>
      </c>
      <c r="R241" s="5">
        <f>[1]Results!U354</f>
        <v>39.908402420000002</v>
      </c>
      <c r="S241" s="5">
        <f>[1]Results!V354</f>
        <v>39.670651630000002</v>
      </c>
      <c r="T241" s="5">
        <f>[1]Results!W354</f>
        <v>39.436850219999997</v>
      </c>
      <c r="U241" s="5">
        <f>[1]Results!X354</f>
        <v>39.208526770000006</v>
      </c>
      <c r="V241" s="5">
        <f>[1]Results!Y354</f>
        <v>38.986149399999995</v>
      </c>
      <c r="W241" s="5">
        <f>[1]Results!Z354</f>
        <v>38.753972640000001</v>
      </c>
      <c r="X241" s="5">
        <f>[1]Results!AA354</f>
        <v>38.536625690000001</v>
      </c>
      <c r="Y241" s="5">
        <f>[1]Results!AB354</f>
        <v>38.328711069999997</v>
      </c>
      <c r="Z241" s="5">
        <f>[1]Results!AC354</f>
        <v>38.127550920000004</v>
      </c>
      <c r="AA241" s="5">
        <f>[1]Results!AD354</f>
        <v>37.931812790000002</v>
      </c>
      <c r="AB241" s="5">
        <f>[1]Results!AE354</f>
        <v>37.698469979999999</v>
      </c>
      <c r="AC241" s="5">
        <f>[1]Results!AF354</f>
        <v>37.475645469999996</v>
      </c>
      <c r="AD241" s="5">
        <f>[1]Results!AG354</f>
        <v>37.259980140000003</v>
      </c>
      <c r="AE241" s="5">
        <f>[1]Results!AH354</f>
        <v>37.04967963</v>
      </c>
      <c r="AF241" s="5">
        <f>[1]Results!AI354</f>
        <v>36.843799400000002</v>
      </c>
      <c r="AG241" s="5">
        <f>[1]Results!AJ354</f>
        <v>36.641844049999996</v>
      </c>
      <c r="AH241" s="5">
        <f>[1]Results!AK354</f>
        <v>36.44432011</v>
      </c>
      <c r="AI241" s="5">
        <f>[1]Results!AL354</f>
        <v>36.250592709999999</v>
      </c>
      <c r="AJ241" s="5">
        <f>[1]Results!AM354</f>
        <v>36.060255240000004</v>
      </c>
      <c r="AK241" s="5">
        <f>[1]Results!AN354</f>
        <v>35.873022119999995</v>
      </c>
      <c r="AL241" s="5">
        <f>[1]Results!AO354</f>
        <v>35.688786450000002</v>
      </c>
      <c r="AM241" s="5">
        <f>[1]Results!AP354</f>
        <v>35.505306740000002</v>
      </c>
      <c r="AN241" s="5">
        <f>[1]Results!AQ354</f>
        <v>35.323423909999995</v>
      </c>
      <c r="AO241" s="5">
        <f>[1]Results!AR354</f>
        <v>35.143680520000004</v>
      </c>
      <c r="AP241" s="5">
        <f>[1]Results!AS354</f>
        <v>34.966375200000002</v>
      </c>
      <c r="AQ241" s="5">
        <f>[1]Results!AT354</f>
        <v>34.791664920000002</v>
      </c>
      <c r="AR241" s="5">
        <f>[1]Results!AU354</f>
        <v>34.620666369999995</v>
      </c>
      <c r="AS241" s="5">
        <f>[1]Results!AV354</f>
        <v>34.452788829999996</v>
      </c>
      <c r="AT241" s="5">
        <f>[1]Results!AW354</f>
        <v>34.287813890000002</v>
      </c>
      <c r="AU241" s="5">
        <f>[1]Results!AX354</f>
        <v>34.125679149999996</v>
      </c>
      <c r="AV241" s="5">
        <f>[1]Results!AY354</f>
        <v>33.966386869999994</v>
      </c>
      <c r="AW241" s="5">
        <f>[1]Results!AZ354</f>
        <v>33.814036310000006</v>
      </c>
      <c r="AX241" s="5">
        <f>[1]Results!BA354</f>
        <v>33.666168929999998</v>
      </c>
      <c r="AY241" s="5">
        <f>[1]Results!BB354</f>
        <v>33.521807359999997</v>
      </c>
      <c r="AZ241" s="5">
        <f>[1]Results!BC354</f>
        <v>33.38062309</v>
      </c>
      <c r="BA241" s="5">
        <f>[1]Results!BD354</f>
        <v>33.242615980000004</v>
      </c>
      <c r="BB241" s="5">
        <f>[1]Results!BE354</f>
        <v>34.849368820000002</v>
      </c>
      <c r="BC241" s="5">
        <f>[1]Results!BF354</f>
        <v>34.745864249999997</v>
      </c>
      <c r="BD241" s="5">
        <f>[1]Results!BG354</f>
        <v>34.643640210000001</v>
      </c>
      <c r="BE241" s="5">
        <f>[1]Results!BH354</f>
        <v>34.542457280000001</v>
      </c>
      <c r="BF241" s="5">
        <f>[1]Results!BI354</f>
        <v>34.442238750000001</v>
      </c>
    </row>
    <row r="242" spans="1:58" x14ac:dyDescent="0.35">
      <c r="B242" t="s">
        <v>46</v>
      </c>
      <c r="C242" s="5">
        <f>[1]Results!F362</f>
        <v>21.78056273</v>
      </c>
      <c r="D242" s="5">
        <f>[1]Results!G362</f>
        <v>21.484832559999997</v>
      </c>
      <c r="E242" s="5">
        <f>[1]Results!H362</f>
        <v>21.314776429999998</v>
      </c>
      <c r="F242" s="5">
        <f>[1]Results!I362</f>
        <v>21.231369219999998</v>
      </c>
      <c r="G242" s="5">
        <f>[1]Results!J362</f>
        <v>21.208745459999999</v>
      </c>
      <c r="H242" s="5">
        <f>[1]Results!K362</f>
        <v>21.23014156</v>
      </c>
      <c r="I242" s="5">
        <f>[1]Results!L362</f>
        <v>21.282072469999999</v>
      </c>
      <c r="J242" s="5">
        <f>[1]Results!M362</f>
        <v>21.357327309999999</v>
      </c>
      <c r="K242" s="5">
        <f>[1]Results!N362</f>
        <v>21.450932129999998</v>
      </c>
      <c r="L242" s="5">
        <f>[1]Results!O362</f>
        <v>21.559289620000001</v>
      </c>
      <c r="M242" s="5">
        <f>[1]Results!P362</f>
        <v>21.682165319999999</v>
      </c>
      <c r="N242" s="5">
        <f>[1]Results!Q362</f>
        <v>21.815044440000001</v>
      </c>
      <c r="O242" s="5">
        <f>[1]Results!R362</f>
        <v>21.957030190000001</v>
      </c>
      <c r="P242" s="5">
        <f>[1]Results!S362</f>
        <v>22.106947030000001</v>
      </c>
      <c r="Q242" s="5">
        <f>[1]Results!T362</f>
        <v>22.263626969999997</v>
      </c>
      <c r="R242" s="5">
        <f>[1]Results!U362</f>
        <v>22.42596309</v>
      </c>
      <c r="S242" s="5">
        <f>[1]Results!V362</f>
        <v>22.592824870000001</v>
      </c>
      <c r="T242" s="5">
        <f>[1]Results!W362</f>
        <v>22.763205809999999</v>
      </c>
      <c r="U242" s="5">
        <f>[1]Results!X362</f>
        <v>22.936213909999999</v>
      </c>
      <c r="V242" s="5">
        <f>[1]Results!Y362</f>
        <v>23.111056309999999</v>
      </c>
      <c r="W242" s="5">
        <f>[1]Results!Z362</f>
        <v>23.28390461</v>
      </c>
      <c r="X242" s="5">
        <f>[1]Results!AA362</f>
        <v>23.457545539999998</v>
      </c>
      <c r="Y242" s="5">
        <f>[1]Results!AB362</f>
        <v>23.631530609999999</v>
      </c>
      <c r="Z242" s="5">
        <f>[1]Results!AC362</f>
        <v>23.805534160000001</v>
      </c>
      <c r="AA242" s="5">
        <f>[1]Results!AD362</f>
        <v>23.979284679999999</v>
      </c>
      <c r="AB242" s="5">
        <f>[1]Results!AE362</f>
        <v>24.143745840000001</v>
      </c>
      <c r="AC242" s="5">
        <f>[1]Results!AF362</f>
        <v>24.30414889</v>
      </c>
      <c r="AD242" s="5">
        <f>[1]Results!AG362</f>
        <v>24.460816190000003</v>
      </c>
      <c r="AE242" s="5">
        <f>[1]Results!AH362</f>
        <v>24.6142404</v>
      </c>
      <c r="AF242" s="5">
        <f>[1]Results!AI362</f>
        <v>24.764958889999999</v>
      </c>
      <c r="AG242" s="5">
        <f>[1]Results!AJ362</f>
        <v>24.913489569999999</v>
      </c>
      <c r="AH242" s="5">
        <f>[1]Results!AK362</f>
        <v>25.060325030000001</v>
      </c>
      <c r="AI242" s="5">
        <f>[1]Results!AL362</f>
        <v>25.205883309999997</v>
      </c>
      <c r="AJ242" s="5">
        <f>[1]Results!AM362</f>
        <v>25.35051752</v>
      </c>
      <c r="AK242" s="5">
        <f>[1]Results!AN362</f>
        <v>25.494534030000001</v>
      </c>
      <c r="AL242" s="5">
        <f>[1]Results!AO362</f>
        <v>25.63820617</v>
      </c>
      <c r="AM242" s="5">
        <f>[1]Results!AP362</f>
        <v>25.780021170000001</v>
      </c>
      <c r="AN242" s="5">
        <f>[1]Results!AQ362</f>
        <v>25.920449190000003</v>
      </c>
      <c r="AO242" s="5">
        <f>[1]Results!AR362</f>
        <v>26.05987618</v>
      </c>
      <c r="AP242" s="5">
        <f>[1]Results!AS362</f>
        <v>26.198700769999999</v>
      </c>
      <c r="AQ242" s="5">
        <f>[1]Results!AT362</f>
        <v>26.33733947</v>
      </c>
      <c r="AR242" s="5">
        <f>[1]Results!AU362</f>
        <v>26.476240620000002</v>
      </c>
      <c r="AS242" s="5">
        <f>[1]Results!AV362</f>
        <v>26.61579948</v>
      </c>
      <c r="AT242" s="5">
        <f>[1]Results!AW362</f>
        <v>26.756352190000001</v>
      </c>
      <c r="AU242" s="5">
        <f>[1]Results!AX362</f>
        <v>26.898184860000001</v>
      </c>
      <c r="AV242" s="5">
        <f>[1]Results!AY362</f>
        <v>27.041541170000002</v>
      </c>
      <c r="AW242" s="5">
        <f>[1]Results!AZ362</f>
        <v>27.186925949999999</v>
      </c>
      <c r="AX242" s="5">
        <f>[1]Results!BA362</f>
        <v>27.334548699999999</v>
      </c>
      <c r="AY242" s="5">
        <f>[1]Results!BB362</f>
        <v>27.484539469999998</v>
      </c>
      <c r="AZ242" s="5">
        <f>[1]Results!BC362</f>
        <v>27.637001659999999</v>
      </c>
      <c r="BA242" s="5">
        <f>[1]Results!BD362</f>
        <v>27.79203596</v>
      </c>
      <c r="BB242" s="5">
        <f>[1]Results!BE362</f>
        <v>29.57035072</v>
      </c>
      <c r="BC242" s="5">
        <f>[1]Results!BF362</f>
        <v>29.775512519999999</v>
      </c>
      <c r="BD242" s="5">
        <f>[1]Results!BG362</f>
        <v>29.98238898</v>
      </c>
      <c r="BE242" s="5">
        <f>[1]Results!BH362</f>
        <v>30.191121769999999</v>
      </c>
      <c r="BF242" s="5">
        <f>[1]Results!BI362</f>
        <v>30.401872050000001</v>
      </c>
    </row>
    <row r="244" spans="1:58" x14ac:dyDescent="0.35">
      <c r="A244" s="12" t="s">
        <v>43</v>
      </c>
      <c r="B244" t="s">
        <v>26</v>
      </c>
      <c r="C244" s="5">
        <f>C245+C246+C247+C248</f>
        <v>98.023964293000006</v>
      </c>
      <c r="D244" s="5">
        <f t="shared" ref="D244:AL244" si="135">D245+D246+D247+D248</f>
        <v>99.171189542999997</v>
      </c>
      <c r="E244" s="5">
        <f t="shared" si="135"/>
        <v>100.42206186200001</v>
      </c>
      <c r="F244" s="5">
        <f t="shared" si="135"/>
        <v>101.78541329000001</v>
      </c>
      <c r="G244" s="5">
        <f t="shared" si="135"/>
        <v>103.262534618</v>
      </c>
      <c r="H244" s="5">
        <f t="shared" si="135"/>
        <v>104.84531681499999</v>
      </c>
      <c r="I244" s="5">
        <f t="shared" si="135"/>
        <v>106.457062523</v>
      </c>
      <c r="J244" s="5">
        <f t="shared" si="135"/>
        <v>108.11998807800001</v>
      </c>
      <c r="K244" s="5">
        <f t="shared" si="135"/>
        <v>109.83043148</v>
      </c>
      <c r="L244" s="5">
        <f t="shared" si="135"/>
        <v>111.58132749799999</v>
      </c>
      <c r="M244" s="5">
        <f t="shared" si="135"/>
        <v>113.478143909</v>
      </c>
      <c r="N244" s="5">
        <f t="shared" si="135"/>
        <v>115.33931767300001</v>
      </c>
      <c r="O244" s="5">
        <f t="shared" si="135"/>
        <v>117.208540044</v>
      </c>
      <c r="P244" s="5">
        <f t="shared" si="135"/>
        <v>119.091829312</v>
      </c>
      <c r="Q244" s="5">
        <f t="shared" si="135"/>
        <v>120.989224107</v>
      </c>
      <c r="R244" s="5">
        <f t="shared" si="135"/>
        <v>122.900479279</v>
      </c>
      <c r="S244" s="5">
        <f t="shared" si="135"/>
        <v>124.82596551399999</v>
      </c>
      <c r="T244" s="5">
        <f t="shared" si="135"/>
        <v>126.76666919500001</v>
      </c>
      <c r="U244" s="5">
        <f t="shared" si="135"/>
        <v>128.72403933800001</v>
      </c>
      <c r="V244" s="5">
        <f t="shared" si="135"/>
        <v>130.69983029799999</v>
      </c>
      <c r="W244" s="5">
        <f t="shared" si="135"/>
        <v>132.61254406200001</v>
      </c>
      <c r="X244" s="5">
        <f t="shared" si="135"/>
        <v>134.595649984</v>
      </c>
      <c r="Y244" s="5">
        <f t="shared" si="135"/>
        <v>136.61572727999999</v>
      </c>
      <c r="Z244" s="5">
        <f t="shared" si="135"/>
        <v>138.66812300099997</v>
      </c>
      <c r="AA244" s="5">
        <f t="shared" si="135"/>
        <v>140.75315357800002</v>
      </c>
      <c r="AB244" s="5">
        <f t="shared" si="135"/>
        <v>142.63061656799999</v>
      </c>
      <c r="AC244" s="5">
        <f t="shared" si="135"/>
        <v>144.566692308</v>
      </c>
      <c r="AD244" s="5">
        <f t="shared" si="135"/>
        <v>146.52419220100001</v>
      </c>
      <c r="AE244" s="5">
        <f t="shared" si="135"/>
        <v>148.50138986500002</v>
      </c>
      <c r="AF244" s="5">
        <f t="shared" si="135"/>
        <v>150.502300311</v>
      </c>
      <c r="AG244" s="5">
        <f t="shared" si="135"/>
        <v>152.53111218699999</v>
      </c>
      <c r="AH244" s="5">
        <f t="shared" si="135"/>
        <v>154.591141975</v>
      </c>
      <c r="AI244" s="5">
        <f t="shared" si="135"/>
        <v>156.684723053</v>
      </c>
      <c r="AJ244" s="5">
        <f t="shared" si="135"/>
        <v>158.81331738900002</v>
      </c>
      <c r="AK244" s="5">
        <f t="shared" si="135"/>
        <v>160.977684192</v>
      </c>
      <c r="AL244" s="5">
        <f t="shared" si="135"/>
        <v>163.178054691</v>
      </c>
      <c r="AM244" s="5">
        <f t="shared" ref="AM244:BC244" si="136">AM245+AM246+AM247+AM248</f>
        <v>165.35580745300001</v>
      </c>
      <c r="AN244" s="5">
        <f t="shared" si="136"/>
        <v>167.543536808</v>
      </c>
      <c r="AO244" s="5">
        <f t="shared" si="136"/>
        <v>169.74932132500001</v>
      </c>
      <c r="AP244" s="5">
        <f t="shared" si="136"/>
        <v>171.976701792</v>
      </c>
      <c r="AQ244" s="5">
        <f t="shared" si="136"/>
        <v>174.22822514700002</v>
      </c>
      <c r="AR244" s="5">
        <f t="shared" si="136"/>
        <v>176.50600503499999</v>
      </c>
      <c r="AS244" s="5">
        <f t="shared" si="136"/>
        <v>178.81177331000001</v>
      </c>
      <c r="AT244" s="5">
        <f t="shared" si="136"/>
        <v>181.146882175</v>
      </c>
      <c r="AU244" s="5">
        <f t="shared" si="136"/>
        <v>183.51233414199999</v>
      </c>
      <c r="AV244" s="5">
        <f t="shared" si="136"/>
        <v>185.908842862</v>
      </c>
      <c r="AW244" s="5">
        <f t="shared" si="136"/>
        <v>188.34224473</v>
      </c>
      <c r="AX244" s="5">
        <f t="shared" si="136"/>
        <v>190.809974447</v>
      </c>
      <c r="AY244" s="5">
        <f t="shared" si="136"/>
        <v>193.31160424800001</v>
      </c>
      <c r="AZ244" s="5">
        <f t="shared" si="136"/>
        <v>195.846899057</v>
      </c>
      <c r="BA244" s="5">
        <f t="shared" si="136"/>
        <v>198.41565627</v>
      </c>
      <c r="BB244" s="5">
        <f t="shared" si="136"/>
        <v>219.62979436000001</v>
      </c>
      <c r="BC244" s="5">
        <f t="shared" si="136"/>
        <v>223.28244995</v>
      </c>
      <c r="BD244" s="5">
        <f t="shared" ref="BD244:BF244" si="137">BD245+BD246+BD247+BD248</f>
        <v>226.99166742999998</v>
      </c>
      <c r="BE244" s="5">
        <f t="shared" si="137"/>
        <v>230.75868786000001</v>
      </c>
      <c r="BF244" s="5">
        <f t="shared" si="137"/>
        <v>234.58481332999997</v>
      </c>
    </row>
    <row r="245" spans="1:58" x14ac:dyDescent="0.35">
      <c r="A245" t="s">
        <v>38</v>
      </c>
      <c r="B245" t="s">
        <v>7</v>
      </c>
      <c r="C245" s="5">
        <f>[1]Results!F439</f>
        <v>4.8967256030000001</v>
      </c>
      <c r="D245" s="5">
        <f>[1]Results!G439</f>
        <v>4.9371381330000004</v>
      </c>
      <c r="E245" s="5">
        <f>[1]Results!H439</f>
        <v>4.9821183519999996</v>
      </c>
      <c r="F245" s="5">
        <f>[1]Results!I439</f>
        <v>5.0356536399999996</v>
      </c>
      <c r="G245" s="5">
        <f>[1]Results!J439</f>
        <v>5.0980337279999999</v>
      </c>
      <c r="H245" s="5">
        <f>[1]Results!K439</f>
        <v>5.1684125649999997</v>
      </c>
      <c r="I245" s="5">
        <f>[1]Results!L439</f>
        <v>5.2427701229999997</v>
      </c>
      <c r="J245" s="5">
        <f>[1]Results!M439</f>
        <v>5.3211436980000002</v>
      </c>
      <c r="K245" s="5">
        <f>[1]Results!N439</f>
        <v>5.40296237</v>
      </c>
      <c r="L245" s="5">
        <f>[1]Results!O439</f>
        <v>5.4876413079999997</v>
      </c>
      <c r="M245" s="5">
        <f>[1]Results!P439</f>
        <v>5.579664009</v>
      </c>
      <c r="N245" s="5">
        <f>[1]Results!Q439</f>
        <v>5.671520213</v>
      </c>
      <c r="O245" s="5">
        <f>[1]Results!R439</f>
        <v>5.7642180239999998</v>
      </c>
      <c r="P245" s="5">
        <f>[1]Results!S439</f>
        <v>5.8578144620000003</v>
      </c>
      <c r="Q245" s="5">
        <f>[1]Results!T439</f>
        <v>5.9522154670000003</v>
      </c>
      <c r="R245" s="5">
        <f>[1]Results!U439</f>
        <v>6.0473505789999997</v>
      </c>
      <c r="S245" s="5">
        <f>[1]Results!V439</f>
        <v>6.1431971140000003</v>
      </c>
      <c r="T245" s="5">
        <f>[1]Results!W439</f>
        <v>6.2397721449999999</v>
      </c>
      <c r="U245" s="5">
        <f>[1]Results!X439</f>
        <v>6.3371204580000002</v>
      </c>
      <c r="V245" s="5">
        <f>[1]Results!Y439</f>
        <v>6.4353045179999997</v>
      </c>
      <c r="W245" s="5">
        <f>[1]Results!Z439</f>
        <v>6.5306901320000001</v>
      </c>
      <c r="X245" s="5">
        <f>[1]Results!AA439</f>
        <v>6.6286546739999999</v>
      </c>
      <c r="Y245" s="5">
        <f>[1]Results!AB439</f>
        <v>6.7283058200000001</v>
      </c>
      <c r="Z245" s="5">
        <f>[1]Results!AC439</f>
        <v>6.8295040910000004</v>
      </c>
      <c r="AA245" s="5">
        <f>[1]Results!AD439</f>
        <v>6.9322594579999999</v>
      </c>
      <c r="AB245" s="5">
        <f>[1]Results!AE439</f>
        <v>7.0258803680000002</v>
      </c>
      <c r="AC245" s="5">
        <f>[1]Results!AF439</f>
        <v>7.1206103580000004</v>
      </c>
      <c r="AD245" s="5">
        <f>[1]Results!AG439</f>
        <v>7.2157772409999996</v>
      </c>
      <c r="AE245" s="5">
        <f>[1]Results!AH439</f>
        <v>7.3115759450000004</v>
      </c>
      <c r="AF245" s="5">
        <f>[1]Results!AI439</f>
        <v>7.408346001</v>
      </c>
      <c r="AG245" s="5">
        <f>[1]Results!AJ439</f>
        <v>7.5063911970000001</v>
      </c>
      <c r="AH245" s="5">
        <f>[1]Results!AK439</f>
        <v>7.6059430250000002</v>
      </c>
      <c r="AI245" s="5">
        <f>[1]Results!AL439</f>
        <v>7.707162963</v>
      </c>
      <c r="AJ245" s="5">
        <f>[1]Results!AM439</f>
        <v>7.8101549290000003</v>
      </c>
      <c r="AK245" s="5">
        <f>[1]Results!AN439</f>
        <v>7.9149793620000004</v>
      </c>
      <c r="AL245" s="5">
        <f>[1]Results!AO439</f>
        <v>8.0216660409999996</v>
      </c>
      <c r="AM245" s="5">
        <f>[1]Results!AP439</f>
        <v>8.1276290430000007</v>
      </c>
      <c r="AN245" s="5">
        <f>[1]Results!AQ439</f>
        <v>8.2339534580000002</v>
      </c>
      <c r="AO245" s="5">
        <f>[1]Results!AR439</f>
        <v>8.3410495650000005</v>
      </c>
      <c r="AP245" s="5">
        <f>[1]Results!AS439</f>
        <v>8.4491758620000006</v>
      </c>
      <c r="AQ245" s="5">
        <f>[1]Results!AT439</f>
        <v>8.5585446770000004</v>
      </c>
      <c r="AR245" s="5">
        <f>[1]Results!AU439</f>
        <v>8.6693354649999996</v>
      </c>
      <c r="AS245" s="5">
        <f>[1]Results!AV439</f>
        <v>8.7816934199999999</v>
      </c>
      <c r="AT245" s="5">
        <f>[1]Results!AW439</f>
        <v>8.8957294650000005</v>
      </c>
      <c r="AU245" s="5">
        <f>[1]Results!AX439</f>
        <v>9.0115234819999994</v>
      </c>
      <c r="AV245" s="5">
        <f>[1]Results!AY439</f>
        <v>9.1291295219999995</v>
      </c>
      <c r="AW245" s="5">
        <f>[1]Results!AZ439</f>
        <v>9.2488160500000003</v>
      </c>
      <c r="AX245" s="5">
        <f>[1]Results!BA439</f>
        <v>9.3705138570000006</v>
      </c>
      <c r="AY245" s="5">
        <f>[1]Results!BB439</f>
        <v>9.4942086480000007</v>
      </c>
      <c r="AZ245" s="5">
        <f>[1]Results!BC439</f>
        <v>9.6198788670000006</v>
      </c>
      <c r="BA245" s="5">
        <f>[1]Results!BD439</f>
        <v>9.7475017400000006</v>
      </c>
      <c r="BB245" s="5">
        <f>[1]Results!BE439</f>
        <v>10.78471672</v>
      </c>
      <c r="BC245" s="5">
        <f>[1]Results!BF439</f>
        <v>10.958941790000001</v>
      </c>
      <c r="BD245" s="5">
        <f>[1]Results!BG439</f>
        <v>11.13593225</v>
      </c>
      <c r="BE245" s="5">
        <f>[1]Results!BH439</f>
        <v>11.315761910000001</v>
      </c>
      <c r="BF245" s="5">
        <f>[1]Results!BI439</f>
        <v>11.498509670000001</v>
      </c>
    </row>
    <row r="246" spans="1:58" x14ac:dyDescent="0.35">
      <c r="B246" t="s">
        <v>30</v>
      </c>
      <c r="C246" s="5">
        <f>[1]Results!F451</f>
        <v>44.244008659999999</v>
      </c>
      <c r="D246" s="5">
        <f>[1]Results!G451</f>
        <v>44.769815770000001</v>
      </c>
      <c r="E246" s="5">
        <f>[1]Results!H451</f>
        <v>45.353067879999998</v>
      </c>
      <c r="F246" s="5">
        <f>[1]Results!I451</f>
        <v>45.991688310000001</v>
      </c>
      <c r="G246" s="5">
        <f>[1]Results!J451</f>
        <v>46.683978740000001</v>
      </c>
      <c r="H246" s="5">
        <f>[1]Results!K451</f>
        <v>47.42537514</v>
      </c>
      <c r="I246" s="5">
        <f>[1]Results!L451</f>
        <v>48.179204900000002</v>
      </c>
      <c r="J246" s="5">
        <f>[1]Results!M451</f>
        <v>48.95718368</v>
      </c>
      <c r="K246" s="5">
        <f>[1]Results!N451</f>
        <v>49.757438260000001</v>
      </c>
      <c r="L246" s="5">
        <f>[1]Results!O451</f>
        <v>50.576470350000001</v>
      </c>
      <c r="M246" s="5">
        <f>[1]Results!P451</f>
        <v>51.464484419999998</v>
      </c>
      <c r="N246" s="5">
        <f>[1]Results!Q451</f>
        <v>52.333025550000002</v>
      </c>
      <c r="O246" s="5">
        <f>[1]Results!R451</f>
        <v>53.205418080000001</v>
      </c>
      <c r="P246" s="5">
        <f>[1]Results!S451</f>
        <v>54.084782150000002</v>
      </c>
      <c r="Q246" s="5">
        <f>[1]Results!T451</f>
        <v>54.971196990000003</v>
      </c>
      <c r="R246" s="5">
        <f>[1]Results!U451</f>
        <v>55.864593300000003</v>
      </c>
      <c r="S246" s="5">
        <f>[1]Results!V451</f>
        <v>56.765192839999997</v>
      </c>
      <c r="T246" s="5">
        <f>[1]Results!W451</f>
        <v>57.673515649999999</v>
      </c>
      <c r="U246" s="5">
        <f>[1]Results!X451</f>
        <v>58.590312820000001</v>
      </c>
      <c r="V246" s="5">
        <f>[1]Results!Y451</f>
        <v>59.516491950000002</v>
      </c>
      <c r="W246" s="5">
        <f>[1]Results!Z451</f>
        <v>60.41330026</v>
      </c>
      <c r="X246" s="5">
        <f>[1]Results!AA451</f>
        <v>61.345848259999997</v>
      </c>
      <c r="Y246" s="5">
        <f>[1]Results!AB451</f>
        <v>62.296504050000003</v>
      </c>
      <c r="Z246" s="5">
        <f>[1]Results!AC451</f>
        <v>63.263019239999998</v>
      </c>
      <c r="AA246" s="5">
        <f>[1]Results!AD451</f>
        <v>64.245650560000001</v>
      </c>
      <c r="AB246" s="5">
        <f>[1]Results!AE451</f>
        <v>65.130067499999996</v>
      </c>
      <c r="AC246" s="5">
        <f>[1]Results!AF451</f>
        <v>66.047222970000007</v>
      </c>
      <c r="AD246" s="5">
        <f>[1]Results!AG451</f>
        <v>66.976295699999994</v>
      </c>
      <c r="AE246" s="5">
        <f>[1]Results!AH451</f>
        <v>67.915770960000003</v>
      </c>
      <c r="AF246" s="5">
        <f>[1]Results!AI451</f>
        <v>68.86715504</v>
      </c>
      <c r="AG246" s="5">
        <f>[1]Results!AJ451</f>
        <v>69.832134859999996</v>
      </c>
      <c r="AH246" s="5">
        <f>[1]Results!AK451</f>
        <v>70.81206444</v>
      </c>
      <c r="AI246" s="5">
        <f>[1]Results!AL451</f>
        <v>71.807892319999993</v>
      </c>
      <c r="AJ246" s="5">
        <f>[1]Results!AM451</f>
        <v>72.820190330000003</v>
      </c>
      <c r="AK246" s="5">
        <f>[1]Results!AN451</f>
        <v>73.84921301</v>
      </c>
      <c r="AL246" s="5">
        <f>[1]Results!AO451</f>
        <v>74.894966819999993</v>
      </c>
      <c r="AM246" s="5">
        <f>[1]Results!AP451</f>
        <v>75.929390170000005</v>
      </c>
      <c r="AN246" s="5">
        <f>[1]Results!AQ451</f>
        <v>76.968864969999998</v>
      </c>
      <c r="AO246" s="5">
        <f>[1]Results!AR451</f>
        <v>78.016891340000001</v>
      </c>
      <c r="AP246" s="5">
        <f>[1]Results!AS451</f>
        <v>79.07475067</v>
      </c>
      <c r="AQ246" s="5">
        <f>[1]Results!AT451</f>
        <v>80.143301100000002</v>
      </c>
      <c r="AR246" s="5">
        <f>[1]Results!AU451</f>
        <v>81.22325721</v>
      </c>
      <c r="AS246" s="5">
        <f>[1]Results!AV451</f>
        <v>82.31521712</v>
      </c>
      <c r="AT246" s="5">
        <f>[1]Results!AW451</f>
        <v>83.419659280000005</v>
      </c>
      <c r="AU246" s="5">
        <f>[1]Results!AX451</f>
        <v>84.536947420000004</v>
      </c>
      <c r="AV246" s="5">
        <f>[1]Results!AY451</f>
        <v>85.667348419999996</v>
      </c>
      <c r="AW246" s="5">
        <f>[1]Results!AZ451</f>
        <v>86.813606919999998</v>
      </c>
      <c r="AX246" s="5">
        <f>[1]Results!BA451</f>
        <v>87.974380519999997</v>
      </c>
      <c r="AY246" s="5">
        <f>[1]Results!BB451</f>
        <v>89.149470129999997</v>
      </c>
      <c r="AZ246" s="5">
        <f>[1]Results!BC451</f>
        <v>90.338799120000004</v>
      </c>
      <c r="BA246" s="5">
        <f>[1]Results!BD451</f>
        <v>91.542314689999998</v>
      </c>
      <c r="BB246" s="5">
        <f>[1]Results!BE451</f>
        <v>101.9694488</v>
      </c>
      <c r="BC246" s="5">
        <f>[1]Results!BF451</f>
        <v>103.7202384</v>
      </c>
      <c r="BD246" s="5">
        <f>[1]Results!BG451</f>
        <v>105.4971243</v>
      </c>
      <c r="BE246" s="5">
        <f>[1]Results!BH451</f>
        <v>107.30059749999999</v>
      </c>
      <c r="BF246" s="5">
        <f>[1]Results!BI451</f>
        <v>109.13117939999999</v>
      </c>
    </row>
    <row r="247" spans="1:58" x14ac:dyDescent="0.35">
      <c r="B247" t="s">
        <v>28</v>
      </c>
      <c r="C247" s="5">
        <f>[1]Results!F427</f>
        <v>26.37987115</v>
      </c>
      <c r="D247" s="5">
        <f>[1]Results!G427</f>
        <v>26.68954651</v>
      </c>
      <c r="E247" s="5">
        <f>[1]Results!H427</f>
        <v>27.01817612</v>
      </c>
      <c r="F247" s="5">
        <f>[1]Results!I427</f>
        <v>27.368658150000002</v>
      </c>
      <c r="G247" s="5">
        <f>[1]Results!J427</f>
        <v>27.741209659999999</v>
      </c>
      <c r="H247" s="5">
        <f>[1]Results!K427</f>
        <v>28.13400811</v>
      </c>
      <c r="I247" s="5">
        <f>[1]Results!L427</f>
        <v>28.528733840000001</v>
      </c>
      <c r="J247" s="5">
        <f>[1]Results!M427</f>
        <v>28.931914160000002</v>
      </c>
      <c r="K247" s="5">
        <f>[1]Results!N427</f>
        <v>29.343819939999999</v>
      </c>
      <c r="L247" s="5">
        <f>[1]Results!O427</f>
        <v>29.76361064</v>
      </c>
      <c r="M247" s="5">
        <f>[1]Results!P427</f>
        <v>30.217983719999999</v>
      </c>
      <c r="N247" s="5">
        <f>[1]Results!Q427</f>
        <v>30.662375650000001</v>
      </c>
      <c r="O247" s="5">
        <f>[1]Results!R427</f>
        <v>31.10769329</v>
      </c>
      <c r="P247" s="5">
        <f>[1]Results!S427</f>
        <v>31.55592957</v>
      </c>
      <c r="Q247" s="5">
        <f>[1]Results!T427</f>
        <v>32.007439159999997</v>
      </c>
      <c r="R247" s="5">
        <f>[1]Results!U427</f>
        <v>32.462404929999998</v>
      </c>
      <c r="S247" s="5">
        <f>[1]Results!V427</f>
        <v>32.921099069999997</v>
      </c>
      <c r="T247" s="5">
        <f>[1]Results!W427</f>
        <v>33.383893200000003</v>
      </c>
      <c r="U247" s="5">
        <f>[1]Results!X427</f>
        <v>33.851222610000001</v>
      </c>
      <c r="V247" s="5">
        <f>[1]Results!Y427</f>
        <v>34.323550650000001</v>
      </c>
      <c r="W247" s="5">
        <f>[1]Results!Z427</f>
        <v>34.780851679999998</v>
      </c>
      <c r="X247" s="5">
        <f>[1]Results!AA427</f>
        <v>35.256059579999999</v>
      </c>
      <c r="Y247" s="5">
        <f>[1]Results!AB427</f>
        <v>35.741056270000001</v>
      </c>
      <c r="Z247" s="5">
        <f>[1]Results!AC427</f>
        <v>36.234440229999997</v>
      </c>
      <c r="AA247" s="5">
        <f>[1]Results!AD427</f>
        <v>36.736105360000003</v>
      </c>
      <c r="AB247" s="5">
        <f>[1]Results!AE427</f>
        <v>37.186976520000002</v>
      </c>
      <c r="AC247" s="5">
        <f>[1]Results!AF427</f>
        <v>37.652840159999997</v>
      </c>
      <c r="AD247" s="5">
        <f>[1]Results!AG427</f>
        <v>38.125171440000003</v>
      </c>
      <c r="AE247" s="5">
        <f>[1]Results!AH427</f>
        <v>38.603413750000001</v>
      </c>
      <c r="AF247" s="5">
        <f>[1]Results!AI427</f>
        <v>39.088421289999999</v>
      </c>
      <c r="AG247" s="5">
        <f>[1]Results!AJ427</f>
        <v>39.581094669999999</v>
      </c>
      <c r="AH247" s="5">
        <f>[1]Results!AK427</f>
        <v>40.082111329999996</v>
      </c>
      <c r="AI247" s="5">
        <f>[1]Results!AL427</f>
        <v>40.591904810000003</v>
      </c>
      <c r="AJ247" s="5">
        <f>[1]Results!AM427</f>
        <v>41.110705840000001</v>
      </c>
      <c r="AK247" s="5">
        <f>[1]Results!AN427</f>
        <v>41.638596270000001</v>
      </c>
      <c r="AL247" s="5">
        <f>[1]Results!AO427</f>
        <v>42.175559499999999</v>
      </c>
      <c r="AM247" s="5">
        <f>[1]Results!AP427</f>
        <v>42.707177559999998</v>
      </c>
      <c r="AN247" s="5">
        <f>[1]Results!AQ427</f>
        <v>43.241588370000002</v>
      </c>
      <c r="AO247" s="5">
        <f>[1]Results!AR427</f>
        <v>43.781027960000003</v>
      </c>
      <c r="AP247" s="5">
        <f>[1]Results!AS427</f>
        <v>44.326505840000003</v>
      </c>
      <c r="AQ247" s="5">
        <f>[1]Results!AT427</f>
        <v>44.878725420000002</v>
      </c>
      <c r="AR247" s="5">
        <f>[1]Results!AU427</f>
        <v>45.438246919999997</v>
      </c>
      <c r="AS247" s="5">
        <f>[1]Results!AV427</f>
        <v>46.005509140000001</v>
      </c>
      <c r="AT247" s="5">
        <f>[1]Results!AW427</f>
        <v>46.580835890000003</v>
      </c>
      <c r="AU247" s="5">
        <f>[1]Results!AX427</f>
        <v>47.164449449999999</v>
      </c>
      <c r="AV247" s="5">
        <f>[1]Results!AY427</f>
        <v>47.75649129</v>
      </c>
      <c r="AW247" s="5">
        <f>[1]Results!AZ427</f>
        <v>48.358352060000001</v>
      </c>
      <c r="AX247" s="5">
        <f>[1]Results!BA427</f>
        <v>48.969339869999999</v>
      </c>
      <c r="AY247" s="5">
        <f>[1]Results!BB427</f>
        <v>49.58928006</v>
      </c>
      <c r="AZ247" s="5">
        <f>[1]Results!BC427</f>
        <v>50.218076879999998</v>
      </c>
      <c r="BA247" s="5">
        <f>[1]Results!BD427</f>
        <v>50.855660749999998</v>
      </c>
      <c r="BB247" s="5">
        <f>[1]Results!BE427</f>
        <v>55.493589890000003</v>
      </c>
      <c r="BC247" s="5">
        <f>[1]Results!BF427</f>
        <v>56.373474880000003</v>
      </c>
      <c r="BD247" s="5">
        <f>[1]Results!BG427</f>
        <v>57.26841727</v>
      </c>
      <c r="BE247" s="5">
        <f>[1]Results!BH427</f>
        <v>58.178734579999997</v>
      </c>
      <c r="BF247" s="5">
        <f>[1]Results!BI427</f>
        <v>59.104750869999997</v>
      </c>
    </row>
    <row r="248" spans="1:58" x14ac:dyDescent="0.35">
      <c r="B248" t="s">
        <v>10</v>
      </c>
      <c r="C248" s="5">
        <f>[1]Results!F463</f>
        <v>22.50335888</v>
      </c>
      <c r="D248" s="5">
        <f>[1]Results!G463</f>
        <v>22.774689129999999</v>
      </c>
      <c r="E248" s="5">
        <f>[1]Results!H463</f>
        <v>23.068699509999998</v>
      </c>
      <c r="F248" s="5">
        <f>[1]Results!I463</f>
        <v>23.389413189999999</v>
      </c>
      <c r="G248" s="5">
        <f>[1]Results!J463</f>
        <v>23.73931249</v>
      </c>
      <c r="H248" s="5">
        <f>[1]Results!K463</f>
        <v>24.117521</v>
      </c>
      <c r="I248" s="5">
        <f>[1]Results!L463</f>
        <v>24.506353659999998</v>
      </c>
      <c r="J248" s="5">
        <f>[1]Results!M463</f>
        <v>24.90974654</v>
      </c>
      <c r="K248" s="5">
        <f>[1]Results!N463</f>
        <v>25.32621091</v>
      </c>
      <c r="L248" s="5">
        <f>[1]Results!O463</f>
        <v>25.753605199999999</v>
      </c>
      <c r="M248" s="5">
        <f>[1]Results!P463</f>
        <v>26.216011760000001</v>
      </c>
      <c r="N248" s="5">
        <f>[1]Results!Q463</f>
        <v>26.672396259999999</v>
      </c>
      <c r="O248" s="5">
        <f>[1]Results!R463</f>
        <v>27.13121065</v>
      </c>
      <c r="P248" s="5">
        <f>[1]Results!S463</f>
        <v>27.593303129999999</v>
      </c>
      <c r="Q248" s="5">
        <f>[1]Results!T463</f>
        <v>28.05837249</v>
      </c>
      <c r="R248" s="5">
        <f>[1]Results!U463</f>
        <v>28.526130469999998</v>
      </c>
      <c r="S248" s="5">
        <f>[1]Results!V463</f>
        <v>28.996476489999999</v>
      </c>
      <c r="T248" s="5">
        <f>[1]Results!W463</f>
        <v>29.469488200000001</v>
      </c>
      <c r="U248" s="5">
        <f>[1]Results!X463</f>
        <v>29.945383450000001</v>
      </c>
      <c r="V248" s="5">
        <f>[1]Results!Y463</f>
        <v>30.424483179999999</v>
      </c>
      <c r="W248" s="5">
        <f>[1]Results!Z463</f>
        <v>30.88770199</v>
      </c>
      <c r="X248" s="5">
        <f>[1]Results!AA463</f>
        <v>31.365087469999999</v>
      </c>
      <c r="Y248" s="5">
        <f>[1]Results!AB463</f>
        <v>31.849861140000002</v>
      </c>
      <c r="Z248" s="5">
        <f>[1]Results!AC463</f>
        <v>32.341159439999998</v>
      </c>
      <c r="AA248" s="5">
        <f>[1]Results!AD463</f>
        <v>32.839138200000001</v>
      </c>
      <c r="AB248" s="5">
        <f>[1]Results!AE463</f>
        <v>33.287692180000001</v>
      </c>
      <c r="AC248" s="5">
        <f>[1]Results!AF463</f>
        <v>33.746018820000003</v>
      </c>
      <c r="AD248" s="5">
        <f>[1]Results!AG463</f>
        <v>34.206947820000003</v>
      </c>
      <c r="AE248" s="5">
        <f>[1]Results!AH463</f>
        <v>34.670629210000001</v>
      </c>
      <c r="AF248" s="5">
        <f>[1]Results!AI463</f>
        <v>35.138377980000001</v>
      </c>
      <c r="AG248" s="5">
        <f>[1]Results!AJ463</f>
        <v>35.611491460000003</v>
      </c>
      <c r="AH248" s="5">
        <f>[1]Results!AK463</f>
        <v>36.091023180000001</v>
      </c>
      <c r="AI248" s="5">
        <f>[1]Results!AL463</f>
        <v>36.577762960000001</v>
      </c>
      <c r="AJ248" s="5">
        <f>[1]Results!AM463</f>
        <v>37.072266290000002</v>
      </c>
      <c r="AK248" s="5">
        <f>[1]Results!AN463</f>
        <v>37.574895550000001</v>
      </c>
      <c r="AL248" s="5">
        <f>[1]Results!AO463</f>
        <v>38.085862329999998</v>
      </c>
      <c r="AM248" s="5">
        <f>[1]Results!AP463</f>
        <v>38.591610680000002</v>
      </c>
      <c r="AN248" s="5">
        <f>[1]Results!AQ463</f>
        <v>39.099130010000003</v>
      </c>
      <c r="AO248" s="5">
        <f>[1]Results!AR463</f>
        <v>39.610352460000001</v>
      </c>
      <c r="AP248" s="5">
        <f>[1]Results!AS463</f>
        <v>40.12626942</v>
      </c>
      <c r="AQ248" s="5">
        <f>[1]Results!AT463</f>
        <v>40.647653949999999</v>
      </c>
      <c r="AR248" s="5">
        <f>[1]Results!AU463</f>
        <v>41.175165440000001</v>
      </c>
      <c r="AS248" s="5">
        <f>[1]Results!AV463</f>
        <v>41.709353630000003</v>
      </c>
      <c r="AT248" s="5">
        <f>[1]Results!AW463</f>
        <v>42.250657539999999</v>
      </c>
      <c r="AU248" s="5">
        <f>[1]Results!AX463</f>
        <v>42.799413790000003</v>
      </c>
      <c r="AV248" s="5">
        <f>[1]Results!AY463</f>
        <v>43.355873629999998</v>
      </c>
      <c r="AW248" s="5">
        <f>[1]Results!AZ463</f>
        <v>43.921469700000003</v>
      </c>
      <c r="AX248" s="5">
        <f>[1]Results!BA463</f>
        <v>44.4957402</v>
      </c>
      <c r="AY248" s="5">
        <f>[1]Results!BB463</f>
        <v>45.07864541</v>
      </c>
      <c r="AZ248" s="5">
        <f>[1]Results!BC463</f>
        <v>45.670144190000002</v>
      </c>
      <c r="BA248" s="5">
        <f>[1]Results!BD463</f>
        <v>46.270179089999999</v>
      </c>
      <c r="BB248" s="5">
        <f>[1]Results!BE463</f>
        <v>51.382038950000002</v>
      </c>
      <c r="BC248" s="5">
        <f>[1]Results!BF463</f>
        <v>52.22979488</v>
      </c>
      <c r="BD248" s="5">
        <f>[1]Results!BG463</f>
        <v>53.09019361</v>
      </c>
      <c r="BE248" s="5">
        <f>[1]Results!BH463</f>
        <v>53.963593869999997</v>
      </c>
      <c r="BF248" s="5">
        <f>[1]Results!BI463</f>
        <v>54.850373390000001</v>
      </c>
    </row>
    <row r="249" spans="1:58" x14ac:dyDescent="0.35">
      <c r="B249" t="s">
        <v>25</v>
      </c>
      <c r="C249" s="5">
        <f>[1]Results!F414</f>
        <v>64.301440170000006</v>
      </c>
      <c r="D249" s="5">
        <f>[1]Results!G414</f>
        <v>64.244438369999997</v>
      </c>
      <c r="E249" s="5">
        <f>[1]Results!H414</f>
        <v>63.979054079999997</v>
      </c>
      <c r="F249" s="5">
        <f>[1]Results!I414</f>
        <v>63.707653290000003</v>
      </c>
      <c r="G249" s="5">
        <f>[1]Results!J414</f>
        <v>63.482470319999997</v>
      </c>
      <c r="H249" s="5">
        <f>[1]Results!K414</f>
        <v>63.33626314</v>
      </c>
      <c r="I249" s="5">
        <f>[1]Results!L414</f>
        <v>63.253989879999999</v>
      </c>
      <c r="J249" s="5">
        <f>[1]Results!M414</f>
        <v>63.230666929999998</v>
      </c>
      <c r="K249" s="5">
        <f>[1]Results!N414</f>
        <v>63.252706680000003</v>
      </c>
      <c r="L249" s="5">
        <f>[1]Results!O414</f>
        <v>63.306551370000001</v>
      </c>
      <c r="M249" s="5">
        <f>[1]Results!P414</f>
        <v>63.411263249999998</v>
      </c>
      <c r="N249" s="5">
        <f>[1]Results!Q414</f>
        <v>63.51618208</v>
      </c>
      <c r="O249" s="5">
        <f>[1]Results!R414</f>
        <v>63.624458619999999</v>
      </c>
      <c r="P249" s="5">
        <f>[1]Results!S414</f>
        <v>63.736656089999997</v>
      </c>
      <c r="Q249" s="5">
        <f>[1]Results!T414</f>
        <v>63.852380830000001</v>
      </c>
      <c r="R249" s="5">
        <f>[1]Results!U414</f>
        <v>63.970976999999998</v>
      </c>
      <c r="S249" s="5">
        <f>[1]Results!V414</f>
        <v>64.091795379999994</v>
      </c>
      <c r="T249" s="5">
        <f>[1]Results!W414</f>
        <v>64.214278669999999</v>
      </c>
      <c r="U249" s="5">
        <f>[1]Results!X414</f>
        <v>64.337973910000002</v>
      </c>
      <c r="V249" s="5">
        <f>[1]Results!Y414</f>
        <v>64.462521330000001</v>
      </c>
      <c r="W249" s="5">
        <f>[1]Results!Z414</f>
        <v>64.568139380000005</v>
      </c>
      <c r="X249" s="5">
        <f>[1]Results!AA414</f>
        <v>64.683683700000003</v>
      </c>
      <c r="Y249" s="5">
        <f>[1]Results!AB414</f>
        <v>64.803930449999996</v>
      </c>
      <c r="Z249" s="5">
        <f>[1]Results!AC414</f>
        <v>64.926449009999999</v>
      </c>
      <c r="AA249" s="5">
        <f>[1]Results!AD414</f>
        <v>65.050136649999999</v>
      </c>
      <c r="AB249" s="5">
        <f>[1]Results!AE414</f>
        <v>65.121097649999996</v>
      </c>
      <c r="AC249" s="5">
        <f>[1]Results!AF414</f>
        <v>65.193553129999998</v>
      </c>
      <c r="AD249" s="5">
        <f>[1]Results!AG414</f>
        <v>65.265840030000007</v>
      </c>
      <c r="AE249" s="5">
        <f>[1]Results!AH414</f>
        <v>65.337381339999993</v>
      </c>
      <c r="AF249" s="5">
        <f>[1]Results!AI414</f>
        <v>65.407922540000001</v>
      </c>
      <c r="AG249" s="5">
        <f>[1]Results!AJ414</f>
        <v>65.477596669999997</v>
      </c>
      <c r="AH249" s="5">
        <f>[1]Results!AK414</f>
        <v>65.546739619999997</v>
      </c>
      <c r="AI249" s="5">
        <f>[1]Results!AL414</f>
        <v>65.615737949999996</v>
      </c>
      <c r="AJ249" s="5">
        <f>[1]Results!AM414</f>
        <v>65.684962479999996</v>
      </c>
      <c r="AK249" s="5">
        <f>[1]Results!AN414</f>
        <v>65.754746159999996</v>
      </c>
      <c r="AL249" s="5">
        <f>[1]Results!AO414</f>
        <v>65.825382390000001</v>
      </c>
      <c r="AM249" s="5">
        <f>[1]Results!AP414</f>
        <v>65.885647590000005</v>
      </c>
      <c r="AN249" s="5">
        <f>[1]Results!AQ414</f>
        <v>65.94129762</v>
      </c>
      <c r="AO249" s="5">
        <f>[1]Results!AR414</f>
        <v>65.995158489999994</v>
      </c>
      <c r="AP249" s="5">
        <f>[1]Results!AS414</f>
        <v>66.048711650000001</v>
      </c>
      <c r="AQ249" s="5">
        <f>[1]Results!AT414</f>
        <v>66.102831050000006</v>
      </c>
      <c r="AR249" s="5">
        <f>[1]Results!AU414</f>
        <v>66.158102880000001</v>
      </c>
      <c r="AS249" s="5">
        <f>[1]Results!AV414</f>
        <v>66.214952920000002</v>
      </c>
      <c r="AT249" s="5">
        <f>[1]Results!AW414</f>
        <v>66.273683399999996</v>
      </c>
      <c r="AU249" s="5">
        <f>[1]Results!AX414</f>
        <v>66.334417720000005</v>
      </c>
      <c r="AV249" s="5">
        <f>[1]Results!AY414</f>
        <v>66.396858870000003</v>
      </c>
      <c r="AW249" s="5">
        <f>[1]Results!AZ414</f>
        <v>66.460015330000004</v>
      </c>
      <c r="AX249" s="5">
        <f>[1]Results!BA414</f>
        <v>66.519687480000002</v>
      </c>
      <c r="AY249" s="5">
        <f>[1]Results!BB414</f>
        <v>66.572028009999997</v>
      </c>
      <c r="AZ249" s="5">
        <f>[1]Results!BC414</f>
        <v>66.623567429999994</v>
      </c>
      <c r="BA249" s="5">
        <f>[1]Results!BD414</f>
        <v>66.679879819999996</v>
      </c>
      <c r="BB249" s="5">
        <f>[1]Results!BE414</f>
        <v>66.181774820000001</v>
      </c>
      <c r="BC249" s="5">
        <f>[1]Results!BF414</f>
        <v>66.315964530000002</v>
      </c>
      <c r="BD249" s="5">
        <f>[1]Results!BG414</f>
        <v>66.452371409999998</v>
      </c>
      <c r="BE249" s="5">
        <f>[1]Results!BH414</f>
        <v>66.591310300000004</v>
      </c>
      <c r="BF249" s="5">
        <f>[1]Results!BI414</f>
        <v>66.732995119999998</v>
      </c>
    </row>
    <row r="250" spans="1:58" x14ac:dyDescent="0.35">
      <c r="B250" t="s">
        <v>47</v>
      </c>
      <c r="C250" s="5">
        <f>[1]Results!F415</f>
        <v>42.52087745</v>
      </c>
      <c r="D250" s="5">
        <f>[1]Results!G415</f>
        <v>42.741900170000001</v>
      </c>
      <c r="E250" s="5">
        <f>[1]Results!H415</f>
        <v>42.617083280000003</v>
      </c>
      <c r="F250" s="5">
        <f>[1]Results!I415</f>
        <v>42.393360109999996</v>
      </c>
      <c r="G250" s="5">
        <f>[1]Results!J415</f>
        <v>42.152352610000001</v>
      </c>
      <c r="H250" s="5">
        <f>[1]Results!K415</f>
        <v>41.945862579999996</v>
      </c>
      <c r="I250" s="5">
        <f>[1]Results!L415</f>
        <v>41.773744990000004</v>
      </c>
      <c r="J250" s="5">
        <f>[1]Results!M415</f>
        <v>41.639066790000001</v>
      </c>
      <c r="K250" s="5">
        <f>[1]Results!N415</f>
        <v>41.533635479999994</v>
      </c>
      <c r="L250" s="5">
        <f>[1]Results!O415</f>
        <v>41.447631289999997</v>
      </c>
      <c r="M250" s="5">
        <f>[1]Results!P415</f>
        <v>41.39838589</v>
      </c>
      <c r="N250" s="5">
        <f>[1]Results!Q415</f>
        <v>41.341999030000004</v>
      </c>
      <c r="O250" s="5">
        <f>[1]Results!R415</f>
        <v>41.283366899999997</v>
      </c>
      <c r="P250" s="5">
        <f>[1]Results!S415</f>
        <v>41.224530619999996</v>
      </c>
      <c r="Q250" s="5">
        <f>[1]Results!T415</f>
        <v>41.166291560000005</v>
      </c>
      <c r="R250" s="5">
        <f>[1]Results!U415</f>
        <v>41.108941180000002</v>
      </c>
      <c r="S250" s="5">
        <f>[1]Results!V415</f>
        <v>41.052575609999998</v>
      </c>
      <c r="T250" s="5">
        <f>[1]Results!W415</f>
        <v>40.99722336</v>
      </c>
      <c r="U250" s="5">
        <f>[1]Results!X415</f>
        <v>40.942892399999998</v>
      </c>
      <c r="V250" s="5">
        <f>[1]Results!Y415</f>
        <v>40.889584859999999</v>
      </c>
      <c r="W250" s="5">
        <f>[1]Results!Z415</f>
        <v>40.820963659999997</v>
      </c>
      <c r="X250" s="5">
        <f>[1]Results!AA415</f>
        <v>40.762713600000005</v>
      </c>
      <c r="Y250" s="5">
        <f>[1]Results!AB415</f>
        <v>40.709698580000001</v>
      </c>
      <c r="Z250" s="5">
        <f>[1]Results!AC415</f>
        <v>40.65950454</v>
      </c>
      <c r="AA250" s="5">
        <f>[1]Results!AD415</f>
        <v>40.611042090000005</v>
      </c>
      <c r="AB250" s="5">
        <f>[1]Results!AE415</f>
        <v>40.519310320000002</v>
      </c>
      <c r="AC250" s="5">
        <f>[1]Results!AF415</f>
        <v>40.43322234</v>
      </c>
      <c r="AD250" s="5">
        <f>[1]Results!AG415</f>
        <v>40.350661590000001</v>
      </c>
      <c r="AE250" s="5">
        <f>[1]Results!AH415</f>
        <v>40.270437090000001</v>
      </c>
      <c r="AF250" s="5">
        <f>[1]Results!AI415</f>
        <v>40.191664840000001</v>
      </c>
      <c r="AG250" s="5">
        <f>[1]Results!AJ415</f>
        <v>40.113900940000001</v>
      </c>
      <c r="AH250" s="5">
        <f>[1]Results!AK415</f>
        <v>40.036984310000001</v>
      </c>
      <c r="AI250" s="5">
        <f>[1]Results!AL415</f>
        <v>39.960888329999996</v>
      </c>
      <c r="AJ250" s="5">
        <f>[1]Results!AM415</f>
        <v>39.885645850000003</v>
      </c>
      <c r="AK250" s="5">
        <f>[1]Results!AN415</f>
        <v>39.811313520000006</v>
      </c>
      <c r="AL250" s="5">
        <f>[1]Results!AO415</f>
        <v>39.737956090000004</v>
      </c>
      <c r="AM250" s="5">
        <f>[1]Results!AP415</f>
        <v>39.656155149999996</v>
      </c>
      <c r="AN250" s="5">
        <f>[1]Results!AQ415</f>
        <v>39.571360799999994</v>
      </c>
      <c r="AO250" s="5">
        <f>[1]Results!AR415</f>
        <v>39.486072669999999</v>
      </c>
      <c r="AP250" s="5">
        <f>[1]Results!AS415</f>
        <v>39.401410310000003</v>
      </c>
      <c r="AQ250" s="5">
        <f>[1]Results!AT415</f>
        <v>39.317875399999998</v>
      </c>
      <c r="AR250" s="5">
        <f>[1]Results!AU415</f>
        <v>39.23569972</v>
      </c>
      <c r="AS250" s="5">
        <f>[1]Results!AV415</f>
        <v>39.154992630000002</v>
      </c>
      <c r="AT250" s="5">
        <f>[1]Results!AW415</f>
        <v>39.075788270000004</v>
      </c>
      <c r="AU250" s="5">
        <f>[1]Results!AX415</f>
        <v>38.997992420000003</v>
      </c>
      <c r="AV250" s="5">
        <f>[1]Results!AY415</f>
        <v>38.921137520000002</v>
      </c>
      <c r="AW250" s="5">
        <f>[1]Results!AZ415</f>
        <v>38.843933540000002</v>
      </c>
      <c r="AX250" s="5">
        <f>[1]Results!BA415</f>
        <v>38.762096130000003</v>
      </c>
      <c r="AY250" s="5">
        <f>[1]Results!BB415</f>
        <v>38.67172309</v>
      </c>
      <c r="AZ250" s="5">
        <f>[1]Results!BC415</f>
        <v>38.579317250000003</v>
      </c>
      <c r="BA250" s="5">
        <f>[1]Results!BD415</f>
        <v>38.490445520000002</v>
      </c>
      <c r="BB250" s="5">
        <f>[1]Results!BE415</f>
        <v>36.670255640000001</v>
      </c>
      <c r="BC250" s="5">
        <f>[1]Results!BF415</f>
        <v>36.60359107</v>
      </c>
      <c r="BD250" s="5">
        <f>[1]Results!BG415</f>
        <v>36.537648270000005</v>
      </c>
      <c r="BE250" s="5">
        <f>[1]Results!BH415</f>
        <v>36.472608630000003</v>
      </c>
      <c r="BF250" s="5">
        <f>[1]Results!BI415</f>
        <v>36.408537789999997</v>
      </c>
    </row>
    <row r="251" spans="1:58" x14ac:dyDescent="0.35">
      <c r="B251" t="s">
        <v>48</v>
      </c>
      <c r="C251" s="5">
        <f>[1]Results!F423</f>
        <v>21.78056273</v>
      </c>
      <c r="D251" s="5">
        <f>[1]Results!G423</f>
        <v>21.5025382</v>
      </c>
      <c r="E251" s="5">
        <f>[1]Results!H423</f>
        <v>21.361970800000002</v>
      </c>
      <c r="F251" s="5">
        <f>[1]Results!I423</f>
        <v>21.31429318</v>
      </c>
      <c r="G251" s="5">
        <f>[1]Results!J423</f>
        <v>21.33011771</v>
      </c>
      <c r="H251" s="5">
        <f>[1]Results!K423</f>
        <v>21.39040056</v>
      </c>
      <c r="I251" s="5">
        <f>[1]Results!L423</f>
        <v>21.480244890000002</v>
      </c>
      <c r="J251" s="5">
        <f>[1]Results!M423</f>
        <v>21.591600140000001</v>
      </c>
      <c r="K251" s="5">
        <f>[1]Results!N423</f>
        <v>21.719071199999998</v>
      </c>
      <c r="L251" s="5">
        <f>[1]Results!O423</f>
        <v>21.85892007</v>
      </c>
      <c r="M251" s="5">
        <f>[1]Results!P423</f>
        <v>22.012877360000001</v>
      </c>
      <c r="N251" s="5">
        <f>[1]Results!Q423</f>
        <v>22.17418305</v>
      </c>
      <c r="O251" s="5">
        <f>[1]Results!R423</f>
        <v>22.341091729999999</v>
      </c>
      <c r="P251" s="5">
        <f>[1]Results!S423</f>
        <v>22.512125469999997</v>
      </c>
      <c r="Q251" s="5">
        <f>[1]Results!T423</f>
        <v>22.68608927</v>
      </c>
      <c r="R251" s="5">
        <f>[1]Results!U423</f>
        <v>22.862035819999999</v>
      </c>
      <c r="S251" s="5">
        <f>[1]Results!V423</f>
        <v>23.039219769999999</v>
      </c>
      <c r="T251" s="5">
        <f>[1]Results!W423</f>
        <v>23.217055309999999</v>
      </c>
      <c r="U251" s="5">
        <f>[1]Results!X423</f>
        <v>23.3950815</v>
      </c>
      <c r="V251" s="5">
        <f>[1]Results!Y423</f>
        <v>23.572936469999998</v>
      </c>
      <c r="W251" s="5">
        <f>[1]Results!Z423</f>
        <v>23.747175719999998</v>
      </c>
      <c r="X251" s="5">
        <f>[1]Results!AA423</f>
        <v>23.920970100000002</v>
      </c>
      <c r="Y251" s="5">
        <f>[1]Results!AB423</f>
        <v>24.094231870000002</v>
      </c>
      <c r="Z251" s="5">
        <f>[1]Results!AC423</f>
        <v>24.266944469999999</v>
      </c>
      <c r="AA251" s="5">
        <f>[1]Results!AD423</f>
        <v>24.439094559999997</v>
      </c>
      <c r="AB251" s="5">
        <f>[1]Results!AE423</f>
        <v>24.601787329999997</v>
      </c>
      <c r="AC251" s="5">
        <f>[1]Results!AF423</f>
        <v>24.760330789999998</v>
      </c>
      <c r="AD251" s="5">
        <f>[1]Results!AG423</f>
        <v>24.915178440000002</v>
      </c>
      <c r="AE251" s="5">
        <f>[1]Results!AH423</f>
        <v>25.066944249999999</v>
      </c>
      <c r="AF251" s="5">
        <f>[1]Results!AI423</f>
        <v>25.2162577</v>
      </c>
      <c r="AG251" s="5">
        <f>[1]Results!AJ423</f>
        <v>25.36369573</v>
      </c>
      <c r="AH251" s="5">
        <f>[1]Results!AK423</f>
        <v>25.509755309999999</v>
      </c>
      <c r="AI251" s="5">
        <f>[1]Results!AL423</f>
        <v>25.65484962</v>
      </c>
      <c r="AJ251" s="5">
        <f>[1]Results!AM423</f>
        <v>25.799316620000003</v>
      </c>
      <c r="AK251" s="5">
        <f>[1]Results!AN423</f>
        <v>25.943432640000001</v>
      </c>
      <c r="AL251" s="5">
        <f>[1]Results!AO423</f>
        <v>26.087426300000001</v>
      </c>
      <c r="AM251" s="5">
        <f>[1]Results!AP423</f>
        <v>26.229492449999999</v>
      </c>
      <c r="AN251" s="5">
        <f>[1]Results!AQ423</f>
        <v>26.369936819999999</v>
      </c>
      <c r="AO251" s="5">
        <f>[1]Results!AR423</f>
        <v>26.509085819999999</v>
      </c>
      <c r="AP251" s="5">
        <f>[1]Results!AS423</f>
        <v>26.647301339999999</v>
      </c>
      <c r="AQ251" s="5">
        <f>[1]Results!AT423</f>
        <v>26.784955649999997</v>
      </c>
      <c r="AR251" s="5">
        <f>[1]Results!AU423</f>
        <v>26.922403160000002</v>
      </c>
      <c r="AS251" s="5">
        <f>[1]Results!AV423</f>
        <v>27.059960289999999</v>
      </c>
      <c r="AT251" s="5">
        <f>[1]Results!AW423</f>
        <v>27.197895129999999</v>
      </c>
      <c r="AU251" s="5">
        <f>[1]Results!AX423</f>
        <v>27.336425300000002</v>
      </c>
      <c r="AV251" s="5">
        <f>[1]Results!AY423</f>
        <v>27.475721350000001</v>
      </c>
      <c r="AW251" s="5">
        <f>[1]Results!AZ423</f>
        <v>27.616081789999999</v>
      </c>
      <c r="AX251" s="5">
        <f>[1]Results!BA423</f>
        <v>27.757591359999999</v>
      </c>
      <c r="AY251" s="5">
        <f>[1]Results!BB423</f>
        <v>27.900304920000004</v>
      </c>
      <c r="AZ251" s="5">
        <f>[1]Results!BC423</f>
        <v>28.044250179999999</v>
      </c>
      <c r="BA251" s="5">
        <f>[1]Results!BD423</f>
        <v>28.189434300000002</v>
      </c>
      <c r="BB251" s="5">
        <f>[1]Results!BE423</f>
        <v>29.511519180000001</v>
      </c>
      <c r="BC251" s="5">
        <f>[1]Results!BF423</f>
        <v>29.712373460000002</v>
      </c>
      <c r="BD251" s="5">
        <f>[1]Results!BG423</f>
        <v>29.91472314</v>
      </c>
      <c r="BE251" s="5">
        <f>[1]Results!BH423</f>
        <v>30.11870167</v>
      </c>
      <c r="BF251" s="5">
        <f>[1]Results!BI423</f>
        <v>30.324457339999999</v>
      </c>
    </row>
    <row r="253" spans="1:58" x14ac:dyDescent="0.35">
      <c r="A253" s="12" t="s">
        <v>43</v>
      </c>
      <c r="C253" s="2">
        <v>42005</v>
      </c>
      <c r="D253" s="2">
        <v>42370</v>
      </c>
      <c r="E253" s="2">
        <v>42736</v>
      </c>
      <c r="F253" s="2">
        <v>43101</v>
      </c>
      <c r="G253" s="2">
        <v>43466</v>
      </c>
      <c r="H253" s="2">
        <v>43831</v>
      </c>
      <c r="I253" s="2">
        <v>44197</v>
      </c>
      <c r="J253" s="2">
        <v>44562</v>
      </c>
      <c r="K253" s="2">
        <v>44927</v>
      </c>
      <c r="L253" s="2">
        <v>45292</v>
      </c>
      <c r="M253" s="2">
        <v>45658</v>
      </c>
      <c r="N253" s="2">
        <v>46023</v>
      </c>
      <c r="O253" s="2">
        <v>46388</v>
      </c>
      <c r="P253" s="2">
        <v>46753</v>
      </c>
      <c r="Q253" s="2">
        <v>47119</v>
      </c>
      <c r="R253" s="2">
        <v>47484</v>
      </c>
      <c r="S253" s="2">
        <v>47849</v>
      </c>
      <c r="T253" s="2">
        <v>48214</v>
      </c>
      <c r="U253" s="2">
        <v>48580</v>
      </c>
      <c r="V253" s="2">
        <v>48945</v>
      </c>
      <c r="W253" s="2">
        <v>49310</v>
      </c>
      <c r="X253" s="2">
        <v>49675</v>
      </c>
      <c r="Y253" s="2">
        <v>50041</v>
      </c>
      <c r="Z253" s="2">
        <v>50406</v>
      </c>
      <c r="AA253" s="2">
        <v>50771</v>
      </c>
      <c r="AB253" s="2">
        <v>51136</v>
      </c>
      <c r="AC253" s="2">
        <v>51502</v>
      </c>
      <c r="AD253" s="2">
        <v>51867</v>
      </c>
      <c r="AE253" s="2">
        <v>52232</v>
      </c>
      <c r="AF253" s="2">
        <v>52597</v>
      </c>
      <c r="AG253" s="2">
        <v>52963</v>
      </c>
      <c r="AH253" s="2">
        <v>53328</v>
      </c>
      <c r="AI253" s="2">
        <v>53693</v>
      </c>
      <c r="AJ253" s="2">
        <v>54058</v>
      </c>
      <c r="AK253" s="2">
        <v>54424</v>
      </c>
      <c r="AL253" s="2">
        <v>54789</v>
      </c>
      <c r="AM253" s="2">
        <v>54790</v>
      </c>
      <c r="AN253" s="2">
        <v>54791</v>
      </c>
      <c r="AO253" s="2">
        <v>54792</v>
      </c>
      <c r="AP253" s="2">
        <v>54793</v>
      </c>
      <c r="AQ253" s="2">
        <v>54794</v>
      </c>
      <c r="AR253" s="2">
        <v>54795</v>
      </c>
      <c r="AS253" s="2">
        <v>54796</v>
      </c>
      <c r="AT253" s="2">
        <v>54797</v>
      </c>
      <c r="AU253" s="2">
        <v>54798</v>
      </c>
      <c r="AV253" s="2">
        <v>54799</v>
      </c>
      <c r="AW253" s="2">
        <v>54800</v>
      </c>
      <c r="AX253" s="2">
        <v>54801</v>
      </c>
      <c r="AY253" s="2">
        <v>54802</v>
      </c>
      <c r="AZ253" s="2">
        <v>54803</v>
      </c>
      <c r="BA253" s="2">
        <v>54804</v>
      </c>
      <c r="BB253" s="2">
        <v>54805</v>
      </c>
      <c r="BC253" s="2">
        <v>54806</v>
      </c>
      <c r="BD253" s="2">
        <v>54807</v>
      </c>
      <c r="BE253" s="2">
        <v>54808</v>
      </c>
      <c r="BF253" s="2">
        <v>54809</v>
      </c>
    </row>
    <row r="254" spans="1:58" x14ac:dyDescent="0.35">
      <c r="A254" t="s">
        <v>39</v>
      </c>
      <c r="B254" t="s">
        <v>26</v>
      </c>
      <c r="C254" s="9">
        <f t="shared" ref="C254:AL254" si="138">(C235/C136)/(C244/C125)-1</f>
        <v>-3.3516655163275955E-3</v>
      </c>
      <c r="D254" s="9">
        <f t="shared" si="138"/>
        <v>-5.805302907924359E-3</v>
      </c>
      <c r="E254" s="9">
        <f t="shared" si="138"/>
        <v>-7.2793938659471147E-3</v>
      </c>
      <c r="F254" s="9">
        <f t="shared" si="138"/>
        <v>-8.5223763980358802E-3</v>
      </c>
      <c r="G254" s="9">
        <f t="shared" si="138"/>
        <v>-9.527947406124615E-3</v>
      </c>
      <c r="H254" s="9">
        <f t="shared" si="138"/>
        <v>-1.0272262224525042E-2</v>
      </c>
      <c r="I254" s="9">
        <f t="shared" si="138"/>
        <v>-1.0779762545019889E-2</v>
      </c>
      <c r="J254" s="9">
        <f t="shared" si="138"/>
        <v>-1.1105676640936646E-2</v>
      </c>
      <c r="K254" s="9">
        <f t="shared" si="138"/>
        <v>-1.1301059579332806E-2</v>
      </c>
      <c r="L254" s="9">
        <f t="shared" si="138"/>
        <v>-1.1408928039949973E-2</v>
      </c>
      <c r="M254" s="9">
        <f t="shared" si="138"/>
        <v>-1.1810009277721023E-2</v>
      </c>
      <c r="N254" s="9">
        <f t="shared" si="138"/>
        <v>-1.1774073324080314E-2</v>
      </c>
      <c r="O254" s="9">
        <f t="shared" si="138"/>
        <v>-1.1496440872524327E-2</v>
      </c>
      <c r="P254" s="9">
        <f t="shared" si="138"/>
        <v>-1.1146696591757821E-2</v>
      </c>
      <c r="Q254" s="9">
        <f t="shared" si="138"/>
        <v>-1.0768074472707445E-2</v>
      </c>
      <c r="R254" s="9">
        <f t="shared" si="138"/>
        <v>-1.03871710324005E-2</v>
      </c>
      <c r="S254" s="9">
        <f t="shared" si="138"/>
        <v>-1.001466328791345E-2</v>
      </c>
      <c r="T254" s="9">
        <f t="shared" si="138"/>
        <v>-9.6810243639616766E-3</v>
      </c>
      <c r="U254" s="9">
        <f t="shared" si="138"/>
        <v>-9.3961988879417424E-3</v>
      </c>
      <c r="V254" s="9">
        <f t="shared" si="138"/>
        <v>-9.1663387698845966E-3</v>
      </c>
      <c r="W254" s="9">
        <f t="shared" si="138"/>
        <v>-8.9899125977710437E-3</v>
      </c>
      <c r="X254" s="9">
        <f t="shared" si="138"/>
        <v>-8.8757443768952005E-3</v>
      </c>
      <c r="Y254" s="9">
        <f t="shared" si="138"/>
        <v>-8.8146606397243588E-3</v>
      </c>
      <c r="Z254" s="9">
        <f t="shared" si="138"/>
        <v>-8.802178686264428E-3</v>
      </c>
      <c r="AA254" s="9">
        <f t="shared" si="138"/>
        <v>-8.833810534540576E-3</v>
      </c>
      <c r="AB254" s="9">
        <f t="shared" si="138"/>
        <v>-8.8932321208573528E-3</v>
      </c>
      <c r="AC254" s="9">
        <f t="shared" si="138"/>
        <v>-9.0037327279373081E-3</v>
      </c>
      <c r="AD254" s="9">
        <f t="shared" si="138"/>
        <v>-9.1425870016734745E-3</v>
      </c>
      <c r="AE254" s="9">
        <f t="shared" si="138"/>
        <v>-9.3019891444980907E-3</v>
      </c>
      <c r="AF254" s="9">
        <f t="shared" si="138"/>
        <v>-9.4756320139762762E-3</v>
      </c>
      <c r="AG254" s="9">
        <f t="shared" si="138"/>
        <v>-9.6585862703717495E-3</v>
      </c>
      <c r="AH254" s="9">
        <f t="shared" si="138"/>
        <v>-9.8497225994189641E-3</v>
      </c>
      <c r="AI254" s="9">
        <f t="shared" si="138"/>
        <v>-1.0042270183456714E-2</v>
      </c>
      <c r="AJ254" s="9">
        <f t="shared" si="138"/>
        <v>-1.0233525528041687E-2</v>
      </c>
      <c r="AK254" s="9">
        <f t="shared" si="138"/>
        <v>-1.0421048202645777E-2</v>
      </c>
      <c r="AL254" s="9">
        <f t="shared" si="138"/>
        <v>-1.0602979589038219E-2</v>
      </c>
      <c r="AM254" s="9">
        <f t="shared" ref="AM254:BC254" si="139">(AM235/AM136)/(AM244/AM125)-1</f>
        <v>-1.0799432374559936E-2</v>
      </c>
      <c r="AN254" s="9">
        <f t="shared" si="139"/>
        <v>-1.0981928613094327E-2</v>
      </c>
      <c r="AO254" s="9">
        <f t="shared" si="139"/>
        <v>-1.1149167387990988E-2</v>
      </c>
      <c r="AP254" s="9">
        <f t="shared" si="139"/>
        <v>-1.1298494402677939E-2</v>
      </c>
      <c r="AQ254" s="9">
        <f t="shared" si="139"/>
        <v>-1.1429838987122243E-2</v>
      </c>
      <c r="AR254" s="9">
        <f t="shared" si="139"/>
        <v>-1.1549104460867099E-2</v>
      </c>
      <c r="AS254" s="9">
        <f t="shared" si="139"/>
        <v>-1.1654104356766837E-2</v>
      </c>
      <c r="AT254" s="9">
        <f t="shared" si="139"/>
        <v>-1.1747683557600919E-2</v>
      </c>
      <c r="AU254" s="9">
        <f t="shared" si="139"/>
        <v>-1.183224641979197E-2</v>
      </c>
      <c r="AV254" s="9">
        <f t="shared" si="139"/>
        <v>-1.1910167092207158E-2</v>
      </c>
      <c r="AW254" s="9">
        <f t="shared" si="139"/>
        <v>-1.1997268180910736E-2</v>
      </c>
      <c r="AX254" s="9">
        <f t="shared" si="139"/>
        <v>-1.2078598785073003E-2</v>
      </c>
      <c r="AY254" s="9">
        <f t="shared" si="139"/>
        <v>-1.2155437321327289E-2</v>
      </c>
      <c r="AZ254" s="9">
        <f t="shared" si="139"/>
        <v>-1.2227837101134176E-2</v>
      </c>
      <c r="BA254" s="9">
        <f t="shared" si="139"/>
        <v>-1.2296634018452157E-2</v>
      </c>
      <c r="BB254" s="9">
        <f t="shared" si="139"/>
        <v>1.6773189553196399E-3</v>
      </c>
      <c r="BC254" s="9">
        <f t="shared" si="139"/>
        <v>1.7224712825913979E-3</v>
      </c>
      <c r="BD254" s="9">
        <f t="shared" ref="BD254:BF254" si="140">(BD235/BD136)/(BD244/BD125)-1</f>
        <v>1.7673669112274748E-3</v>
      </c>
      <c r="BE254" s="9">
        <f t="shared" si="140"/>
        <v>1.8128581843241953E-3</v>
      </c>
      <c r="BF254" s="9">
        <f t="shared" si="140"/>
        <v>1.8593316536263949E-3</v>
      </c>
    </row>
    <row r="255" spans="1:58" x14ac:dyDescent="0.35">
      <c r="B255" t="s">
        <v>7</v>
      </c>
      <c r="C255" s="9">
        <f t="shared" ref="C255:AL255" si="141">(C236/C137)/(C245/C126)-1</f>
        <v>6.4056498534386108E-3</v>
      </c>
      <c r="D255" s="9">
        <f t="shared" si="141"/>
        <v>6.4250188819090504E-3</v>
      </c>
      <c r="E255" s="9">
        <f t="shared" si="141"/>
        <v>6.6097674380070082E-3</v>
      </c>
      <c r="F255" s="9">
        <f t="shared" si="141"/>
        <v>6.8247659632512114E-3</v>
      </c>
      <c r="G255" s="9">
        <f t="shared" si="141"/>
        <v>7.1487128268994393E-3</v>
      </c>
      <c r="H255" s="9">
        <f t="shared" si="141"/>
        <v>7.6607701783217852E-3</v>
      </c>
      <c r="I255" s="9">
        <f t="shared" si="141"/>
        <v>8.4030991341343952E-3</v>
      </c>
      <c r="J255" s="9">
        <f t="shared" si="141"/>
        <v>9.3298745676562156E-3</v>
      </c>
      <c r="K255" s="9">
        <f t="shared" si="141"/>
        <v>1.0411531016855324E-2</v>
      </c>
      <c r="L255" s="9">
        <f t="shared" si="141"/>
        <v>1.1621051650671177E-2</v>
      </c>
      <c r="M255" s="9">
        <f t="shared" si="141"/>
        <v>1.295902573572616E-2</v>
      </c>
      <c r="N255" s="9">
        <f t="shared" si="141"/>
        <v>1.4234836454636746E-2</v>
      </c>
      <c r="O255" s="9">
        <f t="shared" si="141"/>
        <v>1.5775346537433288E-2</v>
      </c>
      <c r="P255" s="9">
        <f t="shared" si="141"/>
        <v>1.7440404625882922E-2</v>
      </c>
      <c r="Q255" s="9">
        <f t="shared" si="141"/>
        <v>1.9192101003050022E-2</v>
      </c>
      <c r="R255" s="9">
        <f t="shared" si="141"/>
        <v>2.1006449332603205E-2</v>
      </c>
      <c r="S255" s="9">
        <f t="shared" si="141"/>
        <v>2.2977974098748577E-2</v>
      </c>
      <c r="T255" s="9">
        <f t="shared" si="141"/>
        <v>2.4984544381073892E-2</v>
      </c>
      <c r="U255" s="9">
        <f t="shared" si="141"/>
        <v>2.7002281637094949E-2</v>
      </c>
      <c r="V255" s="9">
        <f t="shared" si="141"/>
        <v>2.9019648897061767E-2</v>
      </c>
      <c r="W255" s="9">
        <f t="shared" si="141"/>
        <v>3.1028935528513824E-2</v>
      </c>
      <c r="X255" s="9">
        <f t="shared" si="141"/>
        <v>3.3022265210828738E-2</v>
      </c>
      <c r="Y255" s="9">
        <f t="shared" si="141"/>
        <v>3.5000283293622036E-2</v>
      </c>
      <c r="Z255" s="9">
        <f t="shared" si="141"/>
        <v>3.6963322674435917E-2</v>
      </c>
      <c r="AA255" s="9">
        <f t="shared" si="141"/>
        <v>3.8911011413205188E-2</v>
      </c>
      <c r="AB255" s="9">
        <f t="shared" si="141"/>
        <v>4.0841371241426394E-2</v>
      </c>
      <c r="AC255" s="9">
        <f t="shared" si="141"/>
        <v>4.2697342553812856E-2</v>
      </c>
      <c r="AD255" s="9">
        <f t="shared" si="141"/>
        <v>4.4533011981318982E-2</v>
      </c>
      <c r="AE255" s="9">
        <f t="shared" si="141"/>
        <v>4.6359008608669816E-2</v>
      </c>
      <c r="AF255" s="9">
        <f t="shared" si="141"/>
        <v>4.8179159165510743E-2</v>
      </c>
      <c r="AG255" s="9">
        <f t="shared" si="141"/>
        <v>4.9995775362160488E-2</v>
      </c>
      <c r="AH255" s="9">
        <f t="shared" si="141"/>
        <v>5.1781552202366354E-2</v>
      </c>
      <c r="AI255" s="9">
        <f t="shared" si="141"/>
        <v>5.35645210776865E-2</v>
      </c>
      <c r="AJ255" s="9">
        <f t="shared" si="141"/>
        <v>5.5349044510684564E-2</v>
      </c>
      <c r="AK255" s="9">
        <f t="shared" si="141"/>
        <v>5.7137168040831909E-2</v>
      </c>
      <c r="AL255" s="9">
        <f t="shared" si="141"/>
        <v>5.8930346983626869E-2</v>
      </c>
      <c r="AM255" s="9">
        <f t="shared" ref="AM255:BC255" si="142">(AM236/AM137)/(AM245/AM126)-1</f>
        <v>6.0468573042157026E-2</v>
      </c>
      <c r="AN255" s="9">
        <f t="shared" si="142"/>
        <v>6.1991148613486091E-2</v>
      </c>
      <c r="AO255" s="9">
        <f t="shared" si="142"/>
        <v>6.3523997382042952E-2</v>
      </c>
      <c r="AP255" s="9">
        <f t="shared" si="142"/>
        <v>6.5073468135395052E-2</v>
      </c>
      <c r="AQ255" s="9">
        <f t="shared" si="142"/>
        <v>6.6640772056639541E-2</v>
      </c>
      <c r="AR255" s="9">
        <f t="shared" si="142"/>
        <v>6.818272692248839E-2</v>
      </c>
      <c r="AS255" s="9">
        <f t="shared" si="142"/>
        <v>6.9735519544503299E-2</v>
      </c>
      <c r="AT255" s="9">
        <f t="shared" si="142"/>
        <v>7.1301022448559515E-2</v>
      </c>
      <c r="AU255" s="9">
        <f t="shared" si="142"/>
        <v>7.2877834990761281E-2</v>
      </c>
      <c r="AV255" s="9">
        <f t="shared" si="142"/>
        <v>7.4463749029837212E-2</v>
      </c>
      <c r="AW255" s="9">
        <f t="shared" si="142"/>
        <v>7.5912244147270158E-2</v>
      </c>
      <c r="AX255" s="9">
        <f t="shared" si="142"/>
        <v>7.7351004903485343E-2</v>
      </c>
      <c r="AY255" s="9">
        <f t="shared" si="142"/>
        <v>7.8793495763696653E-2</v>
      </c>
      <c r="AZ255" s="9">
        <f t="shared" si="142"/>
        <v>8.0242452736064784E-2</v>
      </c>
      <c r="BA255" s="9">
        <f t="shared" si="142"/>
        <v>8.1698085029956902E-2</v>
      </c>
      <c r="BB255" s="9">
        <f t="shared" si="142"/>
        <v>1.5159107040098263E-2</v>
      </c>
      <c r="BC255" s="9">
        <f t="shared" si="142"/>
        <v>1.5598909604015443E-2</v>
      </c>
      <c r="BD255" s="9">
        <f t="shared" ref="BD255:BF255" si="143">(BD236/BD137)/(BD245/BD126)-1</f>
        <v>1.6031975680400157E-2</v>
      </c>
      <c r="BE255" s="9">
        <f t="shared" si="143"/>
        <v>1.6460824759982229E-2</v>
      </c>
      <c r="BF255" s="9">
        <f t="shared" si="143"/>
        <v>1.6887081515647218E-2</v>
      </c>
    </row>
    <row r="256" spans="1:58" x14ac:dyDescent="0.35">
      <c r="B256" t="s">
        <v>30</v>
      </c>
      <c r="C256" s="9">
        <f t="shared" ref="C256:AL256" si="144">(C237/C138)/(C246/C127)-1</f>
        <v>-2.9622356936850336E-3</v>
      </c>
      <c r="D256" s="9">
        <f t="shared" si="144"/>
        <v>-6.6400285631671441E-3</v>
      </c>
      <c r="E256" s="9">
        <f t="shared" si="144"/>
        <v>-8.6534307098403707E-3</v>
      </c>
      <c r="F256" s="9">
        <f t="shared" si="144"/>
        <v>-1.0326546738459674E-2</v>
      </c>
      <c r="G256" s="9">
        <f t="shared" si="144"/>
        <v>-1.1692199967107464E-2</v>
      </c>
      <c r="H256" s="9">
        <f t="shared" si="144"/>
        <v>-1.2717994612897243E-2</v>
      </c>
      <c r="I256" s="9">
        <f t="shared" si="144"/>
        <v>-1.3433886034718623E-2</v>
      </c>
      <c r="J256" s="9">
        <f t="shared" si="144"/>
        <v>-1.3898016416196923E-2</v>
      </c>
      <c r="K256" s="9">
        <f t="shared" si="144"/>
        <v>-1.4171819347355785E-2</v>
      </c>
      <c r="L256" s="9">
        <f t="shared" si="144"/>
        <v>-1.4310598235042771E-2</v>
      </c>
      <c r="M256" s="9">
        <f t="shared" si="144"/>
        <v>-1.4593467302157714E-2</v>
      </c>
      <c r="N256" s="9">
        <f t="shared" si="144"/>
        <v>-1.4683238565601942E-2</v>
      </c>
      <c r="O256" s="9">
        <f t="shared" si="144"/>
        <v>-1.4424627448069938E-2</v>
      </c>
      <c r="P256" s="9">
        <f t="shared" si="144"/>
        <v>-1.4058480290986441E-2</v>
      </c>
      <c r="Q256" s="9">
        <f t="shared" si="144"/>
        <v>-1.3639961838964987E-2</v>
      </c>
      <c r="R256" s="9">
        <f t="shared" si="144"/>
        <v>-1.320364609946767E-2</v>
      </c>
      <c r="S256" s="9">
        <f t="shared" si="144"/>
        <v>-1.2785995828248575E-2</v>
      </c>
      <c r="T256" s="9">
        <f t="shared" si="144"/>
        <v>-1.24129890544179E-2</v>
      </c>
      <c r="U256" s="9">
        <f t="shared" si="144"/>
        <v>-1.2097587298624202E-2</v>
      </c>
      <c r="V256" s="9">
        <f t="shared" si="144"/>
        <v>-1.1851523854476076E-2</v>
      </c>
      <c r="W256" s="9">
        <f t="shared" si="144"/>
        <v>-1.1680959551025327E-2</v>
      </c>
      <c r="X256" s="9">
        <f t="shared" si="144"/>
        <v>-1.1588009962360535E-2</v>
      </c>
      <c r="Y256" s="9">
        <f t="shared" si="144"/>
        <v>-1.1572318353162636E-2</v>
      </c>
      <c r="Z256" s="9">
        <f t="shared" si="144"/>
        <v>-1.1630238971553242E-2</v>
      </c>
      <c r="AA256" s="9">
        <f t="shared" si="144"/>
        <v>-1.1757479267364812E-2</v>
      </c>
      <c r="AB256" s="9">
        <f t="shared" si="144"/>
        <v>-1.1946847931234794E-2</v>
      </c>
      <c r="AC256" s="9">
        <f t="shared" si="144"/>
        <v>-1.2190203569977132E-2</v>
      </c>
      <c r="AD256" s="9">
        <f t="shared" si="144"/>
        <v>-1.2481696992272973E-2</v>
      </c>
      <c r="AE256" s="9">
        <f t="shared" si="144"/>
        <v>-1.2814402175481909E-2</v>
      </c>
      <c r="AF256" s="9">
        <f t="shared" si="144"/>
        <v>-1.3180886778687229E-2</v>
      </c>
      <c r="AG256" s="9">
        <f t="shared" si="144"/>
        <v>-1.3574936083080358E-2</v>
      </c>
      <c r="AH256" s="9">
        <f t="shared" si="144"/>
        <v>-1.3990127286510279E-2</v>
      </c>
      <c r="AI256" s="9">
        <f t="shared" si="144"/>
        <v>-1.4421727419361097E-2</v>
      </c>
      <c r="AJ256" s="9">
        <f t="shared" si="144"/>
        <v>-1.4866912781506536E-2</v>
      </c>
      <c r="AK256" s="9">
        <f t="shared" si="144"/>
        <v>-1.5322152424062208E-2</v>
      </c>
      <c r="AL256" s="9">
        <f t="shared" si="144"/>
        <v>-1.5784450458998234E-2</v>
      </c>
      <c r="AM256" s="9">
        <f t="shared" ref="AM256:BC256" si="145">(AM237/AM138)/(AM246/AM127)-1</f>
        <v>-1.6239675014985466E-2</v>
      </c>
      <c r="AN256" s="9">
        <f t="shared" si="145"/>
        <v>-1.6682022381191874E-2</v>
      </c>
      <c r="AO256" s="9">
        <f t="shared" si="145"/>
        <v>-1.7118414757761213E-2</v>
      </c>
      <c r="AP256" s="9">
        <f t="shared" si="145"/>
        <v>-1.7545461384653627E-2</v>
      </c>
      <c r="AQ256" s="9">
        <f t="shared" si="145"/>
        <v>-1.7961847728143576E-2</v>
      </c>
      <c r="AR256" s="9">
        <f t="shared" si="145"/>
        <v>-1.8367043875818889E-2</v>
      </c>
      <c r="AS256" s="9">
        <f t="shared" si="145"/>
        <v>-1.8762950495542219E-2</v>
      </c>
      <c r="AT256" s="9">
        <f t="shared" si="145"/>
        <v>-1.9153575838991133E-2</v>
      </c>
      <c r="AU256" s="9">
        <f t="shared" si="145"/>
        <v>-1.9541135780638097E-2</v>
      </c>
      <c r="AV256" s="9">
        <f t="shared" si="145"/>
        <v>-1.9927690657633557E-2</v>
      </c>
      <c r="AW256" s="9">
        <f t="shared" si="145"/>
        <v>-2.0309661501913712E-2</v>
      </c>
      <c r="AX256" s="9">
        <f t="shared" si="145"/>
        <v>-2.0686848578979844E-2</v>
      </c>
      <c r="AY256" s="9">
        <f t="shared" si="145"/>
        <v>-2.1064529178246083E-2</v>
      </c>
      <c r="AZ256" s="9">
        <f t="shared" si="145"/>
        <v>-2.1442386834474636E-2</v>
      </c>
      <c r="BA256" s="9">
        <f t="shared" si="145"/>
        <v>-2.1820550575147424E-2</v>
      </c>
      <c r="BB256" s="9">
        <f t="shared" si="145"/>
        <v>1.6425488298359436E-3</v>
      </c>
      <c r="BC256" s="9">
        <f t="shared" si="145"/>
        <v>1.6519665940082362E-3</v>
      </c>
      <c r="BD256" s="9">
        <f t="shared" ref="BD256:BF256" si="146">(BD237/BD138)/(BD246/BD127)-1</f>
        <v>1.6577395388683858E-3</v>
      </c>
      <c r="BE256" s="9">
        <f t="shared" si="146"/>
        <v>1.6609277976322723E-3</v>
      </c>
      <c r="BF256" s="9">
        <f t="shared" si="146"/>
        <v>1.6621310827849012E-3</v>
      </c>
    </row>
    <row r="257" spans="1:58" x14ac:dyDescent="0.35">
      <c r="B257" t="s">
        <v>28</v>
      </c>
      <c r="C257" s="9">
        <f t="shared" ref="C257:AL257" si="147">(C238/C139)/(C247/C128)-1</f>
        <v>4.9456429382215283E-3</v>
      </c>
      <c r="D257" s="9">
        <f t="shared" si="147"/>
        <v>3.4783830766171864E-3</v>
      </c>
      <c r="E257" s="9">
        <f t="shared" si="147"/>
        <v>3.1964906224490885E-3</v>
      </c>
      <c r="F257" s="9">
        <f t="shared" si="147"/>
        <v>3.1064731263195089E-3</v>
      </c>
      <c r="G257" s="9">
        <f t="shared" si="147"/>
        <v>3.0734103826366432E-3</v>
      </c>
      <c r="H257" s="9">
        <f t="shared" si="147"/>
        <v>3.0870457377849547E-3</v>
      </c>
      <c r="I257" s="9">
        <f t="shared" si="147"/>
        <v>3.1558370138451419E-3</v>
      </c>
      <c r="J257" s="9">
        <f t="shared" si="147"/>
        <v>3.2670794332583242E-3</v>
      </c>
      <c r="K257" s="9">
        <f t="shared" si="147"/>
        <v>3.4169867647997343E-3</v>
      </c>
      <c r="L257" s="9">
        <f t="shared" si="147"/>
        <v>3.6000452639926017E-3</v>
      </c>
      <c r="M257" s="9">
        <f t="shared" si="147"/>
        <v>4.1794096067309106E-3</v>
      </c>
      <c r="N257" s="9">
        <f t="shared" si="147"/>
        <v>4.0316102918573904E-3</v>
      </c>
      <c r="O257" s="9">
        <f t="shared" si="147"/>
        <v>4.1057819750756064E-3</v>
      </c>
      <c r="P257" s="9">
        <f t="shared" si="147"/>
        <v>4.2473760427590435E-3</v>
      </c>
      <c r="Q257" s="9">
        <f t="shared" si="147"/>
        <v>4.4256315473227836E-3</v>
      </c>
      <c r="R257" s="9">
        <f t="shared" si="147"/>
        <v>4.6298038468746139E-3</v>
      </c>
      <c r="S257" s="9">
        <f t="shared" si="147"/>
        <v>4.8714249358381423E-3</v>
      </c>
      <c r="T257" s="9">
        <f t="shared" si="147"/>
        <v>5.1215084210172179E-3</v>
      </c>
      <c r="U257" s="9">
        <f t="shared" si="147"/>
        <v>5.3797293936845847E-3</v>
      </c>
      <c r="V257" s="9">
        <f t="shared" si="147"/>
        <v>5.6429305257388318E-3</v>
      </c>
      <c r="W257" s="9">
        <f t="shared" si="147"/>
        <v>5.9069983275381599E-3</v>
      </c>
      <c r="X257" s="9">
        <f t="shared" si="147"/>
        <v>6.1727813923337926E-3</v>
      </c>
      <c r="Y257" s="9">
        <f t="shared" si="147"/>
        <v>6.4361431956081461E-3</v>
      </c>
      <c r="Z257" s="9">
        <f t="shared" si="147"/>
        <v>6.6966558838708057E-3</v>
      </c>
      <c r="AA257" s="9">
        <f t="shared" si="147"/>
        <v>6.9535594719658533E-3</v>
      </c>
      <c r="AB257" s="9">
        <f t="shared" si="147"/>
        <v>7.2023980973574542E-3</v>
      </c>
      <c r="AC257" s="9">
        <f t="shared" si="147"/>
        <v>7.4437724278049178E-3</v>
      </c>
      <c r="AD257" s="9">
        <f t="shared" si="147"/>
        <v>7.6822441249564388E-3</v>
      </c>
      <c r="AE257" s="9">
        <f t="shared" si="147"/>
        <v>7.9173978758400043E-3</v>
      </c>
      <c r="AF257" s="9">
        <f t="shared" si="147"/>
        <v>8.1495103773374655E-3</v>
      </c>
      <c r="AG257" s="9">
        <f t="shared" si="147"/>
        <v>8.3789331180155191E-3</v>
      </c>
      <c r="AH257" s="9">
        <f t="shared" si="147"/>
        <v>8.6014233045779154E-3</v>
      </c>
      <c r="AI257" s="9">
        <f t="shared" si="147"/>
        <v>8.8230633752897081E-3</v>
      </c>
      <c r="AJ257" s="9">
        <f t="shared" si="147"/>
        <v>9.0432315996640256E-3</v>
      </c>
      <c r="AK257" s="9">
        <f t="shared" si="147"/>
        <v>9.2622374431852172E-3</v>
      </c>
      <c r="AL257" s="9">
        <f t="shared" si="147"/>
        <v>9.4804815686182486E-3</v>
      </c>
      <c r="AM257" s="9">
        <f t="shared" ref="AM257:BC257" si="148">(AM238/AM139)/(AM247/AM128)-1</f>
        <v>9.6563721124445223E-3</v>
      </c>
      <c r="AN257" s="9">
        <f t="shared" si="148"/>
        <v>9.8437475911388184E-3</v>
      </c>
      <c r="AO257" s="9">
        <f t="shared" si="148"/>
        <v>1.0033217181431908E-2</v>
      </c>
      <c r="AP257" s="9">
        <f t="shared" si="148"/>
        <v>1.0224359162506635E-2</v>
      </c>
      <c r="AQ257" s="9">
        <f t="shared" si="148"/>
        <v>1.0417553739676677E-2</v>
      </c>
      <c r="AR257" s="9">
        <f t="shared" si="148"/>
        <v>1.0606289285720161E-2</v>
      </c>
      <c r="AS257" s="9">
        <f t="shared" si="148"/>
        <v>1.0798582633908094E-2</v>
      </c>
      <c r="AT257" s="9">
        <f t="shared" si="148"/>
        <v>1.0992705950353177E-2</v>
      </c>
      <c r="AU257" s="9">
        <f t="shared" si="148"/>
        <v>1.1188191207909481E-2</v>
      </c>
      <c r="AV257" s="9">
        <f t="shared" si="148"/>
        <v>1.1384696107477277E-2</v>
      </c>
      <c r="AW257" s="9">
        <f t="shared" si="148"/>
        <v>1.1559615071407681E-2</v>
      </c>
      <c r="AX257" s="9">
        <f t="shared" si="148"/>
        <v>1.174009371589313E-2</v>
      </c>
      <c r="AY257" s="9">
        <f t="shared" si="148"/>
        <v>1.1921177765962243E-2</v>
      </c>
      <c r="AZ257" s="9">
        <f t="shared" si="148"/>
        <v>1.2102341136126071E-2</v>
      </c>
      <c r="BA257" s="9">
        <f t="shared" si="148"/>
        <v>1.2283528336075156E-2</v>
      </c>
      <c r="BB257" s="9">
        <f t="shared" si="148"/>
        <v>1.3127601447533443E-3</v>
      </c>
      <c r="BC257" s="9">
        <f t="shared" si="148"/>
        <v>1.3568681449920295E-3</v>
      </c>
      <c r="BD257" s="9">
        <f t="shared" ref="BD257:BF257" si="149">(BD238/BD139)/(BD247/BD128)-1</f>
        <v>1.4005014999880494E-3</v>
      </c>
      <c r="BE257" s="9">
        <f t="shared" si="149"/>
        <v>1.4438554644697899E-3</v>
      </c>
      <c r="BF257" s="9">
        <f t="shared" si="149"/>
        <v>1.4870524614551961E-3</v>
      </c>
    </row>
    <row r="258" spans="1:58" x14ac:dyDescent="0.35">
      <c r="B258" t="s">
        <v>10</v>
      </c>
      <c r="C258" s="9">
        <f t="shared" ref="C258:AL258" si="150">(C239/C140)/(C248/C129)-1</f>
        <v>2.4947192441477917E-3</v>
      </c>
      <c r="D258" s="9">
        <f t="shared" si="150"/>
        <v>8.8686313153440999E-4</v>
      </c>
      <c r="E258" s="9">
        <f t="shared" si="150"/>
        <v>-7.5875811113323977E-4</v>
      </c>
      <c r="F258" s="9">
        <f t="shared" si="150"/>
        <v>-2.1436994040069379E-3</v>
      </c>
      <c r="G258" s="9">
        <f t="shared" si="150"/>
        <v>-3.0745213170486618E-3</v>
      </c>
      <c r="H258" s="9">
        <f t="shared" si="150"/>
        <v>-3.5175191184805277E-3</v>
      </c>
      <c r="I258" s="9">
        <f t="shared" si="150"/>
        <v>-3.5178653799796678E-3</v>
      </c>
      <c r="J258" s="9">
        <f t="shared" si="150"/>
        <v>-3.1955872845567113E-3</v>
      </c>
      <c r="K258" s="9">
        <f t="shared" si="150"/>
        <v>-2.6447139818215337E-3</v>
      </c>
      <c r="L258" s="9">
        <f t="shared" si="150"/>
        <v>-1.9379442715883322E-3</v>
      </c>
      <c r="M258" s="9">
        <f t="shared" si="150"/>
        <v>-1.1350068355041598E-3</v>
      </c>
      <c r="N258" s="9">
        <f t="shared" si="150"/>
        <v>-3.6363503758274351E-4</v>
      </c>
      <c r="O258" s="9">
        <f t="shared" si="150"/>
        <v>6.1963116984831146E-4</v>
      </c>
      <c r="P258" s="9">
        <f t="shared" si="150"/>
        <v>1.7520732699234376E-3</v>
      </c>
      <c r="Q258" s="9">
        <f t="shared" si="150"/>
        <v>2.9908857280696033E-3</v>
      </c>
      <c r="R258" s="9">
        <f t="shared" si="150"/>
        <v>4.2930478741942668E-3</v>
      </c>
      <c r="S258" s="9">
        <f t="shared" si="150"/>
        <v>5.7007476968566895E-3</v>
      </c>
      <c r="T258" s="9">
        <f t="shared" si="150"/>
        <v>7.1039811005899622E-3</v>
      </c>
      <c r="U258" s="9">
        <f t="shared" si="150"/>
        <v>8.4733149071962721E-3</v>
      </c>
      <c r="V258" s="9">
        <f t="shared" si="150"/>
        <v>9.7943682130277043E-3</v>
      </c>
      <c r="W258" s="9">
        <f t="shared" si="150"/>
        <v>1.1060505827393374E-2</v>
      </c>
      <c r="X258" s="9">
        <f t="shared" si="150"/>
        <v>1.2261947744263813E-2</v>
      </c>
      <c r="Y258" s="9">
        <f t="shared" si="150"/>
        <v>1.3406133239995288E-2</v>
      </c>
      <c r="Z258" s="9">
        <f t="shared" si="150"/>
        <v>1.4495237994716081E-2</v>
      </c>
      <c r="AA258" s="9">
        <f t="shared" si="150"/>
        <v>1.5532074984815347E-2</v>
      </c>
      <c r="AB258" s="9">
        <f t="shared" si="150"/>
        <v>1.6522938657508313E-2</v>
      </c>
      <c r="AC258" s="9">
        <f t="shared" si="150"/>
        <v>1.7420053474594077E-2</v>
      </c>
      <c r="AD258" s="9">
        <f t="shared" si="150"/>
        <v>1.8278360110815184E-2</v>
      </c>
      <c r="AE258" s="9">
        <f t="shared" si="150"/>
        <v>1.911003665917832E-2</v>
      </c>
      <c r="AF258" s="9">
        <f t="shared" si="150"/>
        <v>1.9922268521590958E-2</v>
      </c>
      <c r="AG258" s="9">
        <f t="shared" si="150"/>
        <v>2.0720320853797825E-2</v>
      </c>
      <c r="AH258" s="9">
        <f t="shared" si="150"/>
        <v>2.1488950242037896E-2</v>
      </c>
      <c r="AI258" s="9">
        <f t="shared" si="150"/>
        <v>2.225101745570468E-2</v>
      </c>
      <c r="AJ258" s="9">
        <f t="shared" si="150"/>
        <v>2.3012060093537956E-2</v>
      </c>
      <c r="AK258" s="9">
        <f t="shared" si="150"/>
        <v>2.3775423218692637E-2</v>
      </c>
      <c r="AL258" s="9">
        <f t="shared" si="150"/>
        <v>2.4543599077929912E-2</v>
      </c>
      <c r="AM258" s="9">
        <f t="shared" ref="AM258:BC258" si="151">(AM239/AM140)/(AM248/AM129)-1</f>
        <v>2.5147821225446565E-2</v>
      </c>
      <c r="AN258" s="9">
        <f t="shared" si="151"/>
        <v>2.5756531362196133E-2</v>
      </c>
      <c r="AO258" s="9">
        <f t="shared" si="151"/>
        <v>2.6391662571983776E-2</v>
      </c>
      <c r="AP258" s="9">
        <f t="shared" si="151"/>
        <v>2.705775311716363E-2</v>
      </c>
      <c r="AQ258" s="9">
        <f t="shared" si="151"/>
        <v>2.7753505633848929E-2</v>
      </c>
      <c r="AR258" s="9">
        <f t="shared" si="151"/>
        <v>2.8447427939533476E-2</v>
      </c>
      <c r="AS258" s="9">
        <f t="shared" si="151"/>
        <v>2.9161317227541783E-2</v>
      </c>
      <c r="AT258" s="9">
        <f t="shared" si="151"/>
        <v>2.9893516353005412E-2</v>
      </c>
      <c r="AU258" s="9">
        <f t="shared" si="151"/>
        <v>3.0640231651804406E-2</v>
      </c>
      <c r="AV258" s="9">
        <f t="shared" si="151"/>
        <v>3.1397496382536971E-2</v>
      </c>
      <c r="AW258" s="9">
        <f t="shared" si="151"/>
        <v>3.2069733407407153E-2</v>
      </c>
      <c r="AX258" s="9">
        <f t="shared" si="151"/>
        <v>3.2743624827341389E-2</v>
      </c>
      <c r="AY258" s="9">
        <f t="shared" si="151"/>
        <v>3.342727440577864E-2</v>
      </c>
      <c r="AZ258" s="9">
        <f t="shared" si="151"/>
        <v>3.4120142820989408E-2</v>
      </c>
      <c r="BA258" s="9">
        <f t="shared" si="151"/>
        <v>3.4819596788224993E-2</v>
      </c>
      <c r="BB258" s="9">
        <f t="shared" si="151"/>
        <v>1.3385524583131581E-3</v>
      </c>
      <c r="BC258" s="9">
        <f t="shared" si="151"/>
        <v>1.407900504426296E-3</v>
      </c>
      <c r="BD258" s="9">
        <f t="shared" ref="BD258:BF258" si="152">(BD239/BD140)/(BD248/BD129)-1</f>
        <v>1.4798966020035387E-3</v>
      </c>
      <c r="BE258" s="9">
        <f t="shared" si="152"/>
        <v>1.55543731404717E-3</v>
      </c>
      <c r="BF258" s="9">
        <f t="shared" si="152"/>
        <v>1.6347815718924519E-3</v>
      </c>
    </row>
    <row r="259" spans="1:58" x14ac:dyDescent="0.35">
      <c r="B259" t="s">
        <v>25</v>
      </c>
      <c r="C259" s="9">
        <f t="shared" ref="C259:AL259" si="153">(C240/C59)/(C249/C58)-1</f>
        <v>4.7944532525352468E-3</v>
      </c>
      <c r="D259" s="9">
        <f t="shared" si="153"/>
        <v>1.158804771624955E-2</v>
      </c>
      <c r="E259" s="9">
        <f t="shared" si="153"/>
        <v>1.6570198440506001E-2</v>
      </c>
      <c r="F259" s="9">
        <f t="shared" si="153"/>
        <v>2.0301365781930869E-2</v>
      </c>
      <c r="G259" s="9">
        <f t="shared" si="153"/>
        <v>2.3396177670578222E-2</v>
      </c>
      <c r="H259" s="9">
        <f t="shared" si="153"/>
        <v>2.5770011674391968E-2</v>
      </c>
      <c r="I259" s="9">
        <f t="shared" si="153"/>
        <v>2.7401140485896702E-2</v>
      </c>
      <c r="J259" s="9">
        <f t="shared" si="153"/>
        <v>2.8364462257487233E-2</v>
      </c>
      <c r="K259" s="9">
        <f t="shared" si="153"/>
        <v>2.8731093933888729E-2</v>
      </c>
      <c r="L259" s="9">
        <f t="shared" si="153"/>
        <v>2.8478245222762988E-2</v>
      </c>
      <c r="M259" s="9">
        <f t="shared" si="153"/>
        <v>2.7848359587062443E-2</v>
      </c>
      <c r="N259" s="9">
        <f t="shared" si="153"/>
        <v>2.6513105212651267E-2</v>
      </c>
      <c r="O259" s="9">
        <f t="shared" si="153"/>
        <v>2.4558586579587427E-2</v>
      </c>
      <c r="P259" s="9">
        <f t="shared" si="153"/>
        <v>2.2143213055530797E-2</v>
      </c>
      <c r="Q259" s="9">
        <f t="shared" si="153"/>
        <v>1.9415827838395794E-2</v>
      </c>
      <c r="R259" s="9">
        <f t="shared" si="153"/>
        <v>1.6504897948424357E-2</v>
      </c>
      <c r="S259" s="9">
        <f t="shared" si="153"/>
        <v>1.3471876931525628E-2</v>
      </c>
      <c r="T259" s="9">
        <f t="shared" si="153"/>
        <v>1.0427755032773822E-2</v>
      </c>
      <c r="U259" s="9">
        <f t="shared" si="153"/>
        <v>7.436703399860356E-3</v>
      </c>
      <c r="V259" s="9">
        <f t="shared" si="153"/>
        <v>4.5367814508061599E-3</v>
      </c>
      <c r="W259" s="9">
        <f t="shared" si="153"/>
        <v>1.7537397175295677E-3</v>
      </c>
      <c r="X259" s="9">
        <f t="shared" si="153"/>
        <v>-9.0688323347776212E-4</v>
      </c>
      <c r="Y259" s="9">
        <f t="shared" si="153"/>
        <v>-3.4367264087236116E-3</v>
      </c>
      <c r="Z259" s="9">
        <f t="shared" si="153"/>
        <v>-5.8327893653895568E-3</v>
      </c>
      <c r="AA259" s="9">
        <f t="shared" si="153"/>
        <v>-8.0957278858966308E-3</v>
      </c>
      <c r="AB259" s="9">
        <f t="shared" si="153"/>
        <v>-1.0223354280741614E-2</v>
      </c>
      <c r="AC259" s="9">
        <f t="shared" si="153"/>
        <v>-1.2219141418704837E-2</v>
      </c>
      <c r="AD259" s="9">
        <f t="shared" si="153"/>
        <v>-1.4103994053201729E-2</v>
      </c>
      <c r="AE259" s="9">
        <f t="shared" si="153"/>
        <v>-1.5887128099211889E-2</v>
      </c>
      <c r="AF259" s="9">
        <f t="shared" si="153"/>
        <v>-1.7570338107561922E-2</v>
      </c>
      <c r="AG259" s="9">
        <f t="shared" si="153"/>
        <v>-1.9156515127792817E-2</v>
      </c>
      <c r="AH259" s="9">
        <f t="shared" si="153"/>
        <v>-2.0641894751277756E-2</v>
      </c>
      <c r="AI259" s="9">
        <f t="shared" si="153"/>
        <v>-2.2039393072225466E-2</v>
      </c>
      <c r="AJ259" s="9">
        <f t="shared" si="153"/>
        <v>-2.3358170460087702E-2</v>
      </c>
      <c r="AK259" s="9">
        <f t="shared" si="153"/>
        <v>-2.4605703581486948E-2</v>
      </c>
      <c r="AL259" s="9">
        <f t="shared" si="153"/>
        <v>-2.5786782774822714E-2</v>
      </c>
      <c r="AM259" s="9">
        <f t="shared" ref="AM259:BC259" si="154">(AM240/AM59)/(AM249/AM58)-1</f>
        <v>-2.6835312172043158E-2</v>
      </c>
      <c r="AN259" s="9">
        <f t="shared" si="154"/>
        <v>-2.7823713133572459E-2</v>
      </c>
      <c r="AO259" s="9">
        <f t="shared" si="154"/>
        <v>-2.877296129516882E-2</v>
      </c>
      <c r="AP259" s="9">
        <f t="shared" si="154"/>
        <v>-2.9686342598825854E-2</v>
      </c>
      <c r="AQ259" s="9">
        <f t="shared" si="154"/>
        <v>-3.0562315718772992E-2</v>
      </c>
      <c r="AR259" s="9">
        <f t="shared" si="154"/>
        <v>-3.1387841246584891E-2</v>
      </c>
      <c r="AS259" s="9">
        <f t="shared" si="154"/>
        <v>-3.2170601811916E-2</v>
      </c>
      <c r="AT259" s="9">
        <f t="shared" si="154"/>
        <v>-3.2910280788244206E-2</v>
      </c>
      <c r="AU259" s="9">
        <f t="shared" si="154"/>
        <v>-3.3602487450724361E-2</v>
      </c>
      <c r="AV259" s="9">
        <f t="shared" si="154"/>
        <v>-3.4236900927226532E-2</v>
      </c>
      <c r="AW259" s="9">
        <f t="shared" si="154"/>
        <v>-3.4745943192606155E-2</v>
      </c>
      <c r="AX259" s="9">
        <f t="shared" si="154"/>
        <v>-3.5103031567708554E-2</v>
      </c>
      <c r="AY259" s="9">
        <f t="shared" si="154"/>
        <v>-3.525911369341439E-2</v>
      </c>
      <c r="AZ259" s="9">
        <f t="shared" si="154"/>
        <v>-3.5306373650171086E-2</v>
      </c>
      <c r="BA259" s="9">
        <f t="shared" si="154"/>
        <v>-3.5319805717017316E-2</v>
      </c>
      <c r="BB259" s="9">
        <f t="shared" si="154"/>
        <v>-2.7084014241802401E-2</v>
      </c>
      <c r="BC259" s="9">
        <f t="shared" si="154"/>
        <v>-2.7558168482025747E-2</v>
      </c>
      <c r="BD259" s="9">
        <f t="shared" ref="BD259:BF259" si="155">(BD240/BD59)/(BD249/BD58)-1</f>
        <v>-2.8016455654708561E-2</v>
      </c>
      <c r="BE259" s="9">
        <f t="shared" si="155"/>
        <v>-2.846402495120226E-2</v>
      </c>
      <c r="BF259" s="9">
        <f t="shared" si="155"/>
        <v>-2.8902146350103797E-2</v>
      </c>
    </row>
    <row r="260" spans="1:58" x14ac:dyDescent="0.35">
      <c r="B260" t="s">
        <v>47</v>
      </c>
      <c r="C260" s="9">
        <f t="shared" ref="C260:AL260" si="156">(C241/C59)/(C250/C58)-1</f>
        <v>4.7944530962722443E-3</v>
      </c>
      <c r="D260" s="9">
        <f t="shared" si="156"/>
        <v>1.2537711762372172E-2</v>
      </c>
      <c r="E260" s="9">
        <f t="shared" si="156"/>
        <v>1.803311214152914E-2</v>
      </c>
      <c r="F260" s="9">
        <f t="shared" si="156"/>
        <v>2.2166116540850211E-2</v>
      </c>
      <c r="G260" s="9">
        <f t="shared" si="156"/>
        <v>2.5772460627671245E-2</v>
      </c>
      <c r="H260" s="9">
        <f t="shared" si="156"/>
        <v>2.862101086440072E-2</v>
      </c>
      <c r="I260" s="9">
        <f t="shared" si="156"/>
        <v>3.058255081380179E-2</v>
      </c>
      <c r="J260" s="9">
        <f t="shared" si="156"/>
        <v>3.1698626456007073E-2</v>
      </c>
      <c r="K260" s="9">
        <f t="shared" si="156"/>
        <v>3.2020833189116304E-2</v>
      </c>
      <c r="L260" s="9">
        <f t="shared" si="156"/>
        <v>3.146980946991107E-2</v>
      </c>
      <c r="M260" s="9">
        <f t="shared" si="156"/>
        <v>3.0265333055853771E-2</v>
      </c>
      <c r="N260" s="9">
        <f t="shared" si="156"/>
        <v>2.805167841299272E-2</v>
      </c>
      <c r="O260" s="9">
        <f t="shared" si="156"/>
        <v>2.4981846986639633E-2</v>
      </c>
      <c r="P260" s="9">
        <f t="shared" si="156"/>
        <v>2.127733873004245E-2</v>
      </c>
      <c r="Q260" s="9">
        <f t="shared" si="156"/>
        <v>1.713654056484093E-2</v>
      </c>
      <c r="R260" s="9">
        <f t="shared" si="156"/>
        <v>1.272835007337747E-2</v>
      </c>
      <c r="S260" s="9">
        <f t="shared" si="156"/>
        <v>8.1141206959041146E-3</v>
      </c>
      <c r="T260" s="9">
        <f t="shared" si="156"/>
        <v>3.4457009473807254E-3</v>
      </c>
      <c r="U260" s="9">
        <f t="shared" si="156"/>
        <v>-1.1902487352277724E-3</v>
      </c>
      <c r="V260" s="9">
        <f t="shared" si="156"/>
        <v>-5.7428685065729068E-3</v>
      </c>
      <c r="W260" s="9">
        <f t="shared" si="156"/>
        <v>-1.0182129401723583E-2</v>
      </c>
      <c r="X260" s="9">
        <f t="shared" si="156"/>
        <v>-1.4491327808548893E-2</v>
      </c>
      <c r="Y260" s="9">
        <f t="shared" si="156"/>
        <v>-1.8660115258938736E-2</v>
      </c>
      <c r="Z260" s="9">
        <f t="shared" si="156"/>
        <v>-2.268357075998928E-2</v>
      </c>
      <c r="AA260" s="9">
        <f t="shared" si="156"/>
        <v>-2.6560564914113516E-2</v>
      </c>
      <c r="AB260" s="9">
        <f t="shared" si="156"/>
        <v>-3.0304116135894454E-2</v>
      </c>
      <c r="AC260" s="9">
        <f t="shared" si="156"/>
        <v>-3.3883350235740406E-2</v>
      </c>
      <c r="AD260" s="9">
        <f t="shared" si="156"/>
        <v>-3.732991156614629E-2</v>
      </c>
      <c r="AE260" s="9">
        <f t="shared" si="156"/>
        <v>-4.065764176637332E-2</v>
      </c>
      <c r="AF260" s="9">
        <f t="shared" si="156"/>
        <v>-4.3868163966914286E-2</v>
      </c>
      <c r="AG260" s="9">
        <f t="shared" si="156"/>
        <v>-4.6964283182797106E-2</v>
      </c>
      <c r="AH260" s="9">
        <f t="shared" si="156"/>
        <v>-4.9935274269097385E-2</v>
      </c>
      <c r="AI260" s="9">
        <f t="shared" si="156"/>
        <v>-5.2799970327797596E-2</v>
      </c>
      <c r="AJ260" s="9">
        <f t="shared" si="156"/>
        <v>-5.5571938732782211E-2</v>
      </c>
      <c r="AK260" s="9">
        <f t="shared" si="156"/>
        <v>-5.8262320416907154E-2</v>
      </c>
      <c r="AL260" s="9">
        <f t="shared" si="156"/>
        <v>-6.0878042133924004E-2</v>
      </c>
      <c r="AM260" s="9">
        <f t="shared" ref="AM260:BC260" si="157">(AM241/AM59)/(AM250/AM58)-1</f>
        <v>-6.3293981717054359E-2</v>
      </c>
      <c r="AN260" s="9">
        <f t="shared" si="157"/>
        <v>-6.5624004320147034E-2</v>
      </c>
      <c r="AO260" s="9">
        <f t="shared" si="157"/>
        <v>-6.7906495396669597E-2</v>
      </c>
      <c r="AP260" s="9">
        <f t="shared" si="157"/>
        <v>-7.0152298509994715E-2</v>
      </c>
      <c r="AQ260" s="9">
        <f t="shared" si="157"/>
        <v>-7.2363550404095145E-2</v>
      </c>
      <c r="AR260" s="9">
        <f t="shared" si="157"/>
        <v>-7.4518471171428069E-2</v>
      </c>
      <c r="AS260" s="9">
        <f t="shared" si="157"/>
        <v>-7.6633233825447733E-2</v>
      </c>
      <c r="AT260" s="9">
        <f t="shared" si="157"/>
        <v>-7.871126972463971E-2</v>
      </c>
      <c r="AU260" s="9">
        <f t="shared" si="157"/>
        <v>-8.0749078468552171E-2</v>
      </c>
      <c r="AV260" s="9">
        <f t="shared" si="157"/>
        <v>-8.2733161381401188E-2</v>
      </c>
      <c r="AW260" s="9">
        <f t="shared" si="157"/>
        <v>-8.4540366607134154E-2</v>
      </c>
      <c r="AX260" s="9">
        <f t="shared" si="157"/>
        <v>-8.6133743243742567E-2</v>
      </c>
      <c r="AY260" s="9">
        <f t="shared" si="157"/>
        <v>-8.7440154369632594E-2</v>
      </c>
      <c r="AZ260" s="9">
        <f t="shared" si="157"/>
        <v>-8.8614957398748806E-2</v>
      </c>
      <c r="BA260" s="9">
        <f t="shared" si="157"/>
        <v>-8.9785074135813159E-2</v>
      </c>
      <c r="BB260" s="9">
        <f t="shared" si="157"/>
        <v>-5.0104351290258475E-2</v>
      </c>
      <c r="BC260" s="9">
        <f t="shared" si="157"/>
        <v>-5.1237477600364012E-2</v>
      </c>
      <c r="BD260" s="9">
        <f t="shared" ref="BD260:BF260" si="158">(BD241/BD59)/(BD250/BD58)-1</f>
        <v>-5.2356795709070703E-2</v>
      </c>
      <c r="BE260" s="9">
        <f t="shared" si="158"/>
        <v>-5.3472512495467694E-2</v>
      </c>
      <c r="BF260" s="9">
        <f t="shared" si="158"/>
        <v>-5.4587788113607316E-2</v>
      </c>
    </row>
    <row r="261" spans="1:58" x14ac:dyDescent="0.35">
      <c r="B261" t="s">
        <v>48</v>
      </c>
      <c r="C261" s="9">
        <f t="shared" ref="C261:AL261" si="159">(C242/C59)/(C251/C58)-1</f>
        <v>4.7944530962722443E-3</v>
      </c>
      <c r="D261" s="9">
        <f t="shared" si="159"/>
        <v>9.7003428566242444E-3</v>
      </c>
      <c r="E261" s="9">
        <f t="shared" si="159"/>
        <v>1.3651688926020089E-2</v>
      </c>
      <c r="F261" s="9">
        <f t="shared" si="159"/>
        <v>1.6592443803113754E-2</v>
      </c>
      <c r="G261" s="9">
        <f t="shared" si="159"/>
        <v>1.8700192469260246E-2</v>
      </c>
      <c r="H261" s="9">
        <f t="shared" si="159"/>
        <v>2.0179297283404285E-2</v>
      </c>
      <c r="I261" s="9">
        <f t="shared" si="159"/>
        <v>2.1214087012947802E-2</v>
      </c>
      <c r="J261" s="9">
        <f t="shared" si="159"/>
        <v>2.1934578667601734E-2</v>
      </c>
      <c r="K261" s="9">
        <f t="shared" si="159"/>
        <v>2.2440086837284268E-2</v>
      </c>
      <c r="L261" s="9">
        <f t="shared" si="159"/>
        <v>2.2805813043393242E-2</v>
      </c>
      <c r="M261" s="9">
        <f t="shared" si="159"/>
        <v>2.330289291723342E-2</v>
      </c>
      <c r="N261" s="9">
        <f t="shared" si="159"/>
        <v>2.3644557965040836E-2</v>
      </c>
      <c r="O261" s="9">
        <f t="shared" si="159"/>
        <v>2.377645670195383E-2</v>
      </c>
      <c r="P261" s="9">
        <f t="shared" si="159"/>
        <v>2.3728814676832632E-2</v>
      </c>
      <c r="Q261" s="9">
        <f t="shared" si="159"/>
        <v>2.3551833975699932E-2</v>
      </c>
      <c r="R261" s="9">
        <f t="shared" si="159"/>
        <v>2.3295626721709484E-2</v>
      </c>
      <c r="S261" s="9">
        <f t="shared" si="159"/>
        <v>2.3018627870079689E-2</v>
      </c>
      <c r="T261" s="9">
        <f t="shared" si="159"/>
        <v>2.2756830663961614E-2</v>
      </c>
      <c r="U261" s="9">
        <f t="shared" si="159"/>
        <v>2.2534423109930479E-2</v>
      </c>
      <c r="V261" s="9">
        <f t="shared" si="159"/>
        <v>2.2367848419076353E-2</v>
      </c>
      <c r="W261" s="9">
        <f t="shared" si="159"/>
        <v>2.2271281900754891E-2</v>
      </c>
      <c r="X261" s="9">
        <f t="shared" si="159"/>
        <v>2.2241794320727815E-2</v>
      </c>
      <c r="Y261" s="9">
        <f t="shared" si="159"/>
        <v>2.2284764726672401E-2</v>
      </c>
      <c r="Z261" s="9">
        <f t="shared" si="159"/>
        <v>2.2400860876951034E-2</v>
      </c>
      <c r="AA261" s="9">
        <f t="shared" si="159"/>
        <v>2.2587743691781403E-2</v>
      </c>
      <c r="AB261" s="9">
        <f t="shared" si="159"/>
        <v>2.2849796468706662E-2</v>
      </c>
      <c r="AC261" s="9">
        <f t="shared" si="159"/>
        <v>2.3158163065835513E-2</v>
      </c>
      <c r="AD261" s="9">
        <f t="shared" si="159"/>
        <v>2.3510873523965081E-2</v>
      </c>
      <c r="AE261" s="9">
        <f t="shared" si="159"/>
        <v>2.3907088633862816E-2</v>
      </c>
      <c r="AF261" s="9">
        <f t="shared" si="159"/>
        <v>2.4345215561600408E-2</v>
      </c>
      <c r="AG261" s="9">
        <f t="shared" si="159"/>
        <v>2.48228033830169E-2</v>
      </c>
      <c r="AH261" s="9">
        <f t="shared" si="159"/>
        <v>2.5333402223917334E-2</v>
      </c>
      <c r="AI261" s="9">
        <f t="shared" si="159"/>
        <v>2.5874354655143428E-2</v>
      </c>
      <c r="AJ261" s="9">
        <f t="shared" si="159"/>
        <v>2.6444193341396582E-2</v>
      </c>
      <c r="AK261" s="9">
        <f t="shared" si="159"/>
        <v>2.704182292167534E-2</v>
      </c>
      <c r="AL261" s="9">
        <f t="shared" si="159"/>
        <v>2.7666360035005999E-2</v>
      </c>
      <c r="AM261" s="9">
        <f t="shared" ref="AM261:BC261" si="160">(AM242/AM59)/(AM251/AM58)-1</f>
        <v>2.8286251810332175E-2</v>
      </c>
      <c r="AN261" s="9">
        <f t="shared" si="160"/>
        <v>2.8900312073592005E-2</v>
      </c>
      <c r="AO261" s="9">
        <f t="shared" si="160"/>
        <v>2.9517602603769344E-2</v>
      </c>
      <c r="AP261" s="9">
        <f t="shared" si="160"/>
        <v>3.0147699226896973E-2</v>
      </c>
      <c r="AQ261" s="9">
        <f t="shared" si="160"/>
        <v>3.0798089666989936E-2</v>
      </c>
      <c r="AR261" s="9">
        <f t="shared" si="160"/>
        <v>3.1469119716687199E-2</v>
      </c>
      <c r="AS261" s="9">
        <f t="shared" si="160"/>
        <v>3.2165561661449571E-2</v>
      </c>
      <c r="AT261" s="9">
        <f t="shared" si="160"/>
        <v>3.2892963826119725E-2</v>
      </c>
      <c r="AU261" s="9">
        <f t="shared" si="160"/>
        <v>3.3656577678287114E-2</v>
      </c>
      <c r="AV261" s="9">
        <f t="shared" si="160"/>
        <v>3.4461190682391951E-2</v>
      </c>
      <c r="AW261" s="9">
        <f t="shared" si="160"/>
        <v>3.5293365369875929E-2</v>
      </c>
      <c r="AX261" s="9">
        <f t="shared" si="160"/>
        <v>3.6158819515315965E-2</v>
      </c>
      <c r="AY261" s="9">
        <f t="shared" si="160"/>
        <v>3.7067363073231663E-2</v>
      </c>
      <c r="AZ261" s="9">
        <f t="shared" si="160"/>
        <v>3.8028044703594999E-2</v>
      </c>
      <c r="BA261" s="9">
        <f t="shared" si="160"/>
        <v>3.9048215079582338E-2</v>
      </c>
      <c r="BB261" s="9">
        <f t="shared" si="160"/>
        <v>1.5204652272835517E-3</v>
      </c>
      <c r="BC261" s="9">
        <f t="shared" si="160"/>
        <v>1.613104185054004E-3</v>
      </c>
      <c r="BD261" s="9">
        <f t="shared" ref="BD261:BF261" si="161">(BD242/BD59)/(BD251/BD58)-1</f>
        <v>1.7126773717413002E-3</v>
      </c>
      <c r="BE261" s="9">
        <f t="shared" si="161"/>
        <v>1.8203076413527697E-3</v>
      </c>
      <c r="BF261" s="9">
        <f t="shared" si="161"/>
        <v>1.9368770365537635E-3</v>
      </c>
    </row>
    <row r="263" spans="1:58" x14ac:dyDescent="0.35">
      <c r="A263" s="12" t="s">
        <v>21</v>
      </c>
      <c r="B263" t="s">
        <v>26</v>
      </c>
      <c r="C263" s="6">
        <f>[1]Results!F1600</f>
        <v>468662.33020000003</v>
      </c>
      <c r="D263" s="6">
        <f>[1]Results!G1600</f>
        <v>471741.49119999999</v>
      </c>
      <c r="E263" s="6">
        <f>[1]Results!H1600</f>
        <v>476109.36459999997</v>
      </c>
      <c r="F263" s="6">
        <f>[1]Results!I1600</f>
        <v>481305.69260000001</v>
      </c>
      <c r="G263" s="6">
        <f>[1]Results!J1600</f>
        <v>487068.3076</v>
      </c>
      <c r="H263" s="6">
        <f>[1]Results!K1600</f>
        <v>493251.41609999997</v>
      </c>
      <c r="I263" s="6">
        <f>[1]Results!L1600</f>
        <v>499576.21120000002</v>
      </c>
      <c r="J263" s="6">
        <f>[1]Results!M1600</f>
        <v>506050.44150000002</v>
      </c>
      <c r="K263" s="6">
        <f>[1]Results!N1600</f>
        <v>512688.21919999999</v>
      </c>
      <c r="L263" s="6">
        <f>[1]Results!O1600</f>
        <v>519498.5148</v>
      </c>
      <c r="M263" s="6">
        <f>[1]Results!P1600</f>
        <v>526458.38529999997</v>
      </c>
      <c r="N263" s="6">
        <f>[1]Results!Q1600</f>
        <v>533889.04779999994</v>
      </c>
      <c r="O263" s="6">
        <f>[1]Results!R1600</f>
        <v>541652.12860000005</v>
      </c>
      <c r="P263" s="6">
        <f>[1]Results!S1600</f>
        <v>549676.58929999999</v>
      </c>
      <c r="Q263" s="6">
        <f>[1]Results!T1600</f>
        <v>557931.92220000003</v>
      </c>
      <c r="R263" s="6">
        <f>[1]Results!U1600</f>
        <v>566406.12890000001</v>
      </c>
      <c r="S263" s="6">
        <f>[1]Results!V1600</f>
        <v>575076.44709999999</v>
      </c>
      <c r="T263" s="6">
        <f>[1]Results!W1600</f>
        <v>583947.58519999997</v>
      </c>
      <c r="U263" s="6">
        <f>[1]Results!X1600</f>
        <v>593023.07770000002</v>
      </c>
      <c r="V263" s="6">
        <f>[1]Results!Y1600</f>
        <v>602305.12419999996</v>
      </c>
      <c r="W263" s="6">
        <f>[1]Results!Z1600</f>
        <v>611547.97750000004</v>
      </c>
      <c r="X263" s="6">
        <f>[1]Results!AA1600</f>
        <v>621057.10959999997</v>
      </c>
      <c r="Y263" s="6">
        <f>[1]Results!AB1600</f>
        <v>630817.38199999998</v>
      </c>
      <c r="Z263" s="6">
        <f>[1]Results!AC1600</f>
        <v>640813.27350000001</v>
      </c>
      <c r="AA263" s="6">
        <f>[1]Results!AD1600</f>
        <v>651036.11239999998</v>
      </c>
      <c r="AB263" s="6">
        <f>[1]Results!AE1600</f>
        <v>660766.45609999995</v>
      </c>
      <c r="AC263" s="6">
        <f>[1]Results!AF1600</f>
        <v>670548.89190000005</v>
      </c>
      <c r="AD263" s="6">
        <f>[1]Results!AG1600</f>
        <v>680407.46710000001</v>
      </c>
      <c r="AE263" s="6">
        <f>[1]Results!AH1600</f>
        <v>690347.96299999999</v>
      </c>
      <c r="AF263" s="6">
        <f>[1]Results!AI1600</f>
        <v>700377.81579999998</v>
      </c>
      <c r="AG263" s="6">
        <f>[1]Results!AJ1600</f>
        <v>710504.29269999999</v>
      </c>
      <c r="AH263" s="6">
        <f>[1]Results!AK1600</f>
        <v>720738.43810000003</v>
      </c>
      <c r="AI263" s="6">
        <f>[1]Results!AL1600</f>
        <v>731081.24829999998</v>
      </c>
      <c r="AJ263" s="6">
        <f>[1]Results!AM1600</f>
        <v>741531.5612</v>
      </c>
      <c r="AK263" s="6">
        <f>[1]Results!AN1600</f>
        <v>752086.39269999997</v>
      </c>
      <c r="AL263" s="6">
        <f>[1]Results!AO1600</f>
        <v>762741.47990000003</v>
      </c>
      <c r="AM263" s="6">
        <f>[1]Results!AP1600</f>
        <v>773373.93850000005</v>
      </c>
      <c r="AN263" s="6">
        <f>[1]Results!AQ1600</f>
        <v>784000.66969999997</v>
      </c>
      <c r="AO263" s="6">
        <f>[1]Results!AR1600</f>
        <v>794634.28020000004</v>
      </c>
      <c r="AP263" s="6">
        <f>[1]Results!AS1600</f>
        <v>805281.48640000005</v>
      </c>
      <c r="AQ263" s="6">
        <f>[1]Results!AT1600</f>
        <v>815946.92379999999</v>
      </c>
      <c r="AR263" s="6">
        <f>[1]Results!AU1600</f>
        <v>826644.348</v>
      </c>
      <c r="AS263" s="6">
        <f>[1]Results!AV1600</f>
        <v>837375.50199999998</v>
      </c>
      <c r="AT263" s="6">
        <f>[1]Results!AW1600</f>
        <v>848142.53220000002</v>
      </c>
      <c r="AU263" s="6">
        <f>[1]Results!AX1600</f>
        <v>858947.54410000006</v>
      </c>
      <c r="AV263" s="6">
        <f>[1]Results!AY1600</f>
        <v>869792.38439999998</v>
      </c>
      <c r="AW263" s="6">
        <f>[1]Results!AZ1600</f>
        <v>880728.32239999995</v>
      </c>
      <c r="AX263" s="6">
        <f>[1]Results!BA1600</f>
        <v>891744.48580000002</v>
      </c>
      <c r="AY263" s="6">
        <f>[1]Results!BB1600</f>
        <v>902833.3138</v>
      </c>
      <c r="AZ263" s="6">
        <f>[1]Results!BC1600</f>
        <v>913990.23369999998</v>
      </c>
      <c r="BA263" s="6">
        <f>[1]Results!BD1600</f>
        <v>925212.92760000005</v>
      </c>
      <c r="BB263" s="6">
        <f>[1]Results!BE1600</f>
        <v>1177882.68</v>
      </c>
      <c r="BC263" s="6">
        <f>[1]Results!BF1600</f>
        <v>1199509.7779999999</v>
      </c>
      <c r="BD263" s="6">
        <f>[1]Results!BG1600</f>
        <v>1221370.1200000001</v>
      </c>
      <c r="BE263" s="6">
        <f>[1]Results!BH1600</f>
        <v>1243459.7209999999</v>
      </c>
      <c r="BF263" s="6">
        <f>[1]Results!BI1600</f>
        <v>1265775.415</v>
      </c>
    </row>
    <row r="264" spans="1:58" x14ac:dyDescent="0.35">
      <c r="A264" t="s">
        <v>39</v>
      </c>
      <c r="B264" t="s">
        <v>7</v>
      </c>
      <c r="C264" s="6">
        <f>[1]Results!F1601</f>
        <v>4391.3999130000002</v>
      </c>
      <c r="D264" s="6">
        <f>[1]Results!G1601</f>
        <v>4399.9837699999998</v>
      </c>
      <c r="E264" s="6">
        <f>[1]Results!H1601</f>
        <v>4417.8951610000004</v>
      </c>
      <c r="F264" s="6">
        <f>[1]Results!I1601</f>
        <v>4445.308556</v>
      </c>
      <c r="G264" s="6">
        <f>[1]Results!J1601</f>
        <v>4481.3800430000001</v>
      </c>
      <c r="H264" s="6">
        <f>[1]Results!K1601</f>
        <v>4524.9656230000001</v>
      </c>
      <c r="I264" s="6">
        <f>[1]Results!L1601</f>
        <v>4573.0712329999997</v>
      </c>
      <c r="J264" s="6">
        <f>[1]Results!M1601</f>
        <v>4625.1534080000001</v>
      </c>
      <c r="K264" s="6">
        <f>[1]Results!N1601</f>
        <v>4680.7762510000002</v>
      </c>
      <c r="L264" s="6">
        <f>[1]Results!O1601</f>
        <v>4739.5372450000004</v>
      </c>
      <c r="M264" s="6">
        <f>[1]Results!P1601</f>
        <v>4800.0227500000001</v>
      </c>
      <c r="N264" s="6">
        <f>[1]Results!Q1601</f>
        <v>4866.9498139999996</v>
      </c>
      <c r="O264" s="6">
        <f>[1]Results!R1601</f>
        <v>4937.9849409999997</v>
      </c>
      <c r="P264" s="6">
        <f>[1]Results!S1601</f>
        <v>5011.9892849999997</v>
      </c>
      <c r="Q264" s="6">
        <f>[1]Results!T1601</f>
        <v>5088.4600899999996</v>
      </c>
      <c r="R264" s="6">
        <f>[1]Results!U1601</f>
        <v>5167.13951</v>
      </c>
      <c r="S264" s="6">
        <f>[1]Results!V1601</f>
        <v>5247.6660359999996</v>
      </c>
      <c r="T264" s="6">
        <f>[1]Results!W1601</f>
        <v>5329.9783189999998</v>
      </c>
      <c r="U264" s="6">
        <f>[1]Results!X1601</f>
        <v>5414.004919</v>
      </c>
      <c r="V264" s="6">
        <f>[1]Results!Y1601</f>
        <v>5499.6919980000002</v>
      </c>
      <c r="W264" s="6">
        <f>[1]Results!Z1601</f>
        <v>5584.6872249999997</v>
      </c>
      <c r="X264" s="6">
        <f>[1]Results!AA1601</f>
        <v>5671.7110419999999</v>
      </c>
      <c r="Y264" s="6">
        <f>[1]Results!AB1601</f>
        <v>5760.7264740000001</v>
      </c>
      <c r="Z264" s="6">
        <f>[1]Results!AC1601</f>
        <v>5851.623294</v>
      </c>
      <c r="AA264" s="6">
        <f>[1]Results!AD1601</f>
        <v>5944.3359609999998</v>
      </c>
      <c r="AB264" s="6">
        <f>[1]Results!AE1601</f>
        <v>6032.1317600000002</v>
      </c>
      <c r="AC264" s="6">
        <f>[1]Results!AF1601</f>
        <v>6119.8253329999998</v>
      </c>
      <c r="AD264" s="6">
        <f>[1]Results!AG1601</f>
        <v>6207.8777879999998</v>
      </c>
      <c r="AE264" s="6">
        <f>[1]Results!AH1601</f>
        <v>6296.5228260000004</v>
      </c>
      <c r="AF264" s="6">
        <f>[1]Results!AI1601</f>
        <v>6385.98243</v>
      </c>
      <c r="AG264" s="6">
        <f>[1]Results!AJ1601</f>
        <v>6476.4554539999999</v>
      </c>
      <c r="AH264" s="6">
        <f>[1]Results!AK1601</f>
        <v>6568.1609539999999</v>
      </c>
      <c r="AI264" s="6">
        <f>[1]Results!AL1601</f>
        <v>6661.1950239999996</v>
      </c>
      <c r="AJ264" s="6">
        <f>[1]Results!AM1601</f>
        <v>6755.6214239999999</v>
      </c>
      <c r="AK264" s="6">
        <f>[1]Results!AN1601</f>
        <v>6851.4710029999997</v>
      </c>
      <c r="AL264" s="6">
        <f>[1]Results!AO1601</f>
        <v>6948.7529169999998</v>
      </c>
      <c r="AM264" s="6">
        <f>[1]Results!AP1601</f>
        <v>7046.4202459999997</v>
      </c>
      <c r="AN264" s="6">
        <f>[1]Results!AQ1601</f>
        <v>7144.5779329999996</v>
      </c>
      <c r="AO264" s="6">
        <f>[1]Results!AR1601</f>
        <v>7243.4169140000004</v>
      </c>
      <c r="AP264" s="6">
        <f>[1]Results!AS1601</f>
        <v>7343.062696</v>
      </c>
      <c r="AQ264" s="6">
        <f>[1]Results!AT1601</f>
        <v>7443.615409</v>
      </c>
      <c r="AR264" s="6">
        <f>[1]Results!AU1601</f>
        <v>7545.2691169999998</v>
      </c>
      <c r="AS264" s="6">
        <f>[1]Results!AV1601</f>
        <v>7648.0851940000002</v>
      </c>
      <c r="AT264" s="6">
        <f>[1]Results!AW1601</f>
        <v>7752.1274659999999</v>
      </c>
      <c r="AU264" s="6">
        <f>[1]Results!AX1601</f>
        <v>7857.4439410000005</v>
      </c>
      <c r="AV264" s="6">
        <f>[1]Results!AY1601</f>
        <v>7964.0692550000003</v>
      </c>
      <c r="AW264" s="6">
        <f>[1]Results!AZ1601</f>
        <v>8072.5387730000002</v>
      </c>
      <c r="AX264" s="6">
        <f>[1]Results!BA1601</f>
        <v>8182.7492380000003</v>
      </c>
      <c r="AY264" s="6">
        <f>[1]Results!BB1601</f>
        <v>8294.6376849999997</v>
      </c>
      <c r="AZ264" s="6">
        <f>[1]Results!BC1601</f>
        <v>8408.1386500000008</v>
      </c>
      <c r="BA264" s="6">
        <f>[1]Results!BD1601</f>
        <v>8523.1957920000004</v>
      </c>
      <c r="BB264" s="6">
        <f>[1]Results!BE1601</f>
        <v>10315.183279999999</v>
      </c>
      <c r="BC264" s="6">
        <f>[1]Results!BF1601</f>
        <v>10501.124680000001</v>
      </c>
      <c r="BD264" s="6">
        <f>[1]Results!BG1601</f>
        <v>10690.10708</v>
      </c>
      <c r="BE264" s="6">
        <f>[1]Results!BH1601</f>
        <v>10882.175730000001</v>
      </c>
      <c r="BF264" s="6">
        <f>[1]Results!BI1601</f>
        <v>11077.383040000001</v>
      </c>
    </row>
    <row r="265" spans="1:58" x14ac:dyDescent="0.35">
      <c r="B265" t="s">
        <v>30</v>
      </c>
      <c r="C265" s="6">
        <f>[1]Results!F1604</f>
        <v>232614.27669999999</v>
      </c>
      <c r="D265" s="6">
        <f>[1]Results!G1604</f>
        <v>234128.9676</v>
      </c>
      <c r="E265" s="6">
        <f>[1]Results!H1604</f>
        <v>236349.84109999999</v>
      </c>
      <c r="F265" s="6">
        <f>[1]Results!I1604</f>
        <v>238985.4466</v>
      </c>
      <c r="G265" s="6">
        <f>[1]Results!J1604</f>
        <v>241878.21429999999</v>
      </c>
      <c r="H265" s="6">
        <f>[1]Results!K1604</f>
        <v>244946.1079</v>
      </c>
      <c r="I265" s="6">
        <f>[1]Results!L1604</f>
        <v>248061.67319999999</v>
      </c>
      <c r="J265" s="6">
        <f>[1]Results!M1604</f>
        <v>251225.4809</v>
      </c>
      <c r="K265" s="6">
        <f>[1]Results!N1604</f>
        <v>254447.68429999999</v>
      </c>
      <c r="L265" s="6">
        <f>[1]Results!O1604</f>
        <v>257738.54740000001</v>
      </c>
      <c r="M265" s="6">
        <f>[1]Results!P1604</f>
        <v>261052.9682</v>
      </c>
      <c r="N265" s="6">
        <f>[1]Results!Q1604</f>
        <v>264633.89049999998</v>
      </c>
      <c r="O265" s="6">
        <f>[1]Results!R1604</f>
        <v>268395.43449999997</v>
      </c>
      <c r="P265" s="6">
        <f>[1]Results!S1604</f>
        <v>272297.7905</v>
      </c>
      <c r="Q265" s="6">
        <f>[1]Results!T1604</f>
        <v>276325.54489999998</v>
      </c>
      <c r="R265" s="6">
        <f>[1]Results!U1604</f>
        <v>280474.2267</v>
      </c>
      <c r="S265" s="6">
        <f>[1]Results!V1604</f>
        <v>284733.86310000002</v>
      </c>
      <c r="T265" s="6">
        <f>[1]Results!W1604</f>
        <v>289109.99440000003</v>
      </c>
      <c r="U265" s="6">
        <f>[1]Results!X1604</f>
        <v>293607.14289999998</v>
      </c>
      <c r="V265" s="6">
        <f>[1]Results!Y1604</f>
        <v>298228.8443</v>
      </c>
      <c r="W265" s="6">
        <f>[1]Results!Z1604</f>
        <v>302870.40370000002</v>
      </c>
      <c r="X265" s="6">
        <f>[1]Results!AA1604</f>
        <v>307658.70689999999</v>
      </c>
      <c r="Y265" s="6">
        <f>[1]Results!AB1604</f>
        <v>312593.19569999998</v>
      </c>
      <c r="Z265" s="6">
        <f>[1]Results!AC1604</f>
        <v>317669.76899999997</v>
      </c>
      <c r="AA265" s="6">
        <f>[1]Results!AD1604</f>
        <v>322885.45860000001</v>
      </c>
      <c r="AB265" s="6">
        <f>[1]Results!AE1604</f>
        <v>327928.0232</v>
      </c>
      <c r="AC265" s="6">
        <f>[1]Results!AF1604</f>
        <v>333011.74180000002</v>
      </c>
      <c r="AD265" s="6">
        <f>[1]Results!AG1604</f>
        <v>338149.27559999999</v>
      </c>
      <c r="AE265" s="6">
        <f>[1]Results!AH1604</f>
        <v>343343.2255</v>
      </c>
      <c r="AF265" s="6">
        <f>[1]Results!AI1604</f>
        <v>348594.96029999998</v>
      </c>
      <c r="AG265" s="6">
        <f>[1]Results!AJ1604</f>
        <v>353905.06229999999</v>
      </c>
      <c r="AH265" s="6">
        <f>[1]Results!AK1604</f>
        <v>359276.28759999998</v>
      </c>
      <c r="AI265" s="6">
        <f>[1]Results!AL1604</f>
        <v>364706.17489999998</v>
      </c>
      <c r="AJ265" s="6">
        <f>[1]Results!AM1604</f>
        <v>370191.51150000002</v>
      </c>
      <c r="AK265" s="6">
        <f>[1]Results!AN1604</f>
        <v>375728.3273</v>
      </c>
      <c r="AL265" s="6">
        <f>[1]Results!AO1604</f>
        <v>381312.08270000003</v>
      </c>
      <c r="AM265" s="6">
        <f>[1]Results!AP1604</f>
        <v>386893.08</v>
      </c>
      <c r="AN265" s="6">
        <f>[1]Results!AQ1604</f>
        <v>392467.81319999998</v>
      </c>
      <c r="AO265" s="6">
        <f>[1]Results!AR1604</f>
        <v>398036.07040000003</v>
      </c>
      <c r="AP265" s="6">
        <f>[1]Results!AS1604</f>
        <v>403596.93770000001</v>
      </c>
      <c r="AQ265" s="6">
        <f>[1]Results!AT1604</f>
        <v>409149.1447</v>
      </c>
      <c r="AR265" s="6">
        <f>[1]Results!AU1604</f>
        <v>414696.79470000003</v>
      </c>
      <c r="AS265" s="6">
        <f>[1]Results!AV1604</f>
        <v>420237.71299999999</v>
      </c>
      <c r="AT265" s="6">
        <f>[1]Results!AW1604</f>
        <v>425770.54190000001</v>
      </c>
      <c r="AU265" s="6">
        <f>[1]Results!AX1604</f>
        <v>431294.3444</v>
      </c>
      <c r="AV265" s="6">
        <f>[1]Results!AY1604</f>
        <v>436808.42560000002</v>
      </c>
      <c r="AW265" s="6">
        <f>[1]Results!AZ1604</f>
        <v>442337.78830000001</v>
      </c>
      <c r="AX265" s="6">
        <f>[1]Results!BA1604</f>
        <v>447876.16350000002</v>
      </c>
      <c r="AY265" s="6">
        <f>[1]Results!BB1604</f>
        <v>453419.45699999999</v>
      </c>
      <c r="AZ265" s="6">
        <f>[1]Results!BC1604</f>
        <v>458965.13280000002</v>
      </c>
      <c r="BA265" s="6">
        <f>[1]Results!BD1604</f>
        <v>464511.8518</v>
      </c>
      <c r="BB265" s="6">
        <f>[1]Results!BE1604</f>
        <v>617742.98450000002</v>
      </c>
      <c r="BC265" s="6">
        <f>[1]Results!BF1604</f>
        <v>629611.85600000003</v>
      </c>
      <c r="BD265" s="6">
        <f>[1]Results!BG1604</f>
        <v>641570.32310000004</v>
      </c>
      <c r="BE265" s="6">
        <f>[1]Results!BH1604</f>
        <v>653612.58900000004</v>
      </c>
      <c r="BF265" s="6">
        <f>[1]Results!BI1604</f>
        <v>665733.37950000004</v>
      </c>
    </row>
    <row r="266" spans="1:58" x14ac:dyDescent="0.35">
      <c r="B266" t="s">
        <v>28</v>
      </c>
      <c r="C266" s="6">
        <f>[1]Results!F1616</f>
        <v>7876.822897</v>
      </c>
      <c r="D266" s="6">
        <f>[1]Results!G1616</f>
        <v>7908.9426789999998</v>
      </c>
      <c r="E266" s="6">
        <f>[1]Results!H1616</f>
        <v>7976.8704989999997</v>
      </c>
      <c r="F266" s="6">
        <f>[1]Results!I1616</f>
        <v>8061.4539839999998</v>
      </c>
      <c r="G266" s="6">
        <f>[1]Results!J1616</f>
        <v>8155.4593130000003</v>
      </c>
      <c r="H266" s="6">
        <f>[1]Results!K1616</f>
        <v>8255.7357080000002</v>
      </c>
      <c r="I266" s="6">
        <f>[1]Results!L1616</f>
        <v>8356.3611299999993</v>
      </c>
      <c r="J266" s="6">
        <f>[1]Results!M1616</f>
        <v>8458.2988430000005</v>
      </c>
      <c r="K266" s="6">
        <f>[1]Results!N1616</f>
        <v>8561.8278499999997</v>
      </c>
      <c r="L266" s="6">
        <f>[1]Results!O1616</f>
        <v>8666.9000520000009</v>
      </c>
      <c r="M266" s="6">
        <f>[1]Results!P1616</f>
        <v>8768.2552770000002</v>
      </c>
      <c r="N266" s="6">
        <f>[1]Results!Q1616</f>
        <v>8882.3711359999998</v>
      </c>
      <c r="O266" s="6">
        <f>[1]Results!R1616</f>
        <v>9002.1694389999993</v>
      </c>
      <c r="P266" s="6">
        <f>[1]Results!S1616</f>
        <v>9124.8482199999999</v>
      </c>
      <c r="Q266" s="6">
        <f>[1]Results!T1616</f>
        <v>9249.4240379999992</v>
      </c>
      <c r="R266" s="6">
        <f>[1]Results!U1616</f>
        <v>9375.563682</v>
      </c>
      <c r="S266" s="6">
        <f>[1]Results!V1616</f>
        <v>9502.5467979999994</v>
      </c>
      <c r="T266" s="6">
        <f>[1]Results!W1616</f>
        <v>9630.6903139999995</v>
      </c>
      <c r="U266" s="6">
        <f>[1]Results!X1616</f>
        <v>9760.1659010000003</v>
      </c>
      <c r="V266" s="6">
        <f>[1]Results!Y1616</f>
        <v>9891.0880940000006</v>
      </c>
      <c r="W266" s="6">
        <f>[1]Results!Z1616</f>
        <v>10018.42938</v>
      </c>
      <c r="X266" s="6">
        <f>[1]Results!AA1616</f>
        <v>10149.6967</v>
      </c>
      <c r="Y266" s="6">
        <f>[1]Results!AB1616</f>
        <v>10283.81756</v>
      </c>
      <c r="Z266" s="6">
        <f>[1]Results!AC1616</f>
        <v>10420.32591</v>
      </c>
      <c r="AA266" s="6">
        <f>[1]Results!AD1616</f>
        <v>10559.10267</v>
      </c>
      <c r="AB266" s="6">
        <f>[1]Results!AE1616</f>
        <v>10685.435090000001</v>
      </c>
      <c r="AC266" s="6">
        <f>[1]Results!AF1616</f>
        <v>10813.901760000001</v>
      </c>
      <c r="AD266" s="6">
        <f>[1]Results!AG1616</f>
        <v>10944.03751</v>
      </c>
      <c r="AE266" s="6">
        <f>[1]Results!AH1616</f>
        <v>11075.658100000001</v>
      </c>
      <c r="AF266" s="6">
        <f>[1]Results!AI1616</f>
        <v>11208.864380000001</v>
      </c>
      <c r="AG266" s="6">
        <f>[1]Results!AJ1616</f>
        <v>11343.829680000001</v>
      </c>
      <c r="AH266" s="6">
        <f>[1]Results!AK1616</f>
        <v>11480.899960000001</v>
      </c>
      <c r="AI266" s="6">
        <f>[1]Results!AL1616</f>
        <v>11620.09511</v>
      </c>
      <c r="AJ266" s="6">
        <f>[1]Results!AM1616</f>
        <v>11761.44112</v>
      </c>
      <c r="AK266" s="6">
        <f>[1]Results!AN1616</f>
        <v>11904.94663</v>
      </c>
      <c r="AL266" s="6">
        <f>[1]Results!AO1616</f>
        <v>12050.60016</v>
      </c>
      <c r="AM266" s="6">
        <f>[1]Results!AP1616</f>
        <v>12196.64755</v>
      </c>
      <c r="AN266" s="6">
        <f>[1]Results!AQ1616</f>
        <v>12343.65632</v>
      </c>
      <c r="AO266" s="6">
        <f>[1]Results!AR1616</f>
        <v>12491.938029999999</v>
      </c>
      <c r="AP266" s="6">
        <f>[1]Results!AS1616</f>
        <v>12641.64795</v>
      </c>
      <c r="AQ266" s="6">
        <f>[1]Results!AT1616</f>
        <v>12792.888059999999</v>
      </c>
      <c r="AR266" s="6">
        <f>[1]Results!AU1616</f>
        <v>12946.050569999999</v>
      </c>
      <c r="AS266" s="6">
        <f>[1]Results!AV1616</f>
        <v>13101.061100000001</v>
      </c>
      <c r="AT266" s="6">
        <f>[1]Results!AW1616</f>
        <v>13257.91678</v>
      </c>
      <c r="AU266" s="6">
        <f>[1]Results!AX1616</f>
        <v>13416.6345</v>
      </c>
      <c r="AV266" s="6">
        <f>[1]Results!AY1616</f>
        <v>13577.23005</v>
      </c>
      <c r="AW266" s="6">
        <f>[1]Results!AZ1616</f>
        <v>13741.13176</v>
      </c>
      <c r="AX266" s="6">
        <f>[1]Results!BA1616</f>
        <v>13907.67236</v>
      </c>
      <c r="AY266" s="6">
        <f>[1]Results!BB1616</f>
        <v>14076.55121</v>
      </c>
      <c r="AZ266" s="6">
        <f>[1]Results!BC1616</f>
        <v>14247.62808</v>
      </c>
      <c r="BA266" s="6">
        <f>[1]Results!BD1616</f>
        <v>14420.82979</v>
      </c>
      <c r="BB266" s="6">
        <f>[1]Results!BE1616</f>
        <v>18304.411169999999</v>
      </c>
      <c r="BC266" s="6">
        <f>[1]Results!BF1616</f>
        <v>18627.571029999999</v>
      </c>
      <c r="BD266" s="6">
        <f>[1]Results!BG1616</f>
        <v>18956.537619999999</v>
      </c>
      <c r="BE266" s="6">
        <f>[1]Results!BH1616</f>
        <v>19291.396369999999</v>
      </c>
      <c r="BF266" s="6">
        <f>[1]Results!BI1616</f>
        <v>19632.235570000001</v>
      </c>
    </row>
    <row r="267" spans="1:58" x14ac:dyDescent="0.35">
      <c r="B267" t="s">
        <v>10</v>
      </c>
      <c r="C267" s="6">
        <f>[1]Results!F1621</f>
        <v>217953.1292</v>
      </c>
      <c r="D267" s="6">
        <f>[1]Results!G1621</f>
        <v>219467.33489999999</v>
      </c>
      <c r="E267" s="6">
        <f>[1]Results!H1621</f>
        <v>221515.3285</v>
      </c>
      <c r="F267" s="6">
        <f>[1]Results!I1621</f>
        <v>223947.44409999999</v>
      </c>
      <c r="G267" s="6">
        <f>[1]Results!J1621</f>
        <v>226665.10200000001</v>
      </c>
      <c r="H267" s="6">
        <f>[1]Results!K1621</f>
        <v>229607.75690000001</v>
      </c>
      <c r="I267" s="6">
        <f>[1]Results!L1621</f>
        <v>232635.36139999999</v>
      </c>
      <c r="J267" s="6">
        <f>[1]Results!M1621</f>
        <v>235754.9094</v>
      </c>
      <c r="K267" s="6">
        <f>[1]Results!N1621</f>
        <v>238971.1398</v>
      </c>
      <c r="L267" s="6">
        <f>[1]Results!O1621</f>
        <v>242284.11480000001</v>
      </c>
      <c r="M267" s="6">
        <f>[1]Results!P1621</f>
        <v>245725.0355</v>
      </c>
      <c r="N267" s="6">
        <f>[1]Results!Q1621</f>
        <v>249345.78520000001</v>
      </c>
      <c r="O267" s="6">
        <f>[1]Results!R1621</f>
        <v>253105.58309999999</v>
      </c>
      <c r="P267" s="6">
        <f>[1]Results!S1621</f>
        <v>256978.2623</v>
      </c>
      <c r="Q267" s="6">
        <f>[1]Results!T1621</f>
        <v>260950.6361</v>
      </c>
      <c r="R267" s="6">
        <f>[1]Results!U1621</f>
        <v>265015.94790000003</v>
      </c>
      <c r="S267" s="6">
        <f>[1]Results!V1621</f>
        <v>269162.8076</v>
      </c>
      <c r="T267" s="6">
        <f>[1]Results!W1621</f>
        <v>273390.14769999997</v>
      </c>
      <c r="U267" s="6">
        <f>[1]Results!X1621</f>
        <v>277696.89449999999</v>
      </c>
      <c r="V267" s="6">
        <f>[1]Results!Y1621</f>
        <v>282081.64939999999</v>
      </c>
      <c r="W267" s="6">
        <f>[1]Results!Z1621</f>
        <v>286413.38089999999</v>
      </c>
      <c r="X267" s="6">
        <f>[1]Results!AA1621</f>
        <v>290857.01250000001</v>
      </c>
      <c r="Y267" s="6">
        <f>[1]Results!AB1621</f>
        <v>295399.1421</v>
      </c>
      <c r="Z267" s="6">
        <f>[1]Results!AC1621</f>
        <v>300029.11330000003</v>
      </c>
      <c r="AA267" s="6">
        <f>[1]Results!AD1621</f>
        <v>304741.46990000003</v>
      </c>
      <c r="AB267" s="6">
        <f>[1]Results!AE1621</f>
        <v>309158.00510000001</v>
      </c>
      <c r="AC267" s="6">
        <f>[1]Results!AF1621</f>
        <v>313583.41230000003</v>
      </c>
      <c r="AD267" s="6">
        <f>[1]Results!AG1621</f>
        <v>318028.4362</v>
      </c>
      <c r="AE267" s="6">
        <f>[1]Results!AH1621</f>
        <v>322496.06390000001</v>
      </c>
      <c r="AF267" s="6">
        <f>[1]Results!AI1621</f>
        <v>326991.89490000001</v>
      </c>
      <c r="AG267" s="6">
        <f>[1]Results!AJ1621</f>
        <v>331522.07919999998</v>
      </c>
      <c r="AH267" s="6">
        <f>[1]Results!AK1621</f>
        <v>336094.12800000003</v>
      </c>
      <c r="AI267" s="6">
        <f>[1]Results!AL1621</f>
        <v>340711.26429999998</v>
      </c>
      <c r="AJ267" s="6">
        <f>[1]Results!AM1621</f>
        <v>345375.3518</v>
      </c>
      <c r="AK267" s="6">
        <f>[1]Results!AN1621</f>
        <v>350087.26610000001</v>
      </c>
      <c r="AL267" s="6">
        <f>[1]Results!AO1621</f>
        <v>354847.23729999998</v>
      </c>
      <c r="AM267" s="6">
        <f>[1]Results!AP1621</f>
        <v>359586.1054</v>
      </c>
      <c r="AN267" s="6">
        <f>[1]Results!AQ1621</f>
        <v>364323.25449999998</v>
      </c>
      <c r="AO267" s="6">
        <f>[1]Results!AR1621</f>
        <v>369070.68190000003</v>
      </c>
      <c r="AP267" s="6">
        <f>[1]Results!AS1621</f>
        <v>373835.57799999998</v>
      </c>
      <c r="AQ267" s="6">
        <f>[1]Results!AT1621</f>
        <v>378623.5699</v>
      </c>
      <c r="AR267" s="6">
        <f>[1]Results!AU1621</f>
        <v>383443.59580000001</v>
      </c>
      <c r="AS267" s="6">
        <f>[1]Results!AV1621</f>
        <v>388299.58299999998</v>
      </c>
      <c r="AT267" s="6">
        <f>[1]Results!AW1621</f>
        <v>393194.97169999999</v>
      </c>
      <c r="AU267" s="6">
        <f>[1]Results!AX1621</f>
        <v>398132.74349999998</v>
      </c>
      <c r="AV267" s="6">
        <f>[1]Results!AY1621</f>
        <v>403115.40010000003</v>
      </c>
      <c r="AW267" s="6">
        <f>[1]Results!AZ1621</f>
        <v>408166.79759999999</v>
      </c>
      <c r="AX267" s="6">
        <f>[1]Results!BA1621</f>
        <v>413283.23979999998</v>
      </c>
      <c r="AY267" s="6">
        <f>[1]Results!BB1621</f>
        <v>418461.72129999998</v>
      </c>
      <c r="AZ267" s="6">
        <f>[1]Results!BC1621</f>
        <v>423700.49369999999</v>
      </c>
      <c r="BA267" s="6">
        <f>[1]Results!BD1621</f>
        <v>428998.77779999998</v>
      </c>
      <c r="BB267" s="6">
        <f>[1]Results!BE1621</f>
        <v>520690.10560000001</v>
      </c>
      <c r="BC267" s="6">
        <f>[1]Results!BF1621</f>
        <v>529771.0233</v>
      </c>
      <c r="BD267" s="6">
        <f>[1]Results!BG1621</f>
        <v>538983.70779999997</v>
      </c>
      <c r="BE267" s="6">
        <f>[1]Results!BH1621</f>
        <v>548329.81590000005</v>
      </c>
      <c r="BF267" s="6">
        <f>[1]Results!BI1621</f>
        <v>557811.28489999997</v>
      </c>
    </row>
    <row r="268" spans="1:58" x14ac:dyDescent="0.35">
      <c r="B268" t="s">
        <v>31</v>
      </c>
      <c r="C268" s="6">
        <f>[1]Results!F1624</f>
        <v>2221.3875149999999</v>
      </c>
      <c r="D268" s="6">
        <f>[1]Results!G1624</f>
        <v>2223.7003020000002</v>
      </c>
      <c r="E268" s="6">
        <f>[1]Results!H1624</f>
        <v>2228.2104180000001</v>
      </c>
      <c r="F268" s="6">
        <f>[1]Results!I1624</f>
        <v>2234.5969919999998</v>
      </c>
      <c r="G268" s="6">
        <f>[1]Results!J1624</f>
        <v>2243.4352159999999</v>
      </c>
      <c r="H268" s="6">
        <f>[1]Results!K1624</f>
        <v>2254.9666980000002</v>
      </c>
      <c r="I268" s="6">
        <f>[1]Results!L1624</f>
        <v>2268.1607020000001</v>
      </c>
      <c r="J268" s="6">
        <f>[1]Results!M1624</f>
        <v>2283.0283880000002</v>
      </c>
      <c r="K268" s="6">
        <f>[1]Results!N1624</f>
        <v>2299.397301</v>
      </c>
      <c r="L268" s="6">
        <f>[1]Results!O1624</f>
        <v>2317.0024830000002</v>
      </c>
      <c r="M268" s="6">
        <f>[1]Results!P1624</f>
        <v>2334.4231249999998</v>
      </c>
      <c r="N268" s="6">
        <f>[1]Results!Q1624</f>
        <v>2355.0910570000001</v>
      </c>
      <c r="O268" s="6">
        <f>[1]Results!R1624</f>
        <v>2377.6509769999998</v>
      </c>
      <c r="P268" s="6">
        <f>[1]Results!S1624</f>
        <v>2401.4291819999999</v>
      </c>
      <c r="Q268" s="6">
        <f>[1]Results!T1624</f>
        <v>2426.1435839999999</v>
      </c>
      <c r="R268" s="6">
        <f>[1]Results!U1624</f>
        <v>2451.658113</v>
      </c>
      <c r="S268" s="6">
        <f>[1]Results!V1624</f>
        <v>2477.7765840000002</v>
      </c>
      <c r="T268" s="6">
        <f>[1]Results!W1624</f>
        <v>2504.4859700000002</v>
      </c>
      <c r="U268" s="6">
        <f>[1]Results!X1624</f>
        <v>2531.7572610000002</v>
      </c>
      <c r="V268" s="6">
        <f>[1]Results!Y1624</f>
        <v>2559.5557199999998</v>
      </c>
      <c r="W268" s="6">
        <f>[1]Results!Z1624</f>
        <v>2586.7977620000001</v>
      </c>
      <c r="X268" s="6">
        <f>[1]Results!AA1624</f>
        <v>2614.8772330000002</v>
      </c>
      <c r="Y268" s="6">
        <f>[1]Results!AB1624</f>
        <v>2643.6285790000002</v>
      </c>
      <c r="Z268" s="6">
        <f>[1]Results!AC1624</f>
        <v>2672.9319260000002</v>
      </c>
      <c r="AA268" s="6">
        <f>[1]Results!AD1624</f>
        <v>2702.7367370000002</v>
      </c>
      <c r="AB268" s="6">
        <f>[1]Results!AE1624</f>
        <v>2730.017488</v>
      </c>
      <c r="AC268" s="6">
        <f>[1]Results!AF1624</f>
        <v>2757.4486390000002</v>
      </c>
      <c r="AD268" s="6">
        <f>[1]Results!AG1624</f>
        <v>2785.0614019999998</v>
      </c>
      <c r="AE268" s="6">
        <f>[1]Results!AH1624</f>
        <v>2812.8266149999999</v>
      </c>
      <c r="AF268" s="6">
        <f>[1]Results!AI1624</f>
        <v>2840.7658430000001</v>
      </c>
      <c r="AG268" s="6">
        <f>[1]Results!AJ1624</f>
        <v>2868.9226100000001</v>
      </c>
      <c r="AH268" s="6">
        <f>[1]Results!AK1624</f>
        <v>2897.3758429999998</v>
      </c>
      <c r="AI268" s="6">
        <f>[1]Results!AL1624</f>
        <v>2926.152133</v>
      </c>
      <c r="AJ268" s="6">
        <f>[1]Results!AM1624</f>
        <v>2955.2786110000002</v>
      </c>
      <c r="AK268" s="6">
        <f>[1]Results!AN1624</f>
        <v>2984.7788799999998</v>
      </c>
      <c r="AL268" s="6">
        <f>[1]Results!AO1624</f>
        <v>3014.6721640000001</v>
      </c>
      <c r="AM268" s="6">
        <f>[1]Results!AP1624</f>
        <v>3044.5681</v>
      </c>
      <c r="AN268" s="6">
        <f>[1]Results!AQ1624</f>
        <v>3074.5755399999998</v>
      </c>
      <c r="AO268" s="6">
        <f>[1]Results!AR1624</f>
        <v>3104.7841920000001</v>
      </c>
      <c r="AP268" s="6">
        <f>[1]Results!AS1624</f>
        <v>3135.2513749999998</v>
      </c>
      <c r="AQ268" s="6">
        <f>[1]Results!AT1624</f>
        <v>3166.0179939999998</v>
      </c>
      <c r="AR268" s="6">
        <f>[1]Results!AU1624</f>
        <v>3197.1685750000001</v>
      </c>
      <c r="AS268" s="6">
        <f>[1]Results!AV1624</f>
        <v>3228.7067229999998</v>
      </c>
      <c r="AT268" s="6">
        <f>[1]Results!AW1624</f>
        <v>3260.6451320000001</v>
      </c>
      <c r="AU268" s="6">
        <f>[1]Results!AX1624</f>
        <v>3292.9993669999999</v>
      </c>
      <c r="AV268" s="6">
        <f>[1]Results!AY1624</f>
        <v>3325.783876</v>
      </c>
      <c r="AW268" s="6">
        <f>[1]Results!AZ1624</f>
        <v>3359.2592399999999</v>
      </c>
      <c r="AX268" s="6">
        <f>[1]Results!BA1624</f>
        <v>3393.3294940000001</v>
      </c>
      <c r="AY268" s="6">
        <f>[1]Results!BB1624</f>
        <v>3427.9537489999998</v>
      </c>
      <c r="AZ268" s="6">
        <f>[1]Results!BC1624</f>
        <v>3463.1205660000001</v>
      </c>
      <c r="BA268" s="6">
        <f>[1]Results!BD1624</f>
        <v>3498.8290099999999</v>
      </c>
      <c r="BB268" s="6">
        <f>[1]Results!BE1624</f>
        <v>4426.5473080000002</v>
      </c>
      <c r="BC268" s="6">
        <f>[1]Results!BF1624</f>
        <v>4495.1861529999996</v>
      </c>
      <c r="BD268" s="6">
        <f>[1]Results!BG1624</f>
        <v>4564.88544</v>
      </c>
      <c r="BE268" s="6">
        <f>[1]Results!BH1624</f>
        <v>4635.66716</v>
      </c>
      <c r="BF268" s="6">
        <f>[1]Results!BI1624</f>
        <v>4707.5559839999996</v>
      </c>
    </row>
    <row r="269" spans="1:58" x14ac:dyDescent="0.35">
      <c r="B269" t="s">
        <v>33</v>
      </c>
      <c r="C269" s="6">
        <f>[1]Results!F1629</f>
        <v>3605.3139620000002</v>
      </c>
      <c r="D269" s="6">
        <f>[1]Results!G1629</f>
        <v>3612.5619040000001</v>
      </c>
      <c r="E269" s="6">
        <f>[1]Results!H1629</f>
        <v>3621.2189629999998</v>
      </c>
      <c r="F269" s="6">
        <f>[1]Results!I1629</f>
        <v>3631.4423729999999</v>
      </c>
      <c r="G269" s="6">
        <f>[1]Results!J1629</f>
        <v>3644.716754</v>
      </c>
      <c r="H269" s="6">
        <f>[1]Results!K1629</f>
        <v>3661.8832969999999</v>
      </c>
      <c r="I269" s="6">
        <f>[1]Results!L1629</f>
        <v>3681.5835769999999</v>
      </c>
      <c r="J269" s="6">
        <f>[1]Results!M1629</f>
        <v>3703.5705830000002</v>
      </c>
      <c r="K269" s="6">
        <f>[1]Results!N1629</f>
        <v>3727.393716</v>
      </c>
      <c r="L269" s="6">
        <f>[1]Results!O1629</f>
        <v>3752.4128689999998</v>
      </c>
      <c r="M269" s="6">
        <f>[1]Results!P1629</f>
        <v>3777.6803570000002</v>
      </c>
      <c r="N269" s="6">
        <f>[1]Results!Q1629</f>
        <v>3804.9602129999998</v>
      </c>
      <c r="O269" s="6">
        <f>[1]Results!R1629</f>
        <v>3833.3057389999999</v>
      </c>
      <c r="P269" s="6">
        <f>[1]Results!S1629</f>
        <v>3862.2698019999998</v>
      </c>
      <c r="Q269" s="6">
        <f>[1]Results!T1629</f>
        <v>3891.713522</v>
      </c>
      <c r="R269" s="6">
        <f>[1]Results!U1629</f>
        <v>3921.5929999999998</v>
      </c>
      <c r="S269" s="6">
        <f>[1]Results!V1629</f>
        <v>3951.7870330000001</v>
      </c>
      <c r="T269" s="6">
        <f>[1]Results!W1629</f>
        <v>3982.28856</v>
      </c>
      <c r="U269" s="6">
        <f>[1]Results!X1629</f>
        <v>4013.1121929999999</v>
      </c>
      <c r="V269" s="6">
        <f>[1]Results!Y1629</f>
        <v>4044.294684</v>
      </c>
      <c r="W269" s="6">
        <f>[1]Results!Z1629</f>
        <v>4074.2785210000002</v>
      </c>
      <c r="X269" s="6">
        <f>[1]Results!AA1629</f>
        <v>4105.1052470000004</v>
      </c>
      <c r="Y269" s="6">
        <f>[1]Results!AB1629</f>
        <v>4136.8715199999997</v>
      </c>
      <c r="Z269" s="6">
        <f>[1]Results!AC1629</f>
        <v>4169.510029</v>
      </c>
      <c r="AA269" s="6">
        <f>[1]Results!AD1629</f>
        <v>4203.0085300000001</v>
      </c>
      <c r="AB269" s="6">
        <f>[1]Results!AE1629</f>
        <v>4232.8435259999997</v>
      </c>
      <c r="AC269" s="6">
        <f>[1]Results!AF1629</f>
        <v>4262.562062</v>
      </c>
      <c r="AD269" s="6">
        <f>[1]Results!AG1629</f>
        <v>4292.7786070000002</v>
      </c>
      <c r="AE269" s="6">
        <f>[1]Results!AH1629</f>
        <v>4323.6660110000003</v>
      </c>
      <c r="AF269" s="6">
        <f>[1]Results!AI1629</f>
        <v>4355.3479010000001</v>
      </c>
      <c r="AG269" s="6">
        <f>[1]Results!AJ1629</f>
        <v>4387.9434959999999</v>
      </c>
      <c r="AH269" s="6">
        <f>[1]Results!AK1629</f>
        <v>4421.5856979999999</v>
      </c>
      <c r="AI269" s="6">
        <f>[1]Results!AL1629</f>
        <v>4456.3668539999999</v>
      </c>
      <c r="AJ269" s="6">
        <f>[1]Results!AM1629</f>
        <v>4492.3568329999998</v>
      </c>
      <c r="AK269" s="6">
        <f>[1]Results!AN1629</f>
        <v>4529.6028880000003</v>
      </c>
      <c r="AL269" s="6">
        <f>[1]Results!AO1629</f>
        <v>4568.1346039999999</v>
      </c>
      <c r="AM269" s="6">
        <f>[1]Results!AP1629</f>
        <v>4607.1172109999998</v>
      </c>
      <c r="AN269" s="6">
        <f>[1]Results!AQ1629</f>
        <v>4646.7921150000002</v>
      </c>
      <c r="AO269" s="6">
        <f>[1]Results!AR1629</f>
        <v>4687.3887580000001</v>
      </c>
      <c r="AP269" s="6">
        <f>[1]Results!AS1629</f>
        <v>4729.0085900000004</v>
      </c>
      <c r="AQ269" s="6">
        <f>[1]Results!AT1629</f>
        <v>4771.6876510000002</v>
      </c>
      <c r="AR269" s="6">
        <f>[1]Results!AU1629</f>
        <v>4815.4692219999997</v>
      </c>
      <c r="AS269" s="6">
        <f>[1]Results!AV1629</f>
        <v>4860.3529840000001</v>
      </c>
      <c r="AT269" s="6">
        <f>[1]Results!AW1629</f>
        <v>4906.3292419999998</v>
      </c>
      <c r="AU269" s="6">
        <f>[1]Results!AX1629</f>
        <v>4953.3783489999996</v>
      </c>
      <c r="AV269" s="6">
        <f>[1]Results!AY1629</f>
        <v>5001.4755709999999</v>
      </c>
      <c r="AW269" s="6">
        <f>[1]Results!AZ1629</f>
        <v>5050.8066360000003</v>
      </c>
      <c r="AX269" s="6">
        <f>[1]Results!BA1629</f>
        <v>5101.3313340000004</v>
      </c>
      <c r="AY269" s="6">
        <f>[1]Results!BB1629</f>
        <v>5152.992827</v>
      </c>
      <c r="AZ269" s="6">
        <f>[1]Results!BC1629</f>
        <v>5205.7199490000003</v>
      </c>
      <c r="BA269" s="6">
        <f>[1]Results!BD1629</f>
        <v>5259.4434259999998</v>
      </c>
      <c r="BB269" s="6">
        <f>[1]Results!BE1629</f>
        <v>6403.448018</v>
      </c>
      <c r="BC269" s="6">
        <f>[1]Results!BF1629</f>
        <v>6503.0164150000001</v>
      </c>
      <c r="BD269" s="6">
        <f>[1]Results!BG1629</f>
        <v>6604.5586430000003</v>
      </c>
      <c r="BE269" s="6">
        <f>[1]Results!BH1629</f>
        <v>6708.0768269999999</v>
      </c>
      <c r="BF269" s="6">
        <f>[1]Results!BI1629</f>
        <v>6813.5759399999997</v>
      </c>
    </row>
    <row r="271" spans="1:58" x14ac:dyDescent="0.35">
      <c r="A271" s="12" t="s">
        <v>21</v>
      </c>
      <c r="B271" t="s">
        <v>26</v>
      </c>
      <c r="C271" s="6">
        <f>[1]Results!F1639</f>
        <v>473222.20449999999</v>
      </c>
      <c r="D271" s="6">
        <f>[1]Results!G1639</f>
        <v>479535.71799999999</v>
      </c>
      <c r="E271" s="6">
        <f>[1]Results!H1639</f>
        <v>486404.21620000002</v>
      </c>
      <c r="F271" s="6">
        <f>[1]Results!I1639</f>
        <v>493756.32160000002</v>
      </c>
      <c r="G271" s="6">
        <f>[1]Results!J1639</f>
        <v>501524.69660000002</v>
      </c>
      <c r="H271" s="6">
        <f>[1]Results!K1639</f>
        <v>509663.84749999997</v>
      </c>
      <c r="I271" s="6">
        <f>[1]Results!L1639</f>
        <v>517948.18280000001</v>
      </c>
      <c r="J271" s="6">
        <f>[1]Results!M1639</f>
        <v>526410.65689999994</v>
      </c>
      <c r="K271" s="6">
        <f>[1]Results!N1639</f>
        <v>535078.52879999997</v>
      </c>
      <c r="L271" s="6">
        <f>[1]Results!O1639</f>
        <v>543968.3112</v>
      </c>
      <c r="M271" s="6">
        <f>[1]Results!P1639</f>
        <v>553440.23609999998</v>
      </c>
      <c r="N271" s="6">
        <f>[1]Results!Q1639</f>
        <v>563065.29269999999</v>
      </c>
      <c r="O271" s="6">
        <f>[1]Results!R1639</f>
        <v>572866.74780000001</v>
      </c>
      <c r="P271" s="6">
        <f>[1]Results!S1639</f>
        <v>582865.13520000002</v>
      </c>
      <c r="Q271" s="6">
        <f>[1]Results!T1639</f>
        <v>593069.4804</v>
      </c>
      <c r="R271" s="6">
        <f>[1]Results!U1639</f>
        <v>603483.72750000004</v>
      </c>
      <c r="S271" s="6">
        <f>[1]Results!V1639</f>
        <v>614110.22360000003</v>
      </c>
      <c r="T271" s="6">
        <f>[1]Results!W1639</f>
        <v>624950.97450000001</v>
      </c>
      <c r="U271" s="6">
        <f>[1]Results!X1639</f>
        <v>636007.82849999995</v>
      </c>
      <c r="V271" s="6">
        <f>[1]Results!Y1639</f>
        <v>647282.27859999996</v>
      </c>
      <c r="W271" s="6">
        <f>[1]Results!Z1639</f>
        <v>658510.55299999996</v>
      </c>
      <c r="X271" s="6">
        <f>[1]Results!AA1639</f>
        <v>670018.11320000002</v>
      </c>
      <c r="Y271" s="6">
        <f>[1]Results!AB1639</f>
        <v>681788.45440000005</v>
      </c>
      <c r="Z271" s="6">
        <f>[1]Results!AC1639</f>
        <v>693804.71589999995</v>
      </c>
      <c r="AA271" s="6">
        <f>[1]Results!AD1639</f>
        <v>706056.9031</v>
      </c>
      <c r="AB271" s="6">
        <f>[1]Results!AE1639</f>
        <v>717765.83059999999</v>
      </c>
      <c r="AC271" s="6">
        <f>[1]Results!AF1639</f>
        <v>729504.46380000003</v>
      </c>
      <c r="AD271" s="6">
        <f>[1]Results!AG1639</f>
        <v>741298.69669999997</v>
      </c>
      <c r="AE271" s="6">
        <f>[1]Results!AH1639</f>
        <v>753155.01020000002</v>
      </c>
      <c r="AF271" s="6">
        <f>[1]Results!AI1639</f>
        <v>765081.60789999994</v>
      </c>
      <c r="AG271" s="6">
        <f>[1]Results!AJ1639</f>
        <v>777086.3591</v>
      </c>
      <c r="AH271" s="6">
        <f>[1]Results!AK1639</f>
        <v>789174.87</v>
      </c>
      <c r="AI271" s="6">
        <f>[1]Results!AL1639</f>
        <v>801349.80110000004</v>
      </c>
      <c r="AJ271" s="6">
        <f>[1]Results!AM1639</f>
        <v>813611.05669999996</v>
      </c>
      <c r="AK271" s="6">
        <f>[1]Results!AN1639</f>
        <v>825956.42440000002</v>
      </c>
      <c r="AL271" s="6">
        <f>[1]Results!AO1639</f>
        <v>838382.36239999998</v>
      </c>
      <c r="AM271" s="6">
        <f>[1]Results!AP1639</f>
        <v>850694.96979999996</v>
      </c>
      <c r="AN271" s="6">
        <f>[1]Results!AQ1639</f>
        <v>862930.71739999996</v>
      </c>
      <c r="AO271" s="6">
        <f>[1]Results!AR1639</f>
        <v>875116.26710000006</v>
      </c>
      <c r="AP271" s="6">
        <f>[1]Results!AS1639</f>
        <v>887268.72759999998</v>
      </c>
      <c r="AQ271" s="6">
        <f>[1]Results!AT1639</f>
        <v>899400.95730000001</v>
      </c>
      <c r="AR271" s="6">
        <f>[1]Results!AU1639</f>
        <v>911523.86580000003</v>
      </c>
      <c r="AS271" s="6">
        <f>[1]Results!AV1639</f>
        <v>923647.1298</v>
      </c>
      <c r="AT271" s="6">
        <f>[1]Results!AW1639</f>
        <v>935779.36780000001</v>
      </c>
      <c r="AU271" s="6">
        <f>[1]Results!AX1639</f>
        <v>947928.24899999995</v>
      </c>
      <c r="AV271" s="6">
        <f>[1]Results!AY1639</f>
        <v>960100.6888</v>
      </c>
      <c r="AW271" s="6">
        <f>[1]Results!AZ1639</f>
        <v>972320.42859999998</v>
      </c>
      <c r="AX271" s="6">
        <f>[1]Results!BA1639</f>
        <v>984590.03749999998</v>
      </c>
      <c r="AY271" s="6">
        <f>[1]Results!BB1639</f>
        <v>996913.12549999997</v>
      </c>
      <c r="AZ271" s="6">
        <f>[1]Results!BC1639</f>
        <v>1009294.171</v>
      </c>
      <c r="BA271" s="6">
        <f>[1]Results!BD1639</f>
        <v>1021738.414</v>
      </c>
      <c r="BB271" s="6">
        <f>[1]Results!BE1639</f>
        <v>1178106.1470000001</v>
      </c>
      <c r="BC271" s="6">
        <f>[1]Results!BF1639</f>
        <v>1199473.1200000001</v>
      </c>
      <c r="BD271" s="6">
        <f>[1]Results!BG1639</f>
        <v>1221043.7919999999</v>
      </c>
      <c r="BE271" s="6">
        <f>[1]Results!BH1639</f>
        <v>1242814.6680000001</v>
      </c>
      <c r="BF271" s="6">
        <f>[1]Results!BI1639</f>
        <v>1264783.2679999999</v>
      </c>
    </row>
    <row r="272" spans="1:58" x14ac:dyDescent="0.35">
      <c r="A272" t="s">
        <v>38</v>
      </c>
      <c r="B272" t="s">
        <v>7</v>
      </c>
      <c r="C272" s="6">
        <f>[1]Results!F1640</f>
        <v>4444.0176270000002</v>
      </c>
      <c r="D272" s="6">
        <f>[1]Results!G1640</f>
        <v>4488.0620580000004</v>
      </c>
      <c r="E272" s="6">
        <f>[1]Results!H1640</f>
        <v>4532.6467700000003</v>
      </c>
      <c r="F272" s="6">
        <f>[1]Results!I1640</f>
        <v>4582.2372619999996</v>
      </c>
      <c r="G272" s="6">
        <f>[1]Results!J1640</f>
        <v>4637.9010749999998</v>
      </c>
      <c r="H272" s="6">
        <f>[1]Results!K1640</f>
        <v>4699.4452170000004</v>
      </c>
      <c r="I272" s="6">
        <f>[1]Results!L1640</f>
        <v>4764.3885289999998</v>
      </c>
      <c r="J272" s="6">
        <f>[1]Results!M1640</f>
        <v>4832.4695449999999</v>
      </c>
      <c r="K272" s="6">
        <f>[1]Results!N1640</f>
        <v>4903.4569190000002</v>
      </c>
      <c r="L272" s="6">
        <f>[1]Results!O1640</f>
        <v>4977.1101099999996</v>
      </c>
      <c r="M272" s="6">
        <f>[1]Results!P1640</f>
        <v>5056.5187219999998</v>
      </c>
      <c r="N272" s="6">
        <f>[1]Results!Q1640</f>
        <v>5137.5110080000004</v>
      </c>
      <c r="O272" s="6">
        <f>[1]Results!R1640</f>
        <v>5219.9802659999996</v>
      </c>
      <c r="P272" s="6">
        <f>[1]Results!S1640</f>
        <v>5303.930257</v>
      </c>
      <c r="Q272" s="6">
        <f>[1]Results!T1640</f>
        <v>5389.3211110000002</v>
      </c>
      <c r="R272" s="6">
        <f>[1]Results!U1640</f>
        <v>5476.1104580000001</v>
      </c>
      <c r="S272" s="6">
        <f>[1]Results!V1640</f>
        <v>5564.2748140000003</v>
      </c>
      <c r="T272" s="6">
        <f>[1]Results!W1640</f>
        <v>5653.8114859999996</v>
      </c>
      <c r="U272" s="6">
        <f>[1]Results!X1640</f>
        <v>5744.7326750000002</v>
      </c>
      <c r="V272" s="6">
        <f>[1]Results!Y1640</f>
        <v>5837.0585549999996</v>
      </c>
      <c r="W272" s="6">
        <f>[1]Results!Z1640</f>
        <v>5928.3355840000004</v>
      </c>
      <c r="X272" s="6">
        <f>[1]Results!AA1640</f>
        <v>6021.5515089999999</v>
      </c>
      <c r="Y272" s="6">
        <f>[1]Results!AB1640</f>
        <v>6116.6896909999996</v>
      </c>
      <c r="Z272" s="6">
        <f>[1]Results!AC1640</f>
        <v>6213.6633680000004</v>
      </c>
      <c r="AA272" s="6">
        <f>[1]Results!AD1640</f>
        <v>6312.4292180000002</v>
      </c>
      <c r="AB272" s="6">
        <f>[1]Results!AE1640</f>
        <v>6405.7649449999999</v>
      </c>
      <c r="AC272" s="6">
        <f>[1]Results!AF1640</f>
        <v>6498.8306689999999</v>
      </c>
      <c r="AD272" s="6">
        <f>[1]Results!AG1640</f>
        <v>6592.1205040000004</v>
      </c>
      <c r="AE272" s="6">
        <f>[1]Results!AH1640</f>
        <v>6685.8917430000001</v>
      </c>
      <c r="AF272" s="6">
        <f>[1]Results!AI1640</f>
        <v>6780.4005049999996</v>
      </c>
      <c r="AG272" s="6">
        <f>[1]Results!AJ1640</f>
        <v>6875.8779519999998</v>
      </c>
      <c r="AH272" s="6">
        <f>[1]Results!AK1640</f>
        <v>6972.5078350000003</v>
      </c>
      <c r="AI272" s="6">
        <f>[1]Results!AL1640</f>
        <v>7070.4217200000003</v>
      </c>
      <c r="AJ272" s="6">
        <f>[1]Results!AM1640</f>
        <v>7169.7052439999998</v>
      </c>
      <c r="AK272" s="6">
        <f>[1]Results!AN1640</f>
        <v>7270.4089180000001</v>
      </c>
      <c r="AL272" s="6">
        <f>[1]Results!AO1640</f>
        <v>7372.5594639999999</v>
      </c>
      <c r="AM272" s="6">
        <f>[1]Results!AP1640</f>
        <v>7474.4116610000001</v>
      </c>
      <c r="AN272" s="6">
        <f>[1]Results!AQ1640</f>
        <v>7576.3010379999996</v>
      </c>
      <c r="AO272" s="6">
        <f>[1]Results!AR1640</f>
        <v>7678.5395339999995</v>
      </c>
      <c r="AP272" s="6">
        <f>[1]Results!AS1640</f>
        <v>7781.3699740000002</v>
      </c>
      <c r="AQ272" s="6">
        <f>[1]Results!AT1640</f>
        <v>7884.9984260000001</v>
      </c>
      <c r="AR272" s="6">
        <f>[1]Results!AU1640</f>
        <v>7989.6052259999997</v>
      </c>
      <c r="AS272" s="6">
        <f>[1]Results!AV1640</f>
        <v>8095.3451029999997</v>
      </c>
      <c r="AT272" s="6">
        <f>[1]Results!AW1640</f>
        <v>8202.3458289999999</v>
      </c>
      <c r="AU272" s="6">
        <f>[1]Results!AX1640</f>
        <v>8310.7088910000002</v>
      </c>
      <c r="AV272" s="6">
        <f>[1]Results!AY1640</f>
        <v>8420.5122219999994</v>
      </c>
      <c r="AW272" s="6">
        <f>[1]Results!AZ1640</f>
        <v>8531.9724750000005</v>
      </c>
      <c r="AX272" s="6">
        <f>[1]Results!BA1640</f>
        <v>8645.1093600000004</v>
      </c>
      <c r="AY272" s="6">
        <f>[1]Results!BB1640</f>
        <v>8759.9395199999999</v>
      </c>
      <c r="AZ272" s="6">
        <f>[1]Results!BC1640</f>
        <v>8876.4714619999995</v>
      </c>
      <c r="BA272" s="6">
        <f>[1]Results!BD1640</f>
        <v>8994.7104469999995</v>
      </c>
      <c r="BB272" s="6">
        <f>[1]Results!BE1640</f>
        <v>10203.664870000001</v>
      </c>
      <c r="BC272" s="6">
        <f>[1]Results!BF1640</f>
        <v>10378.79773</v>
      </c>
      <c r="BD272" s="6">
        <f>[1]Results!BG1640</f>
        <v>10556.48702</v>
      </c>
      <c r="BE272" s="6">
        <f>[1]Results!BH1640</f>
        <v>10736.797769999999</v>
      </c>
      <c r="BF272" s="6">
        <f>[1]Results!BI1640</f>
        <v>10919.79932</v>
      </c>
    </row>
    <row r="273" spans="1:58" x14ac:dyDescent="0.35">
      <c r="B273" t="s">
        <v>30</v>
      </c>
      <c r="C273" s="6">
        <f>[1]Results!F1643</f>
        <v>235100.95420000001</v>
      </c>
      <c r="D273" s="6">
        <f>[1]Results!G1643</f>
        <v>238344.5226</v>
      </c>
      <c r="E273" s="6">
        <f>[1]Results!H1643</f>
        <v>241920.59419999999</v>
      </c>
      <c r="F273" s="6">
        <f>[1]Results!I1643</f>
        <v>245745.02059999999</v>
      </c>
      <c r="G273" s="6">
        <f>[1]Results!J1643</f>
        <v>249762.5914</v>
      </c>
      <c r="H273" s="6">
        <f>[1]Results!K1643</f>
        <v>253946.9259</v>
      </c>
      <c r="I273" s="6">
        <f>[1]Results!L1643</f>
        <v>258201.81140000001</v>
      </c>
      <c r="J273" s="6">
        <f>[1]Results!M1643</f>
        <v>262543.01459999999</v>
      </c>
      <c r="K273" s="6">
        <f>[1]Results!N1643</f>
        <v>266988.00469999999</v>
      </c>
      <c r="L273" s="6">
        <f>[1]Results!O1643</f>
        <v>271550.33140000002</v>
      </c>
      <c r="M273" s="6">
        <f>[1]Results!P1643</f>
        <v>276394.68900000001</v>
      </c>
      <c r="N273" s="6">
        <f>[1]Results!Q1643</f>
        <v>281345.98479999998</v>
      </c>
      <c r="O273" s="6">
        <f>[1]Results!R1643</f>
        <v>286411.80930000002</v>
      </c>
      <c r="P273" s="6">
        <f>[1]Results!S1643</f>
        <v>291601.40600000002</v>
      </c>
      <c r="Q273" s="6">
        <f>[1]Results!T1643</f>
        <v>296920.24190000002</v>
      </c>
      <c r="R273" s="6">
        <f>[1]Results!U1643</f>
        <v>302371.5025</v>
      </c>
      <c r="S273" s="6">
        <f>[1]Results!V1643</f>
        <v>307957.24550000002</v>
      </c>
      <c r="T273" s="6">
        <f>[1]Results!W1643</f>
        <v>313678.9595</v>
      </c>
      <c r="U273" s="6">
        <f>[1]Results!X1643</f>
        <v>319537.72519999999</v>
      </c>
      <c r="V273" s="6">
        <f>[1]Results!Y1643</f>
        <v>325534.18520000001</v>
      </c>
      <c r="W273" s="6">
        <f>[1]Results!Z1643</f>
        <v>331551.12560000003</v>
      </c>
      <c r="X273" s="6">
        <f>[1]Results!AA1643</f>
        <v>337724.21899999998</v>
      </c>
      <c r="Y273" s="6">
        <f>[1]Results!AB1643</f>
        <v>344050.01890000002</v>
      </c>
      <c r="Z273" s="6">
        <f>[1]Results!AC1643</f>
        <v>350521.8898</v>
      </c>
      <c r="AA273" s="6">
        <f>[1]Results!AD1643</f>
        <v>357134.49540000001</v>
      </c>
      <c r="AB273" s="6">
        <f>[1]Results!AE1643</f>
        <v>363540.1017</v>
      </c>
      <c r="AC273" s="6">
        <f>[1]Results!AF1643</f>
        <v>369966.99890000001</v>
      </c>
      <c r="AD273" s="6">
        <f>[1]Results!AG1643</f>
        <v>376427.0282</v>
      </c>
      <c r="AE273" s="6">
        <f>[1]Results!AH1643</f>
        <v>382921.5368</v>
      </c>
      <c r="AF273" s="6">
        <f>[1]Results!AI1643</f>
        <v>389450.804</v>
      </c>
      <c r="AG273" s="6">
        <f>[1]Results!AJ1643</f>
        <v>396014.40879999998</v>
      </c>
      <c r="AH273" s="6">
        <f>[1]Results!AK1643</f>
        <v>402610.96629999997</v>
      </c>
      <c r="AI273" s="6">
        <f>[1]Results!AL1643</f>
        <v>409237.97979999997</v>
      </c>
      <c r="AJ273" s="6">
        <f>[1]Results!AM1643</f>
        <v>415891.91729999997</v>
      </c>
      <c r="AK273" s="6">
        <f>[1]Results!AN1643</f>
        <v>422568.46039999998</v>
      </c>
      <c r="AL273" s="6">
        <f>[1]Results!AO1643</f>
        <v>429262.83840000001</v>
      </c>
      <c r="AM273" s="6">
        <f>[1]Results!AP1643</f>
        <v>435885.40120000002</v>
      </c>
      <c r="AN273" s="6">
        <f>[1]Results!AQ1643</f>
        <v>442443.24699999997</v>
      </c>
      <c r="AO273" s="6">
        <f>[1]Results!AR1643</f>
        <v>448942.93089999998</v>
      </c>
      <c r="AP273" s="6">
        <f>[1]Results!AS1643</f>
        <v>455388.5552</v>
      </c>
      <c r="AQ273" s="6">
        <f>[1]Results!AT1643</f>
        <v>461783.05959999998</v>
      </c>
      <c r="AR273" s="6">
        <f>[1]Results!AU1643</f>
        <v>468128.98590000003</v>
      </c>
      <c r="AS273" s="6">
        <f>[1]Results!AV1643</f>
        <v>474428.79379999998</v>
      </c>
      <c r="AT273" s="6">
        <f>[1]Results!AW1643</f>
        <v>480684.96189999999</v>
      </c>
      <c r="AU273" s="6">
        <f>[1]Results!AX1643</f>
        <v>486900.03259999998</v>
      </c>
      <c r="AV273" s="6">
        <f>[1]Results!AY1643</f>
        <v>493076.67249999999</v>
      </c>
      <c r="AW273" s="6">
        <f>[1]Results!AZ1643</f>
        <v>499225.49550000002</v>
      </c>
      <c r="AX273" s="6">
        <f>[1]Results!BA1643</f>
        <v>505348.59840000002</v>
      </c>
      <c r="AY273" s="6">
        <f>[1]Results!BB1643</f>
        <v>511448.57020000002</v>
      </c>
      <c r="AZ273" s="6">
        <f>[1]Results!BC1643</f>
        <v>517528.63699999999</v>
      </c>
      <c r="BA273" s="6">
        <f>[1]Results!BD1643</f>
        <v>523592.67509999999</v>
      </c>
      <c r="BB273" s="6">
        <f>[1]Results!BE1643</f>
        <v>617696.26529999997</v>
      </c>
      <c r="BC273" s="6">
        <f>[1]Results!BF1643</f>
        <v>629357.23699999996</v>
      </c>
      <c r="BD273" s="6">
        <f>[1]Results!BG1643</f>
        <v>641083.97759999998</v>
      </c>
      <c r="BE273" s="6">
        <f>[1]Results!BH1643</f>
        <v>652870.74470000004</v>
      </c>
      <c r="BF273" s="6">
        <f>[1]Results!BI1643</f>
        <v>664712.53189999994</v>
      </c>
    </row>
    <row r="274" spans="1:58" x14ac:dyDescent="0.35">
      <c r="B274" t="s">
        <v>28</v>
      </c>
      <c r="C274" s="6">
        <f>[1]Results!F1655</f>
        <v>8024.1639029999997</v>
      </c>
      <c r="D274" s="6">
        <f>[1]Results!G1655</f>
        <v>8132.0422669999998</v>
      </c>
      <c r="E274" s="6">
        <f>[1]Results!H1655</f>
        <v>8248.5171609999998</v>
      </c>
      <c r="F274" s="6">
        <f>[1]Results!I1655</f>
        <v>8372.0966570000001</v>
      </c>
      <c r="G274" s="6">
        <f>[1]Results!J1655</f>
        <v>8501.6821060000002</v>
      </c>
      <c r="H274" s="6">
        <f>[1]Results!K1655</f>
        <v>8636.3994629999997</v>
      </c>
      <c r="I274" s="6">
        <f>[1]Results!L1655</f>
        <v>8771.2897630000007</v>
      </c>
      <c r="J274" s="6">
        <f>[1]Results!M1655</f>
        <v>8907.7087549999997</v>
      </c>
      <c r="K274" s="6">
        <f>[1]Results!N1655</f>
        <v>9046.1770909999996</v>
      </c>
      <c r="L274" s="6">
        <f>[1]Results!O1655</f>
        <v>9186.8322289999996</v>
      </c>
      <c r="M274" s="6">
        <f>[1]Results!P1655</f>
        <v>9337.1962430000003</v>
      </c>
      <c r="N274" s="6">
        <f>[1]Results!Q1655</f>
        <v>9486.3876650000002</v>
      </c>
      <c r="O274" s="6">
        <f>[1]Results!R1655</f>
        <v>9636.1222120000002</v>
      </c>
      <c r="P274" s="6">
        <f>[1]Results!S1655</f>
        <v>9787.2138730000006</v>
      </c>
      <c r="Q274" s="6">
        <f>[1]Results!T1655</f>
        <v>9939.9767819999997</v>
      </c>
      <c r="R274" s="6">
        <f>[1]Results!U1655</f>
        <v>10094.56666</v>
      </c>
      <c r="S274" s="6">
        <f>[1]Results!V1655</f>
        <v>10251.10512</v>
      </c>
      <c r="T274" s="6">
        <f>[1]Results!W1655</f>
        <v>10409.71551</v>
      </c>
      <c r="U274" s="6">
        <f>[1]Results!X1655</f>
        <v>10570.5272</v>
      </c>
      <c r="V274" s="6">
        <f>[1]Results!Y1655</f>
        <v>10733.67079</v>
      </c>
      <c r="W274" s="6">
        <f>[1]Results!Z1655</f>
        <v>10893.636490000001</v>
      </c>
      <c r="X274" s="6">
        <f>[1]Results!AA1655</f>
        <v>11058.68102</v>
      </c>
      <c r="Y274" s="6">
        <f>[1]Results!AB1655</f>
        <v>11227.617469999999</v>
      </c>
      <c r="Z274" s="6">
        <f>[1]Results!AC1655</f>
        <v>11399.929700000001</v>
      </c>
      <c r="AA274" s="6">
        <f>[1]Results!AD1655</f>
        <v>11575.47306</v>
      </c>
      <c r="AB274" s="6">
        <f>[1]Results!AE1655</f>
        <v>11737.84527</v>
      </c>
      <c r="AC274" s="6">
        <f>[1]Results!AF1655</f>
        <v>11902.896059999999</v>
      </c>
      <c r="AD274" s="6">
        <f>[1]Results!AG1655</f>
        <v>12070.222540000001</v>
      </c>
      <c r="AE274" s="6">
        <f>[1]Results!AH1655</f>
        <v>12239.661</v>
      </c>
      <c r="AF274" s="6">
        <f>[1]Results!AI1655</f>
        <v>12411.33244</v>
      </c>
      <c r="AG274" s="6">
        <f>[1]Results!AJ1655</f>
        <v>12585.427439999999</v>
      </c>
      <c r="AH274" s="6">
        <f>[1]Results!AK1655</f>
        <v>12762.11658</v>
      </c>
      <c r="AI274" s="6">
        <f>[1]Results!AL1655</f>
        <v>12941.522800000001</v>
      </c>
      <c r="AJ274" s="6">
        <f>[1]Results!AM1655</f>
        <v>13123.72055</v>
      </c>
      <c r="AK274" s="6">
        <f>[1]Results!AN1655</f>
        <v>13308.745269999999</v>
      </c>
      <c r="AL274" s="6">
        <f>[1]Results!AO1655</f>
        <v>13496.605729999999</v>
      </c>
      <c r="AM274" s="6">
        <f>[1]Results!AP1655</f>
        <v>13683.2808</v>
      </c>
      <c r="AN274" s="6">
        <f>[1]Results!AQ1655</f>
        <v>13870.48345</v>
      </c>
      <c r="AO274" s="6">
        <f>[1]Results!AR1655</f>
        <v>14059.033009999999</v>
      </c>
      <c r="AP274" s="6">
        <f>[1]Results!AS1655</f>
        <v>14249.329400000001</v>
      </c>
      <c r="AQ274" s="6">
        <f>[1]Results!AT1655</f>
        <v>14441.620199999999</v>
      </c>
      <c r="AR274" s="6">
        <f>[1]Results!AU1655</f>
        <v>14636.091119999999</v>
      </c>
      <c r="AS274" s="6">
        <f>[1]Results!AV1655</f>
        <v>14832.89234</v>
      </c>
      <c r="AT274" s="6">
        <f>[1]Results!AW1655</f>
        <v>15032.145490000001</v>
      </c>
      <c r="AU274" s="6">
        <f>[1]Results!AX1655</f>
        <v>15233.94686</v>
      </c>
      <c r="AV274" s="6">
        <f>[1]Results!AY1655</f>
        <v>15438.37138</v>
      </c>
      <c r="AW274" s="6">
        <f>[1]Results!AZ1655</f>
        <v>15645.845020000001</v>
      </c>
      <c r="AX274" s="6">
        <f>[1]Results!BA1655</f>
        <v>15856.25864</v>
      </c>
      <c r="AY274" s="6">
        <f>[1]Results!BB1655</f>
        <v>16069.578310000001</v>
      </c>
      <c r="AZ274" s="6">
        <f>[1]Results!BC1655</f>
        <v>16285.801589999999</v>
      </c>
      <c r="BA274" s="6">
        <f>[1]Results!BD1655</f>
        <v>16504.938399999999</v>
      </c>
      <c r="BB274" s="6">
        <f>[1]Results!BE1655</f>
        <v>18375.041580000001</v>
      </c>
      <c r="BC274" s="6">
        <f>[1]Results!BF1655</f>
        <v>18700.720560000002</v>
      </c>
      <c r="BD274" s="6">
        <f>[1]Results!BG1655</f>
        <v>19032.156940000001</v>
      </c>
      <c r="BE274" s="6">
        <f>[1]Results!BH1655</f>
        <v>19369.446889999999</v>
      </c>
      <c r="BF274" s="6">
        <f>[1]Results!BI1655</f>
        <v>19712.689709999999</v>
      </c>
    </row>
    <row r="275" spans="1:58" x14ac:dyDescent="0.35">
      <c r="B275" t="s">
        <v>10</v>
      </c>
      <c r="C275" s="6">
        <f>[1]Results!F1660</f>
        <v>219751.9693</v>
      </c>
      <c r="D275" s="6">
        <f>[1]Results!G1660</f>
        <v>222616.73790000001</v>
      </c>
      <c r="E275" s="6">
        <f>[1]Results!H1660</f>
        <v>225704.5876</v>
      </c>
      <c r="F275" s="6">
        <f>[1]Results!I1660</f>
        <v>229017.53779999999</v>
      </c>
      <c r="G275" s="6">
        <f>[1]Results!J1660</f>
        <v>232539.38310000001</v>
      </c>
      <c r="H275" s="6">
        <f>[1]Results!K1660</f>
        <v>236250.1574</v>
      </c>
      <c r="I275" s="6">
        <f>[1]Results!L1660</f>
        <v>240029.6177</v>
      </c>
      <c r="J275" s="6">
        <f>[1]Results!M1660</f>
        <v>243893.4762</v>
      </c>
      <c r="K275" s="6">
        <f>[1]Results!N1660</f>
        <v>247851.334</v>
      </c>
      <c r="L275" s="6">
        <f>[1]Results!O1660</f>
        <v>251906.64920000001</v>
      </c>
      <c r="M275" s="6">
        <f>[1]Results!P1660</f>
        <v>256240.83590000001</v>
      </c>
      <c r="N275" s="6">
        <f>[1]Results!Q1660</f>
        <v>260620.41329999999</v>
      </c>
      <c r="O275" s="6">
        <f>[1]Results!R1660</f>
        <v>265059.50229999999</v>
      </c>
      <c r="P275" s="6">
        <f>[1]Results!S1660</f>
        <v>269568.36979999999</v>
      </c>
      <c r="Q275" s="6">
        <f>[1]Results!T1660</f>
        <v>274150.20850000001</v>
      </c>
      <c r="R275" s="6">
        <f>[1]Results!U1660</f>
        <v>278805.63020000001</v>
      </c>
      <c r="S275" s="6">
        <f>[1]Results!V1660</f>
        <v>283534.80050000001</v>
      </c>
      <c r="T275" s="6">
        <f>[1]Results!W1660</f>
        <v>288338.07860000001</v>
      </c>
      <c r="U275" s="6">
        <f>[1]Results!X1660</f>
        <v>293216.03649999999</v>
      </c>
      <c r="V275" s="6">
        <f>[1]Results!Y1660</f>
        <v>298169.30599999998</v>
      </c>
      <c r="W275" s="6">
        <f>[1]Results!Z1660</f>
        <v>303062.07120000001</v>
      </c>
      <c r="X275" s="6">
        <f>[1]Results!AA1660</f>
        <v>308069.12119999999</v>
      </c>
      <c r="Y275" s="6">
        <f>[1]Results!AB1660</f>
        <v>313178.66519999999</v>
      </c>
      <c r="Z275" s="6">
        <f>[1]Results!AC1660</f>
        <v>318381.2635</v>
      </c>
      <c r="AA275" s="6">
        <f>[1]Results!AD1660</f>
        <v>323672.50180000003</v>
      </c>
      <c r="AB275" s="6">
        <f>[1]Results!AE1660</f>
        <v>328652.71100000001</v>
      </c>
      <c r="AC275" s="6">
        <f>[1]Results!AF1660</f>
        <v>333638.8849</v>
      </c>
      <c r="AD275" s="6">
        <f>[1]Results!AG1660</f>
        <v>338644.32669999998</v>
      </c>
      <c r="AE275" s="6">
        <f>[1]Results!AH1660</f>
        <v>343673.94640000002</v>
      </c>
      <c r="AF275" s="6">
        <f>[1]Results!AI1660</f>
        <v>348735.15139999997</v>
      </c>
      <c r="AG275" s="6">
        <f>[1]Results!AJ1660</f>
        <v>353835.6508</v>
      </c>
      <c r="AH275" s="6">
        <f>[1]Results!AK1660</f>
        <v>358981.92969999998</v>
      </c>
      <c r="AI275" s="6">
        <f>[1]Results!AL1660</f>
        <v>364178.76240000001</v>
      </c>
      <c r="AJ275" s="6">
        <f>[1]Results!AM1660</f>
        <v>369429.3248</v>
      </c>
      <c r="AK275" s="6">
        <f>[1]Results!AN1660</f>
        <v>374735.5638</v>
      </c>
      <c r="AL275" s="6">
        <f>[1]Results!AO1660</f>
        <v>380098.62239999999</v>
      </c>
      <c r="AM275" s="6">
        <f>[1]Results!AP1660</f>
        <v>385421.92349999998</v>
      </c>
      <c r="AN275" s="6">
        <f>[1]Results!AQ1660</f>
        <v>390732.23239999998</v>
      </c>
      <c r="AO275" s="6">
        <f>[1]Results!AR1660</f>
        <v>396048.08360000001</v>
      </c>
      <c r="AP275" s="6">
        <f>[1]Results!AS1660</f>
        <v>401381.58529999998</v>
      </c>
      <c r="AQ275" s="6">
        <f>[1]Results!AT1660</f>
        <v>406742.04149999999</v>
      </c>
      <c r="AR275" s="6">
        <f>[1]Results!AU1660</f>
        <v>412137.33720000001</v>
      </c>
      <c r="AS275" s="6">
        <f>[1]Results!AV1660</f>
        <v>417574.29239999998</v>
      </c>
      <c r="AT275" s="6">
        <f>[1]Results!AW1660</f>
        <v>423058.72240000003</v>
      </c>
      <c r="AU275" s="6">
        <f>[1]Results!AX1660</f>
        <v>428595.49579999998</v>
      </c>
      <c r="AV275" s="6">
        <f>[1]Results!AY1660</f>
        <v>434188.66710000002</v>
      </c>
      <c r="AW275" s="6">
        <f>[1]Results!AZ1660</f>
        <v>439850.54849999998</v>
      </c>
      <c r="AX275" s="6">
        <f>[1]Results!BA1660</f>
        <v>445581.87439999997</v>
      </c>
      <c r="AY275" s="6">
        <f>[1]Results!BB1660</f>
        <v>451383.82049999997</v>
      </c>
      <c r="AZ275" s="6">
        <f>[1]Results!BC1660</f>
        <v>457257.57059999998</v>
      </c>
      <c r="BA275" s="6">
        <f>[1]Results!BD1660</f>
        <v>463204.34389999998</v>
      </c>
      <c r="BB275" s="6">
        <f>[1]Results!BE1660</f>
        <v>521119.83889999997</v>
      </c>
      <c r="BC275" s="6">
        <f>[1]Results!BF1660</f>
        <v>530169.70979999995</v>
      </c>
      <c r="BD275" s="6">
        <f>[1]Results!BG1660</f>
        <v>539346.7709</v>
      </c>
      <c r="BE275" s="6">
        <f>[1]Results!BH1660</f>
        <v>548653.06019999995</v>
      </c>
      <c r="BF275" s="6">
        <f>[1]Results!BI1660</f>
        <v>558090.89249999996</v>
      </c>
    </row>
    <row r="276" spans="1:58" x14ac:dyDescent="0.35">
      <c r="B276" t="s">
        <v>31</v>
      </c>
      <c r="C276" s="6">
        <f>[1]Results!F1663</f>
        <v>2252.437441</v>
      </c>
      <c r="D276" s="6">
        <f>[1]Results!G1663</f>
        <v>2272.7715079999998</v>
      </c>
      <c r="E276" s="6">
        <f>[1]Results!H1663</f>
        <v>2289.9450120000001</v>
      </c>
      <c r="F276" s="6">
        <f>[1]Results!I1663</f>
        <v>2307.390758</v>
      </c>
      <c r="G276" s="6">
        <f>[1]Results!J1663</f>
        <v>2326.783179</v>
      </c>
      <c r="H276" s="6">
        <f>[1]Results!K1663</f>
        <v>2348.7159959999999</v>
      </c>
      <c r="I276" s="6">
        <f>[1]Results!L1663</f>
        <v>2372.272974</v>
      </c>
      <c r="J276" s="6">
        <f>[1]Results!M1663</f>
        <v>2397.497034</v>
      </c>
      <c r="K276" s="6">
        <f>[1]Results!N1663</f>
        <v>2424.2398410000001</v>
      </c>
      <c r="L276" s="6">
        <f>[1]Results!O1663</f>
        <v>2452.2855359999999</v>
      </c>
      <c r="M276" s="6">
        <f>[1]Results!P1663</f>
        <v>2483.0136830000001</v>
      </c>
      <c r="N276" s="6">
        <f>[1]Results!Q1663</f>
        <v>2514.1315129999998</v>
      </c>
      <c r="O276" s="6">
        <f>[1]Results!R1663</f>
        <v>2545.7482500000001</v>
      </c>
      <c r="P276" s="6">
        <f>[1]Results!S1663</f>
        <v>2577.9376160000002</v>
      </c>
      <c r="Q276" s="6">
        <f>[1]Results!T1663</f>
        <v>2610.6974580000001</v>
      </c>
      <c r="R276" s="6">
        <f>[1]Results!U1663</f>
        <v>2644.0019010000001</v>
      </c>
      <c r="S276" s="6">
        <f>[1]Results!V1663</f>
        <v>2677.82503</v>
      </c>
      <c r="T276" s="6">
        <f>[1]Results!W1663</f>
        <v>2712.1478350000002</v>
      </c>
      <c r="U276" s="6">
        <f>[1]Results!X1663</f>
        <v>2746.9588140000001</v>
      </c>
      <c r="V276" s="6">
        <f>[1]Results!Y1663</f>
        <v>2782.25272</v>
      </c>
      <c r="W276" s="6">
        <f>[1]Results!Z1663</f>
        <v>2816.859246</v>
      </c>
      <c r="X276" s="6">
        <f>[1]Results!AA1663</f>
        <v>2852.3653439999998</v>
      </c>
      <c r="Y276" s="6">
        <f>[1]Results!AB1663</f>
        <v>2888.605689</v>
      </c>
      <c r="Z276" s="6">
        <f>[1]Results!AC1663</f>
        <v>2925.467173</v>
      </c>
      <c r="AA276" s="6">
        <f>[1]Results!AD1663</f>
        <v>2962.910738</v>
      </c>
      <c r="AB276" s="6">
        <f>[1]Results!AE1663</f>
        <v>2997.546531</v>
      </c>
      <c r="AC276" s="6">
        <f>[1]Results!AF1663</f>
        <v>3032.3524750000001</v>
      </c>
      <c r="AD276" s="6">
        <f>[1]Results!AG1663</f>
        <v>3067.383902</v>
      </c>
      <c r="AE276" s="6">
        <f>[1]Results!AH1663</f>
        <v>3102.6169880000002</v>
      </c>
      <c r="AF276" s="6">
        <f>[1]Results!AI1663</f>
        <v>3138.0768330000001</v>
      </c>
      <c r="AG276" s="6">
        <f>[1]Results!AJ1663</f>
        <v>3173.8103409999999</v>
      </c>
      <c r="AH276" s="6">
        <f>[1]Results!AK1663</f>
        <v>3209.867272</v>
      </c>
      <c r="AI276" s="6">
        <f>[1]Results!AL1663</f>
        <v>3246.292038</v>
      </c>
      <c r="AJ276" s="6">
        <f>[1]Results!AM1663</f>
        <v>3283.1212169999999</v>
      </c>
      <c r="AK276" s="6">
        <f>[1]Results!AN1663</f>
        <v>3320.3836209999999</v>
      </c>
      <c r="AL276" s="6">
        <f>[1]Results!AO1663</f>
        <v>3358.1014129999999</v>
      </c>
      <c r="AM276" s="6">
        <f>[1]Results!AP1663</f>
        <v>3395.473947</v>
      </c>
      <c r="AN276" s="6">
        <f>[1]Results!AQ1663</f>
        <v>3432.7992220000001</v>
      </c>
      <c r="AO276" s="6">
        <f>[1]Results!AR1663</f>
        <v>3470.253232</v>
      </c>
      <c r="AP276" s="6">
        <f>[1]Results!AS1663</f>
        <v>3507.9270769999998</v>
      </c>
      <c r="AQ276" s="6">
        <f>[1]Results!AT1663</f>
        <v>3545.8782550000001</v>
      </c>
      <c r="AR276" s="6">
        <f>[1]Results!AU1663</f>
        <v>3584.1513719999998</v>
      </c>
      <c r="AS276" s="6">
        <f>[1]Results!AV1663</f>
        <v>3622.784533</v>
      </c>
      <c r="AT276" s="6">
        <f>[1]Results!AW1663</f>
        <v>3661.8107810000001</v>
      </c>
      <c r="AU276" s="6">
        <f>[1]Results!AX1663</f>
        <v>3701.258061</v>
      </c>
      <c r="AV276" s="6">
        <f>[1]Results!AY1663</f>
        <v>3741.1482449999999</v>
      </c>
      <c r="AW276" s="6">
        <f>[1]Results!AZ1663</f>
        <v>3781.565689</v>
      </c>
      <c r="AX276" s="6">
        <f>[1]Results!BA1663</f>
        <v>3822.4931470000001</v>
      </c>
      <c r="AY276" s="6">
        <f>[1]Results!BB1663</f>
        <v>3863.917242</v>
      </c>
      <c r="AZ276" s="6">
        <f>[1]Results!BC1663</f>
        <v>3905.859285</v>
      </c>
      <c r="BA276" s="6">
        <f>[1]Results!BD1663</f>
        <v>3948.3491319999998</v>
      </c>
      <c r="BB276" s="6">
        <f>[1]Results!BE1663</f>
        <v>4416.6468480000003</v>
      </c>
      <c r="BC276" s="6">
        <f>[1]Results!BF1663</f>
        <v>4483.9938819999998</v>
      </c>
      <c r="BD276" s="6">
        <f>[1]Results!BG1663</f>
        <v>4552.3246609999997</v>
      </c>
      <c r="BE276" s="6">
        <f>[1]Results!BH1663</f>
        <v>4621.6617919999999</v>
      </c>
      <c r="BF276" s="6">
        <f>[1]Results!BI1663</f>
        <v>4692.0295589999996</v>
      </c>
    </row>
    <row r="277" spans="1:58" x14ac:dyDescent="0.35">
      <c r="B277" t="s">
        <v>33</v>
      </c>
      <c r="C277" s="6">
        <f>[1]Results!F1668</f>
        <v>3648.662045</v>
      </c>
      <c r="D277" s="6">
        <f>[1]Results!G1668</f>
        <v>3681.5816500000001</v>
      </c>
      <c r="E277" s="6">
        <f>[1]Results!H1668</f>
        <v>3707.9254270000001</v>
      </c>
      <c r="F277" s="6">
        <f>[1]Results!I1668</f>
        <v>3732.0385390000001</v>
      </c>
      <c r="G277" s="6">
        <f>[1]Results!J1668</f>
        <v>3756.3557019999998</v>
      </c>
      <c r="H277" s="6">
        <f>[1]Results!K1668</f>
        <v>3782.2036250000001</v>
      </c>
      <c r="I277" s="6">
        <f>[1]Results!L1668</f>
        <v>3808.8024650000002</v>
      </c>
      <c r="J277" s="6">
        <f>[1]Results!M1668</f>
        <v>3836.4908</v>
      </c>
      <c r="K277" s="6">
        <f>[1]Results!N1668</f>
        <v>3865.3162649999999</v>
      </c>
      <c r="L277" s="6">
        <f>[1]Results!O1668</f>
        <v>3895.1027159999999</v>
      </c>
      <c r="M277" s="6">
        <f>[1]Results!P1668</f>
        <v>3927.9826189999999</v>
      </c>
      <c r="N277" s="6">
        <f>[1]Results!Q1668</f>
        <v>3960.864513</v>
      </c>
      <c r="O277" s="6">
        <f>[1]Results!R1668</f>
        <v>3993.5854760000002</v>
      </c>
      <c r="P277" s="6">
        <f>[1]Results!S1668</f>
        <v>4026.2776789999998</v>
      </c>
      <c r="Q277" s="6">
        <f>[1]Results!T1668</f>
        <v>4059.0346300000001</v>
      </c>
      <c r="R277" s="6">
        <f>[1]Results!U1668</f>
        <v>4091.9157749999999</v>
      </c>
      <c r="S277" s="6">
        <f>[1]Results!V1668</f>
        <v>4124.9725820000003</v>
      </c>
      <c r="T277" s="6">
        <f>[1]Results!W1668</f>
        <v>4158.2615839999999</v>
      </c>
      <c r="U277" s="6">
        <f>[1]Results!X1668</f>
        <v>4191.84807</v>
      </c>
      <c r="V277" s="6">
        <f>[1]Results!Y1668</f>
        <v>4225.8053579999996</v>
      </c>
      <c r="W277" s="6">
        <f>[1]Results!Z1668</f>
        <v>4258.5247810000001</v>
      </c>
      <c r="X277" s="6">
        <f>[1]Results!AA1668</f>
        <v>4292.1750609999999</v>
      </c>
      <c r="Y277" s="6">
        <f>[1]Results!AB1668</f>
        <v>4326.8575300000002</v>
      </c>
      <c r="Z277" s="6">
        <f>[1]Results!AC1668</f>
        <v>4362.5023780000001</v>
      </c>
      <c r="AA277" s="6">
        <f>[1]Results!AD1668</f>
        <v>4399.0929299999998</v>
      </c>
      <c r="AB277" s="6">
        <f>[1]Results!AE1668</f>
        <v>4431.8610859999999</v>
      </c>
      <c r="AC277" s="6">
        <f>[1]Results!AF1668</f>
        <v>4464.5008189999999</v>
      </c>
      <c r="AD277" s="6">
        <f>[1]Results!AG1668</f>
        <v>4497.6148210000001</v>
      </c>
      <c r="AE277" s="6">
        <f>[1]Results!AH1668</f>
        <v>4531.3573290000004</v>
      </c>
      <c r="AF277" s="6">
        <f>[1]Results!AI1668</f>
        <v>4565.8427389999997</v>
      </c>
      <c r="AG277" s="6">
        <f>[1]Results!AJ1668</f>
        <v>4601.1837379999997</v>
      </c>
      <c r="AH277" s="6">
        <f>[1]Results!AK1668</f>
        <v>4637.4823280000001</v>
      </c>
      <c r="AI277" s="6">
        <f>[1]Results!AL1668</f>
        <v>4674.8224010000004</v>
      </c>
      <c r="AJ277" s="6">
        <f>[1]Results!AM1668</f>
        <v>4713.2675730000001</v>
      </c>
      <c r="AK277" s="6">
        <f>[1]Results!AN1668</f>
        <v>4752.8623699999998</v>
      </c>
      <c r="AL277" s="6">
        <f>[1]Results!AO1668</f>
        <v>4793.6350549999997</v>
      </c>
      <c r="AM277" s="6">
        <f>[1]Results!AP1668</f>
        <v>4834.4787070000002</v>
      </c>
      <c r="AN277" s="6">
        <f>[1]Results!AQ1668</f>
        <v>4875.6542870000003</v>
      </c>
      <c r="AO277" s="6">
        <f>[1]Results!AR1668</f>
        <v>4917.4267849999997</v>
      </c>
      <c r="AP277" s="6">
        <f>[1]Results!AS1668</f>
        <v>4959.9606450000001</v>
      </c>
      <c r="AQ277" s="6">
        <f>[1]Results!AT1668</f>
        <v>5003.3593709999996</v>
      </c>
      <c r="AR277" s="6">
        <f>[1]Results!AU1668</f>
        <v>5047.6949679999998</v>
      </c>
      <c r="AS277" s="6">
        <f>[1]Results!AV1668</f>
        <v>5093.0215500000004</v>
      </c>
      <c r="AT277" s="6">
        <f>[1]Results!AW1668</f>
        <v>5139.3814220000004</v>
      </c>
      <c r="AU277" s="6">
        <f>[1]Results!AX1668</f>
        <v>5186.8067689999998</v>
      </c>
      <c r="AV277" s="6">
        <f>[1]Results!AY1668</f>
        <v>5235.3173610000003</v>
      </c>
      <c r="AW277" s="6">
        <f>[1]Results!AZ1668</f>
        <v>5285.0013609999996</v>
      </c>
      <c r="AX277" s="6">
        <f>[1]Results!BA1668</f>
        <v>5335.7035249999999</v>
      </c>
      <c r="AY277" s="6">
        <f>[1]Results!BB1668</f>
        <v>5387.2997880000003</v>
      </c>
      <c r="AZ277" s="6">
        <f>[1]Results!BC1668</f>
        <v>5439.831126</v>
      </c>
      <c r="BA277" s="6">
        <f>[1]Results!BD1668</f>
        <v>5493.3967579999999</v>
      </c>
      <c r="BB277" s="6">
        <f>[1]Results!BE1668</f>
        <v>6294.689676</v>
      </c>
      <c r="BC277" s="6">
        <f>[1]Results!BF1668</f>
        <v>6382.6613719999996</v>
      </c>
      <c r="BD277" s="6">
        <f>[1]Results!BG1668</f>
        <v>6472.0753290000002</v>
      </c>
      <c r="BE277" s="6">
        <f>[1]Results!BH1668</f>
        <v>6562.95615</v>
      </c>
      <c r="BF277" s="6">
        <f>[1]Results!BI1668</f>
        <v>6655.3246710000003</v>
      </c>
    </row>
    <row r="279" spans="1:58" x14ac:dyDescent="0.35">
      <c r="A279" s="12" t="s">
        <v>21</v>
      </c>
      <c r="B279" t="s">
        <v>26</v>
      </c>
      <c r="C279" s="4">
        <f>C263/C271-1</f>
        <v>-9.6357995390724538E-3</v>
      </c>
      <c r="D279" s="4">
        <f t="shared" ref="D279:AK279" si="162">D263/D271-1</f>
        <v>-1.6253693953199977E-2</v>
      </c>
      <c r="E279" s="4">
        <f t="shared" si="162"/>
        <v>-2.1165218674352504E-2</v>
      </c>
      <c r="F279" s="4">
        <f t="shared" si="162"/>
        <v>-2.5216140949151145E-2</v>
      </c>
      <c r="G279" s="4">
        <f t="shared" si="162"/>
        <v>-2.8824879608132181E-2</v>
      </c>
      <c r="H279" s="4">
        <f t="shared" si="162"/>
        <v>-3.2202463408982585E-2</v>
      </c>
      <c r="I279" s="4">
        <f t="shared" si="162"/>
        <v>-3.5470674886206033E-2</v>
      </c>
      <c r="J279" s="4">
        <f t="shared" si="162"/>
        <v>-3.8677437724950248E-2</v>
      </c>
      <c r="K279" s="4">
        <f t="shared" si="162"/>
        <v>-4.1844903868996308E-2</v>
      </c>
      <c r="L279" s="4">
        <f t="shared" si="162"/>
        <v>-4.4983863758569553E-2</v>
      </c>
      <c r="M279" s="4">
        <f t="shared" si="162"/>
        <v>-4.8752962000263245E-2</v>
      </c>
      <c r="N279" s="4">
        <f t="shared" si="162"/>
        <v>-5.1816805756388695E-2</v>
      </c>
      <c r="O279" s="4">
        <f t="shared" si="162"/>
        <v>-5.448844660625618E-2</v>
      </c>
      <c r="P279" s="4">
        <f t="shared" si="162"/>
        <v>-5.6940351885367058E-2</v>
      </c>
      <c r="Q279" s="4">
        <f t="shared" si="162"/>
        <v>-5.9246950587140579E-2</v>
      </c>
      <c r="R279" s="4">
        <f t="shared" si="162"/>
        <v>-6.14392682195396E-2</v>
      </c>
      <c r="S279" s="4">
        <f t="shared" si="162"/>
        <v>-6.3561515506416089E-2</v>
      </c>
      <c r="T279" s="4">
        <f t="shared" si="162"/>
        <v>-6.561056942555421E-2</v>
      </c>
      <c r="U279" s="4">
        <f t="shared" si="162"/>
        <v>-6.7585254259177607E-2</v>
      </c>
      <c r="V279" s="4">
        <f t="shared" si="162"/>
        <v>-6.9486151385575678E-2</v>
      </c>
      <c r="W279" s="4">
        <f t="shared" si="162"/>
        <v>-7.1316359754677983E-2</v>
      </c>
      <c r="X279" s="4">
        <f t="shared" si="162"/>
        <v>-7.30741492437611E-2</v>
      </c>
      <c r="Y279" s="4">
        <f t="shared" si="162"/>
        <v>-7.476083244157683E-2</v>
      </c>
      <c r="Z279" s="4">
        <f t="shared" si="162"/>
        <v>-7.6378037199213433E-2</v>
      </c>
      <c r="AA279" s="4">
        <f t="shared" si="162"/>
        <v>-7.7926850454158592E-2</v>
      </c>
      <c r="AB279" s="4">
        <f t="shared" si="162"/>
        <v>-7.941221505675844E-2</v>
      </c>
      <c r="AC279" s="4">
        <f t="shared" si="162"/>
        <v>-8.0815916592065107E-2</v>
      </c>
      <c r="AD279" s="4">
        <f t="shared" si="162"/>
        <v>-8.2141287811601793E-2</v>
      </c>
      <c r="AE279" s="4">
        <f t="shared" si="162"/>
        <v>-8.3391926428693086E-2</v>
      </c>
      <c r="AF279" s="4">
        <f t="shared" si="162"/>
        <v>-8.457109860162404E-2</v>
      </c>
      <c r="AG279" s="4">
        <f t="shared" si="162"/>
        <v>-8.5681682119749913E-2</v>
      </c>
      <c r="AH279" s="4">
        <f t="shared" si="162"/>
        <v>-8.671897003005169E-2</v>
      </c>
      <c r="AI279" s="4">
        <f>AI263/AI271-1</f>
        <v>-8.7687739740552217E-2</v>
      </c>
      <c r="AJ279" s="4">
        <f t="shared" si="162"/>
        <v>-8.859207960171267E-2</v>
      </c>
      <c r="AK279" s="4">
        <f t="shared" si="162"/>
        <v>-8.9435749293507172E-2</v>
      </c>
      <c r="AL279" s="4">
        <f>AL263/AL271-1</f>
        <v>-9.0222416277301098E-2</v>
      </c>
      <c r="AM279" s="4">
        <f t="shared" ref="AM279:BC279" si="163">AM263/AM271-1</f>
        <v>-9.0891605152171318E-2</v>
      </c>
      <c r="AN279" s="4">
        <f t="shared" si="163"/>
        <v>-9.1467421553627526E-2</v>
      </c>
      <c r="AO279" s="4">
        <f t="shared" si="163"/>
        <v>-9.1967193304159367E-2</v>
      </c>
      <c r="AP279" s="4">
        <f t="shared" si="163"/>
        <v>-9.2404069533443045E-2</v>
      </c>
      <c r="AQ279" s="4">
        <f t="shared" si="163"/>
        <v>-9.2788464169005214E-2</v>
      </c>
      <c r="AR279" s="4">
        <f t="shared" si="163"/>
        <v>-9.311826161074277E-2</v>
      </c>
      <c r="AS279" s="4">
        <f t="shared" si="163"/>
        <v>-9.3403232702818695E-2</v>
      </c>
      <c r="AT279" s="4">
        <f t="shared" si="163"/>
        <v>-9.3651173145687716E-2</v>
      </c>
      <c r="AU279" s="4">
        <f t="shared" si="163"/>
        <v>-9.3868607665051118E-2</v>
      </c>
      <c r="AV279" s="4">
        <f t="shared" si="163"/>
        <v>-9.406128487718679E-2</v>
      </c>
      <c r="AW279" s="4">
        <f t="shared" si="163"/>
        <v>-9.419950821343881E-2</v>
      </c>
      <c r="AX279" s="4">
        <f t="shared" si="163"/>
        <v>-9.4298690991985512E-2</v>
      </c>
      <c r="AY279" s="4">
        <f t="shared" si="163"/>
        <v>-9.4371123514713884E-2</v>
      </c>
      <c r="AZ279" s="4">
        <f t="shared" si="163"/>
        <v>-9.4426322907991911E-2</v>
      </c>
      <c r="BA279" s="4">
        <f t="shared" si="163"/>
        <v>-9.4471818889643844E-2</v>
      </c>
      <c r="BB279" s="4">
        <f t="shared" si="163"/>
        <v>-1.8968324761670097E-4</v>
      </c>
      <c r="BC279" s="4">
        <f t="shared" si="163"/>
        <v>3.056175197979627E-5</v>
      </c>
      <c r="BD279" s="4">
        <f t="shared" ref="BD279:BF279" si="164">BD263/BD271-1</f>
        <v>2.6725331404020558E-4</v>
      </c>
      <c r="BE279" s="4">
        <f t="shared" si="164"/>
        <v>5.1902589871888338E-4</v>
      </c>
      <c r="BF279" s="4">
        <f t="shared" si="164"/>
        <v>7.8444032673608E-4</v>
      </c>
    </row>
    <row r="280" spans="1:58" x14ac:dyDescent="0.35">
      <c r="A280" t="s">
        <v>88</v>
      </c>
      <c r="B280" t="s">
        <v>7</v>
      </c>
      <c r="C280" s="4">
        <f>(C264-C272)/C$271</f>
        <v>-1.1119028967711928E-4</v>
      </c>
      <c r="D280" s="4">
        <f t="shared" ref="D280:AL280" si="165">(D264-D272)/D$271</f>
        <v>-1.8367409286496698E-4</v>
      </c>
      <c r="E280" s="4">
        <f t="shared" si="165"/>
        <v>-2.359182037863263E-4</v>
      </c>
      <c r="F280" s="4">
        <f t="shared" si="165"/>
        <v>-2.7732041091906842E-4</v>
      </c>
      <c r="G280" s="4">
        <f t="shared" si="165"/>
        <v>-3.1209037772438113E-4</v>
      </c>
      <c r="H280" s="4">
        <f t="shared" si="165"/>
        <v>-3.4234249663941561E-4</v>
      </c>
      <c r="I280" s="4">
        <f t="shared" si="165"/>
        <v>-3.6937535906728965E-4</v>
      </c>
      <c r="J280" s="4">
        <f t="shared" si="165"/>
        <v>-3.938296732457352E-4</v>
      </c>
      <c r="K280" s="4">
        <f t="shared" si="165"/>
        <v>-4.161644618770208E-4</v>
      </c>
      <c r="L280" s="4">
        <f t="shared" si="165"/>
        <v>-4.3674026613041276E-4</v>
      </c>
      <c r="M280" s="4">
        <f t="shared" si="165"/>
        <v>-4.6345739841303115E-4</v>
      </c>
      <c r="N280" s="4">
        <f t="shared" si="165"/>
        <v>-4.8051477778467025E-4</v>
      </c>
      <c r="O280" s="4">
        <f t="shared" si="165"/>
        <v>-4.9225291236217896E-4</v>
      </c>
      <c r="P280" s="4">
        <f t="shared" si="165"/>
        <v>-5.008722504903744E-4</v>
      </c>
      <c r="Q280" s="4">
        <f t="shared" si="165"/>
        <v>-5.0729472843060938E-4</v>
      </c>
      <c r="R280" s="4">
        <f t="shared" si="165"/>
        <v>-5.1197892158575244E-4</v>
      </c>
      <c r="S280" s="4">
        <f t="shared" si="165"/>
        <v>-5.1555692420164536E-4</v>
      </c>
      <c r="T280" s="4">
        <f t="shared" si="165"/>
        <v>-5.1817371316059896E-4</v>
      </c>
      <c r="U280" s="4">
        <f t="shared" si="165"/>
        <v>-5.2000579423685546E-4</v>
      </c>
      <c r="V280" s="4">
        <f t="shared" si="165"/>
        <v>-5.2120468635366622E-4</v>
      </c>
      <c r="W280" s="4">
        <f t="shared" si="165"/>
        <v>-5.218570263368289E-4</v>
      </c>
      <c r="X280" s="4">
        <f t="shared" si="165"/>
        <v>-5.221358349987962E-4</v>
      </c>
      <c r="Y280" s="4">
        <f t="shared" si="165"/>
        <v>-5.2210214869839765E-4</v>
      </c>
      <c r="Z280" s="4">
        <f t="shared" si="165"/>
        <v>-5.2181841043032391E-4</v>
      </c>
      <c r="AA280" s="4">
        <f t="shared" si="165"/>
        <v>-5.2133653163627066E-4</v>
      </c>
      <c r="AB280" s="4">
        <f t="shared" si="165"/>
        <v>-5.2055025339903618E-4</v>
      </c>
      <c r="AC280" s="4">
        <f t="shared" si="165"/>
        <v>-5.1953806290061001E-4</v>
      </c>
      <c r="AD280" s="4">
        <f t="shared" si="165"/>
        <v>-5.1833723397938449E-4</v>
      </c>
      <c r="AE280" s="4">
        <f t="shared" si="165"/>
        <v>-5.1698377057413851E-4</v>
      </c>
      <c r="AF280" s="4">
        <f t="shared" si="165"/>
        <v>-5.1552418843605512E-4</v>
      </c>
      <c r="AG280" s="4">
        <f t="shared" si="165"/>
        <v>-5.1400014081137647E-4</v>
      </c>
      <c r="AH280" s="4">
        <f t="shared" si="165"/>
        <v>-5.1236664568399194E-4</v>
      </c>
      <c r="AI280" s="4">
        <f t="shared" si="165"/>
        <v>-5.1067173840719962E-4</v>
      </c>
      <c r="AJ280" s="4">
        <f t="shared" si="165"/>
        <v>-5.0894566462692946E-4</v>
      </c>
      <c r="AK280" s="4">
        <f t="shared" si="165"/>
        <v>-5.0721551721609253E-4</v>
      </c>
      <c r="AL280" s="4">
        <f t="shared" si="165"/>
        <v>-5.0550508456164074E-4</v>
      </c>
      <c r="AM280" s="4">
        <f t="shared" ref="AM280:BC280" si="166">(AM264-AM272)/AM$271</f>
        <v>-5.0310796489207177E-4</v>
      </c>
      <c r="AN280" s="4">
        <f t="shared" si="166"/>
        <v>-5.0029868713073126E-4</v>
      </c>
      <c r="AO280" s="4">
        <f t="shared" si="166"/>
        <v>-4.9721692574853879E-4</v>
      </c>
      <c r="AP280" s="4">
        <f t="shared" si="166"/>
        <v>-4.9399608525095985E-4</v>
      </c>
      <c r="AQ280" s="4">
        <f t="shared" si="166"/>
        <v>-4.9075222059472912E-4</v>
      </c>
      <c r="AR280" s="4">
        <f t="shared" si="166"/>
        <v>-4.8746514015848364E-4</v>
      </c>
      <c r="AS280" s="4">
        <f t="shared" si="166"/>
        <v>-4.8423244610400716E-4</v>
      </c>
      <c r="AT280" s="4">
        <f t="shared" si="166"/>
        <v>-4.8111593233611787E-4</v>
      </c>
      <c r="AU280" s="4">
        <f t="shared" si="166"/>
        <v>-4.7816377503061394E-4</v>
      </c>
      <c r="AV280" s="4">
        <f t="shared" si="166"/>
        <v>-4.7541156081295279E-4</v>
      </c>
      <c r="AW280" s="4">
        <f t="shared" si="166"/>
        <v>-4.7251264962263316E-4</v>
      </c>
      <c r="AX280" s="4">
        <f t="shared" si="166"/>
        <v>-4.6959658780825321E-4</v>
      </c>
      <c r="AY280" s="4">
        <f t="shared" si="166"/>
        <v>-4.6674261086353833E-4</v>
      </c>
      <c r="AZ280" s="4">
        <f t="shared" si="166"/>
        <v>-4.6402012956834839E-4</v>
      </c>
      <c r="BA280" s="4">
        <f t="shared" si="166"/>
        <v>-4.6148275188564954E-4</v>
      </c>
      <c r="BB280" s="4">
        <f t="shared" si="166"/>
        <v>9.4659051125381113E-5</v>
      </c>
      <c r="BC280" s="4">
        <f t="shared" si="166"/>
        <v>1.0198390273222677E-4</v>
      </c>
      <c r="BD280" s="4">
        <f t="shared" ref="BD280:BF280" si="167">(BD264-BD272)/BD$271</f>
        <v>1.0943101375679349E-4</v>
      </c>
      <c r="BE280" s="4">
        <f t="shared" si="167"/>
        <v>1.1697477004672881E-4</v>
      </c>
      <c r="BF280" s="4">
        <f t="shared" si="167"/>
        <v>1.2459345722464171E-4</v>
      </c>
    </row>
    <row r="281" spans="1:58" x14ac:dyDescent="0.35">
      <c r="B281" t="s">
        <v>30</v>
      </c>
      <c r="C281" s="4">
        <f t="shared" ref="C281:AL281" si="168">(C265-C273)/C$271</f>
        <v>-5.2547777267286282E-3</v>
      </c>
      <c r="D281" s="4">
        <f t="shared" si="168"/>
        <v>-8.7909092936430504E-3</v>
      </c>
      <c r="E281" s="4">
        <f t="shared" si="168"/>
        <v>-1.1452929301314724E-2</v>
      </c>
      <c r="F281" s="4">
        <f t="shared" si="168"/>
        <v>-1.369010117803825E-2</v>
      </c>
      <c r="G281" s="4">
        <f t="shared" si="168"/>
        <v>-1.5720815252869468E-2</v>
      </c>
      <c r="H281" s="4">
        <f t="shared" si="168"/>
        <v>-1.7660303049060196E-2</v>
      </c>
      <c r="I281" s="4">
        <f t="shared" si="168"/>
        <v>-1.9577514772197817E-2</v>
      </c>
      <c r="J281" s="4">
        <f t="shared" si="168"/>
        <v>-2.149943879679082E-2</v>
      </c>
      <c r="K281" s="4">
        <f t="shared" si="168"/>
        <v>-2.3436411152814692E-2</v>
      </c>
      <c r="L281" s="4">
        <f t="shared" si="168"/>
        <v>-2.5390787874262508E-2</v>
      </c>
      <c r="M281" s="4">
        <f t="shared" si="168"/>
        <v>-2.7720645878786351E-2</v>
      </c>
      <c r="N281" s="4">
        <f t="shared" si="168"/>
        <v>-2.9680561946666042E-2</v>
      </c>
      <c r="O281" s="4">
        <f t="shared" si="168"/>
        <v>-3.1449503517509012E-2</v>
      </c>
      <c r="P281" s="4">
        <f t="shared" si="168"/>
        <v>-3.3118494029285718E-2</v>
      </c>
      <c r="Q281" s="4">
        <f t="shared" si="168"/>
        <v>-3.4725605819590992E-2</v>
      </c>
      <c r="R281" s="4">
        <f t="shared" si="168"/>
        <v>-3.6284782508903692E-2</v>
      </c>
      <c r="S281" s="4">
        <f t="shared" si="168"/>
        <v>-3.7816309690891135E-2</v>
      </c>
      <c r="T281" s="4">
        <f t="shared" si="168"/>
        <v>-3.9313427936738053E-2</v>
      </c>
      <c r="U281" s="4">
        <f t="shared" si="168"/>
        <v>-4.077085397070708E-2</v>
      </c>
      <c r="V281" s="4">
        <f t="shared" si="168"/>
        <v>-4.2184595195558956E-2</v>
      </c>
      <c r="W281" s="4">
        <f t="shared" si="168"/>
        <v>-4.3553929043867588E-2</v>
      </c>
      <c r="X281" s="4">
        <f t="shared" si="168"/>
        <v>-4.4872685540406361E-2</v>
      </c>
      <c r="Y281" s="4">
        <f t="shared" si="168"/>
        <v>-4.6138685683205435E-2</v>
      </c>
      <c r="Z281" s="4">
        <f t="shared" si="168"/>
        <v>-4.7350673823807074E-2</v>
      </c>
      <c r="AA281" s="4">
        <f t="shared" si="168"/>
        <v>-4.850747390136239E-2</v>
      </c>
      <c r="AB281" s="4">
        <f t="shared" si="168"/>
        <v>-4.961517667988026E-2</v>
      </c>
      <c r="AC281" s="4">
        <f t="shared" si="168"/>
        <v>-5.0658027378611893E-2</v>
      </c>
      <c r="AD281" s="4">
        <f t="shared" si="168"/>
        <v>-5.1636071627265828E-2</v>
      </c>
      <c r="AE281" s="4">
        <f t="shared" si="168"/>
        <v>-5.2550020598667993E-2</v>
      </c>
      <c r="AF281" s="4">
        <f t="shared" si="168"/>
        <v>-5.3400635014794515E-2</v>
      </c>
      <c r="AG281" s="4">
        <f t="shared" si="168"/>
        <v>-5.4188760369915476E-2</v>
      </c>
      <c r="AH281" s="4">
        <f t="shared" si="168"/>
        <v>-5.4911376866321138E-2</v>
      </c>
      <c r="AI281" s="4">
        <f t="shared" si="168"/>
        <v>-5.5570993889150398E-2</v>
      </c>
      <c r="AJ281" s="4">
        <f t="shared" si="168"/>
        <v>-5.6169843592539702E-2</v>
      </c>
      <c r="AK281" s="4">
        <f t="shared" si="168"/>
        <v>-5.6710174672987237E-2</v>
      </c>
      <c r="AL281" s="4">
        <f t="shared" si="168"/>
        <v>-5.7194375562402672E-2</v>
      </c>
      <c r="AM281" s="4">
        <f t="shared" ref="AM281:BC281" si="169">(AM265-AM273)/AM$271</f>
        <v>-5.7590937926338272E-2</v>
      </c>
      <c r="AN281" s="4">
        <f t="shared" si="169"/>
        <v>-5.7913610898654051E-2</v>
      </c>
      <c r="AO281" s="4">
        <f t="shared" si="169"/>
        <v>-5.817153950148523E-2</v>
      </c>
      <c r="AP281" s="4">
        <f t="shared" si="169"/>
        <v>-5.8371963181991893E-2</v>
      </c>
      <c r="AQ281" s="4">
        <f t="shared" si="169"/>
        <v>-5.8521079472726924E-2</v>
      </c>
      <c r="AR281" s="4">
        <f t="shared" si="169"/>
        <v>-5.8618532333330815E-2</v>
      </c>
      <c r="AS281" s="4">
        <f t="shared" si="169"/>
        <v>-5.8670761865231097E-2</v>
      </c>
      <c r="AT281" s="4">
        <f t="shared" si="169"/>
        <v>-5.8683084805666072E-2</v>
      </c>
      <c r="AU281" s="4">
        <f t="shared" si="169"/>
        <v>-5.8660229040183379E-2</v>
      </c>
      <c r="AV281" s="4">
        <f t="shared" si="169"/>
        <v>-5.8606610282019377E-2</v>
      </c>
      <c r="AW281" s="4">
        <f t="shared" si="169"/>
        <v>-5.8507160321531068E-2</v>
      </c>
      <c r="AX281" s="4">
        <f t="shared" si="169"/>
        <v>-5.8371944373853159E-2</v>
      </c>
      <c r="AY281" s="4">
        <f t="shared" si="169"/>
        <v>-5.8208796449435475E-2</v>
      </c>
      <c r="AZ281" s="4">
        <f t="shared" si="169"/>
        <v>-5.8024217203172544E-2</v>
      </c>
      <c r="BA281" s="4">
        <f t="shared" si="169"/>
        <v>-5.7823825051956976E-2</v>
      </c>
      <c r="BB281" s="4">
        <f t="shared" si="169"/>
        <v>3.9656188976705569E-5</v>
      </c>
      <c r="BC281" s="4">
        <f t="shared" si="169"/>
        <v>2.122757031854655E-4</v>
      </c>
      <c r="BD281" s="4">
        <f t="shared" ref="BD281:BF281" si="170">(BD265-BD273)/BD$271</f>
        <v>3.9830307740515013E-4</v>
      </c>
      <c r="BE281" s="4">
        <f t="shared" si="170"/>
        <v>5.9690661777737962E-4</v>
      </c>
      <c r="BF281" s="4">
        <f t="shared" si="170"/>
        <v>8.0713243591082643E-4</v>
      </c>
    </row>
    <row r="282" spans="1:58" x14ac:dyDescent="0.35">
      <c r="B282" t="s">
        <v>28</v>
      </c>
      <c r="C282" s="4">
        <f t="shared" ref="C282:AL282" si="171">(C266-C274)/C$271</f>
        <v>-3.1135691562841629E-4</v>
      </c>
      <c r="D282" s="4">
        <f t="shared" si="171"/>
        <v>-4.6524081444961323E-4</v>
      </c>
      <c r="E282" s="4">
        <f t="shared" si="171"/>
        <v>-5.5847925028738702E-4</v>
      </c>
      <c r="F282" s="4">
        <f t="shared" si="171"/>
        <v>-6.2914166241633852E-4</v>
      </c>
      <c r="G282" s="4">
        <f t="shared" si="171"/>
        <v>-6.9034046647584353E-4</v>
      </c>
      <c r="H282" s="4">
        <f t="shared" si="171"/>
        <v>-7.468918128433656E-4</v>
      </c>
      <c r="I282" s="4">
        <f t="shared" si="171"/>
        <v>-8.0110066369365267E-4</v>
      </c>
      <c r="J282" s="4">
        <f t="shared" si="171"/>
        <v>-8.5372495049121258E-4</v>
      </c>
      <c r="K282" s="4">
        <f t="shared" si="171"/>
        <v>-9.0519281737249161E-4</v>
      </c>
      <c r="L282" s="4">
        <f t="shared" si="171"/>
        <v>-9.5581335584240699E-4</v>
      </c>
      <c r="M282" s="4">
        <f t="shared" si="171"/>
        <v>-1.0280079562144436E-3</v>
      </c>
      <c r="N282" s="4">
        <f t="shared" si="171"/>
        <v>-1.0727291076735202E-3</v>
      </c>
      <c r="O282" s="4">
        <f t="shared" si="171"/>
        <v>-1.1066321713288328E-3</v>
      </c>
      <c r="P282" s="4">
        <f t="shared" si="171"/>
        <v>-1.1363960768947373E-3</v>
      </c>
      <c r="Q282" s="4">
        <f t="shared" si="171"/>
        <v>-1.1643707302797849E-3</v>
      </c>
      <c r="R282" s="4">
        <f t="shared" si="171"/>
        <v>-1.191420655165885E-3</v>
      </c>
      <c r="S282" s="4">
        <f t="shared" si="171"/>
        <v>-1.2189315423082312E-3</v>
      </c>
      <c r="T282" s="4">
        <f t="shared" si="171"/>
        <v>-1.2465380930452498E-3</v>
      </c>
      <c r="U282" s="4">
        <f t="shared" si="171"/>
        <v>-1.2741373025410806E-3</v>
      </c>
      <c r="V282" s="4">
        <f t="shared" si="171"/>
        <v>-1.3017237206345471E-3</v>
      </c>
      <c r="W282" s="4">
        <f t="shared" si="171"/>
        <v>-1.3290707430773721E-3</v>
      </c>
      <c r="X282" s="4">
        <f t="shared" si="171"/>
        <v>-1.3566563382274835E-3</v>
      </c>
      <c r="Y282" s="4">
        <f t="shared" si="171"/>
        <v>-1.384300223785074E-3</v>
      </c>
      <c r="Z282" s="4">
        <f t="shared" si="171"/>
        <v>-1.4119301404996419E-3</v>
      </c>
      <c r="AA282" s="4">
        <f t="shared" si="171"/>
        <v>-1.4395020932980664E-3</v>
      </c>
      <c r="AB282" s="4">
        <f t="shared" si="171"/>
        <v>-1.4662305380576011E-3</v>
      </c>
      <c r="AC282" s="4">
        <f t="shared" si="171"/>
        <v>-1.4927863420155243E-3</v>
      </c>
      <c r="AD282" s="4">
        <f t="shared" si="171"/>
        <v>-1.5192054633488209E-3</v>
      </c>
      <c r="AE282" s="4">
        <f t="shared" si="171"/>
        <v>-1.5455024320835348E-3</v>
      </c>
      <c r="AF282" s="4">
        <f t="shared" si="171"/>
        <v>-1.5716860104643476E-3</v>
      </c>
      <c r="AG282" s="4">
        <f t="shared" si="171"/>
        <v>-1.5977603331475063E-3</v>
      </c>
      <c r="AH282" s="4">
        <f t="shared" si="171"/>
        <v>-1.6234888726246431E-3</v>
      </c>
      <c r="AI282" s="4">
        <f t="shared" si="171"/>
        <v>-1.649002331049559E-3</v>
      </c>
      <c r="AJ282" s="4">
        <f t="shared" si="171"/>
        <v>-1.6743619924800373E-3</v>
      </c>
      <c r="AK282" s="4">
        <f t="shared" si="171"/>
        <v>-1.6996037545440261E-3</v>
      </c>
      <c r="AL282" s="4">
        <f t="shared" si="171"/>
        <v>-1.7247566681395626E-3</v>
      </c>
      <c r="AM282" s="4">
        <f t="shared" ref="AM282:BC282" si="172">(AM266-AM274)/AM$271</f>
        <v>-1.7475514758827258E-3</v>
      </c>
      <c r="AN282" s="4">
        <f t="shared" si="172"/>
        <v>-1.7693507708246982E-3</v>
      </c>
      <c r="AO282" s="4">
        <f t="shared" si="172"/>
        <v>-1.7907277454607376E-3</v>
      </c>
      <c r="AP282" s="4">
        <f t="shared" si="172"/>
        <v>-1.8119442283835092E-3</v>
      </c>
      <c r="AQ282" s="4">
        <f t="shared" si="172"/>
        <v>-1.8331447466427998E-3</v>
      </c>
      <c r="AR282" s="4">
        <f t="shared" si="172"/>
        <v>-1.8540826119969262E-3</v>
      </c>
      <c r="AS282" s="4">
        <f t="shared" si="172"/>
        <v>-1.87499228236112E-3</v>
      </c>
      <c r="AT282" s="4">
        <f t="shared" si="172"/>
        <v>-1.8959904129658043E-3</v>
      </c>
      <c r="AU282" s="4">
        <f t="shared" si="172"/>
        <v>-1.9171412624501287E-3</v>
      </c>
      <c r="AV282" s="4">
        <f t="shared" si="172"/>
        <v>-1.93848556897317E-3</v>
      </c>
      <c r="AW282" s="4">
        <f t="shared" si="172"/>
        <v>-1.9589357623006139E-3</v>
      </c>
      <c r="AX282" s="4">
        <f t="shared" si="172"/>
        <v>-1.9790838885062347E-3</v>
      </c>
      <c r="AY282" s="4">
        <f t="shared" si="172"/>
        <v>-1.999198374482633E-3</v>
      </c>
      <c r="AZ282" s="4">
        <f t="shared" si="172"/>
        <v>-2.0194048163189073E-3</v>
      </c>
      <c r="BA282" s="4">
        <f t="shared" si="172"/>
        <v>-2.0397673038844944E-3</v>
      </c>
      <c r="BB282" s="4">
        <f t="shared" si="172"/>
        <v>-5.9952501037244454E-5</v>
      </c>
      <c r="BC282" s="4">
        <f t="shared" si="172"/>
        <v>-6.0984718023528869E-5</v>
      </c>
      <c r="BD282" s="4">
        <f t="shared" ref="BD282:BF282" si="173">(BD266-BD274)/BD$271</f>
        <v>-6.1930063848194579E-5</v>
      </c>
      <c r="BE282" s="4">
        <f t="shared" si="173"/>
        <v>-6.2801415214710579E-5</v>
      </c>
      <c r="BF282" s="4">
        <f t="shared" si="173"/>
        <v>-6.36110091234999E-5</v>
      </c>
    </row>
    <row r="283" spans="1:58" x14ac:dyDescent="0.35">
      <c r="B283" t="s">
        <v>10</v>
      </c>
      <c r="C283" s="4">
        <f t="shared" ref="C283:AL283" si="174">(C267-C275)/C$271</f>
        <v>-3.8012588650624094E-3</v>
      </c>
      <c r="D283" s="4">
        <f t="shared" si="174"/>
        <v>-6.5676087969739521E-3</v>
      </c>
      <c r="E283" s="4">
        <f t="shared" si="174"/>
        <v>-8.612711322135114E-3</v>
      </c>
      <c r="F283" s="4">
        <f t="shared" si="174"/>
        <v>-1.0268412733573795E-2</v>
      </c>
      <c r="G283" s="4">
        <f t="shared" si="174"/>
        <v>-1.1712845129708799E-2</v>
      </c>
      <c r="H283" s="4">
        <f t="shared" si="174"/>
        <v>-1.3032904987438783E-2</v>
      </c>
      <c r="I283" s="4">
        <f t="shared" si="174"/>
        <v>-1.427605414122134E-2</v>
      </c>
      <c r="J283" s="4">
        <f t="shared" si="174"/>
        <v>-1.5460490195862524E-2</v>
      </c>
      <c r="K283" s="4">
        <f t="shared" si="174"/>
        <v>-1.659605781587848E-2</v>
      </c>
      <c r="L283" s="4">
        <f t="shared" si="174"/>
        <v>-1.768951279307537E-2</v>
      </c>
      <c r="M283" s="4">
        <f t="shared" si="174"/>
        <v>-1.9000787644395136E-2</v>
      </c>
      <c r="N283" s="4">
        <f t="shared" si="174"/>
        <v>-2.0023660215205397E-2</v>
      </c>
      <c r="O283" s="4">
        <f t="shared" si="174"/>
        <v>-2.0866840754690429E-2</v>
      </c>
      <c r="P283" s="4">
        <f t="shared" si="174"/>
        <v>-2.1600378440340077E-2</v>
      </c>
      <c r="Q283" s="4">
        <f t="shared" si="174"/>
        <v>-2.2256367653748523E-2</v>
      </c>
      <c r="R283" s="4">
        <f t="shared" si="174"/>
        <v>-2.285013111641852E-2</v>
      </c>
      <c r="S283" s="4">
        <f t="shared" si="174"/>
        <v>-2.340295332611364E-2</v>
      </c>
      <c r="T283" s="4">
        <f t="shared" si="174"/>
        <v>-2.3918565631423038E-2</v>
      </c>
      <c r="U283" s="4">
        <f t="shared" si="174"/>
        <v>-2.4400866317323945E-2</v>
      </c>
      <c r="V283" s="4">
        <f t="shared" si="174"/>
        <v>-2.4854158891536179E-2</v>
      </c>
      <c r="W283" s="4">
        <f t="shared" si="174"/>
        <v>-2.5282343956604773E-2</v>
      </c>
      <c r="X283" s="4">
        <f t="shared" si="174"/>
        <v>-2.5689019984542087E-2</v>
      </c>
      <c r="Y283" s="4">
        <f t="shared" si="174"/>
        <v>-2.6077770876373453E-2</v>
      </c>
      <c r="Z283" s="4">
        <f t="shared" si="174"/>
        <v>-2.6451463617098162E-2</v>
      </c>
      <c r="AA283" s="4">
        <f t="shared" si="174"/>
        <v>-2.681233172125614E-2</v>
      </c>
      <c r="AB283" s="4">
        <f t="shared" si="174"/>
        <v>-2.7160259055106935E-2</v>
      </c>
      <c r="AC283" s="4">
        <f t="shared" si="174"/>
        <v>-2.7491912106377955E-2</v>
      </c>
      <c r="AD283" s="4">
        <f t="shared" si="174"/>
        <v>-2.7810504175677962E-2</v>
      </c>
      <c r="AE283" s="4">
        <f t="shared" si="174"/>
        <v>-2.8118889489132163E-2</v>
      </c>
      <c r="AF283" s="4">
        <f t="shared" si="174"/>
        <v>-2.8419525806771078E-2</v>
      </c>
      <c r="AG283" s="4">
        <f t="shared" si="174"/>
        <v>-2.8714403925250969E-2</v>
      </c>
      <c r="AH283" s="4">
        <f t="shared" si="174"/>
        <v>-2.900219275862136E-2</v>
      </c>
      <c r="AI283" s="4">
        <f t="shared" si="174"/>
        <v>-2.9284961533386004E-2</v>
      </c>
      <c r="AJ283" s="4">
        <f t="shared" si="174"/>
        <v>-2.9564461792791659E-2</v>
      </c>
      <c r="AK283" s="4">
        <f t="shared" si="174"/>
        <v>-2.9842128436624572E-2</v>
      </c>
      <c r="AL283" s="4">
        <f t="shared" si="174"/>
        <v>-3.0119175011881206E-2</v>
      </c>
      <c r="AM283" s="4">
        <f t="shared" ref="AM283:BC283" si="175">(AM267-AM275)/AM$271</f>
        <v>-3.0370249051871114E-2</v>
      </c>
      <c r="AN283" s="4">
        <f t="shared" si="175"/>
        <v>-3.0603821798776541E-2</v>
      </c>
      <c r="AO283" s="4">
        <f t="shared" si="175"/>
        <v>-3.0827220009746734E-2</v>
      </c>
      <c r="AP283" s="4">
        <f t="shared" si="175"/>
        <v>-3.1045844898095334E-2</v>
      </c>
      <c r="AQ283" s="4">
        <f t="shared" si="175"/>
        <v>-3.1263555338446145E-2</v>
      </c>
      <c r="AR283" s="4">
        <f t="shared" si="175"/>
        <v>-3.1478870138871136E-2</v>
      </c>
      <c r="AS283" s="4">
        <f t="shared" si="175"/>
        <v>-3.1694689947598206E-2</v>
      </c>
      <c r="AT283" s="4">
        <f t="shared" si="175"/>
        <v>-3.1913239089903379E-2</v>
      </c>
      <c r="AU283" s="4">
        <f t="shared" si="175"/>
        <v>-3.2136137236268812E-2</v>
      </c>
      <c r="AV283" s="4">
        <f t="shared" si="175"/>
        <v>-3.2364591925079754E-2</v>
      </c>
      <c r="AW283" s="4">
        <f t="shared" si="175"/>
        <v>-3.2585709369101684E-2</v>
      </c>
      <c r="AX283" s="4">
        <f t="shared" si="175"/>
        <v>-3.2804145248118047E-2</v>
      </c>
      <c r="AY283" s="4">
        <f t="shared" si="175"/>
        <v>-3.3024040267789614E-2</v>
      </c>
      <c r="AZ283" s="4">
        <f t="shared" si="175"/>
        <v>-3.3248063710456112E-2</v>
      </c>
      <c r="BA283" s="4">
        <f t="shared" si="175"/>
        <v>-3.3477811572228892E-2</v>
      </c>
      <c r="BB283" s="4">
        <f t="shared" si="175"/>
        <v>-3.6476619793068907E-4</v>
      </c>
      <c r="BC283" s="4">
        <f t="shared" si="175"/>
        <v>-3.3238468903742707E-4</v>
      </c>
      <c r="BD283" s="4">
        <f t="shared" ref="BD283:BF283" si="176">(BD267-BD275)/BD$271</f>
        <v>-2.9733831200710003E-4</v>
      </c>
      <c r="BE283" s="4">
        <f t="shared" si="176"/>
        <v>-2.6009050932757728E-4</v>
      </c>
      <c r="BF283" s="4">
        <f t="shared" si="176"/>
        <v>-2.21071551999681E-4</v>
      </c>
    </row>
    <row r="284" spans="1:58" x14ac:dyDescent="0.35">
      <c r="B284" t="s">
        <v>31</v>
      </c>
      <c r="C284" s="4">
        <f t="shared" ref="C284:AL284" si="177">(C268-C276)/C$271</f>
        <v>-6.5613839977790269E-5</v>
      </c>
      <c r="D284" s="4">
        <f t="shared" si="177"/>
        <v>-1.0233065892288679E-4</v>
      </c>
      <c r="E284" s="4">
        <f t="shared" si="177"/>
        <v>-1.2692035131253046E-4</v>
      </c>
      <c r="F284" s="4">
        <f t="shared" si="177"/>
        <v>-1.4742852458904138E-4</v>
      </c>
      <c r="G284" s="4">
        <f t="shared" si="177"/>
        <v>-1.6618914993627088E-4</v>
      </c>
      <c r="H284" s="4">
        <f t="shared" si="177"/>
        <v>-1.839433941800232E-4</v>
      </c>
      <c r="I284" s="4">
        <f t="shared" si="177"/>
        <v>-2.0100904966433998E-4</v>
      </c>
      <c r="J284" s="4">
        <f t="shared" si="177"/>
        <v>-2.1745123222637367E-4</v>
      </c>
      <c r="K284" s="4">
        <f t="shared" si="177"/>
        <v>-2.3331629523610237E-4</v>
      </c>
      <c r="L284" s="4">
        <f t="shared" si="177"/>
        <v>-2.4869656966150061E-4</v>
      </c>
      <c r="M284" s="4">
        <f t="shared" si="177"/>
        <v>-2.6848528225394841E-4</v>
      </c>
      <c r="N284" s="4">
        <f t="shared" si="177"/>
        <v>-2.8245473138181179E-4</v>
      </c>
      <c r="O284" s="4">
        <f t="shared" si="177"/>
        <v>-2.9343171626831211E-4</v>
      </c>
      <c r="P284" s="4">
        <f t="shared" si="177"/>
        <v>-3.0282894505164479E-4</v>
      </c>
      <c r="Q284" s="4">
        <f t="shared" si="177"/>
        <v>-3.1118423742784149E-4</v>
      </c>
      <c r="R284" s="4">
        <f t="shared" si="177"/>
        <v>-3.1872240995926458E-4</v>
      </c>
      <c r="S284" s="4">
        <f t="shared" si="177"/>
        <v>-3.257533229577059E-4</v>
      </c>
      <c r="T284" s="4">
        <f t="shared" si="177"/>
        <v>-3.3228504870504849E-4</v>
      </c>
      <c r="U284" s="4">
        <f t="shared" si="177"/>
        <v>-3.3836305680001532E-4</v>
      </c>
      <c r="V284" s="4">
        <f t="shared" si="177"/>
        <v>-3.4404927705060785E-4</v>
      </c>
      <c r="W284" s="4">
        <f t="shared" si="177"/>
        <v>-3.4936643452697992E-4</v>
      </c>
      <c r="X284" s="4">
        <f t="shared" si="177"/>
        <v>-3.544502847329884E-4</v>
      </c>
      <c r="Y284" s="4">
        <f t="shared" si="177"/>
        <v>-3.5931542756262872E-4</v>
      </c>
      <c r="Z284" s="4">
        <f t="shared" si="177"/>
        <v>-3.6398606295492291E-4</v>
      </c>
      <c r="AA284" s="4">
        <f t="shared" si="177"/>
        <v>-3.684887150846976E-4</v>
      </c>
      <c r="AB284" s="4">
        <f t="shared" si="177"/>
        <v>-3.7272468484096714E-4</v>
      </c>
      <c r="AC284" s="4">
        <f t="shared" si="177"/>
        <v>-3.7683640010647998E-4</v>
      </c>
      <c r="AD284" s="4">
        <f t="shared" si="177"/>
        <v>-3.8084850446493471E-4</v>
      </c>
      <c r="AE284" s="4">
        <f t="shared" si="177"/>
        <v>-3.8476856566757296E-4</v>
      </c>
      <c r="AF284" s="4">
        <f t="shared" si="177"/>
        <v>-3.8860036227515748E-4</v>
      </c>
      <c r="AG284" s="4">
        <f t="shared" si="177"/>
        <v>-3.9234729503309304E-4</v>
      </c>
      <c r="AH284" s="4">
        <f t="shared" si="177"/>
        <v>-3.9597235147642264E-4</v>
      </c>
      <c r="AI284" s="4">
        <f t="shared" si="177"/>
        <v>-3.9950082293718558E-4</v>
      </c>
      <c r="AJ284" s="4">
        <f t="shared" si="177"/>
        <v>-4.0294757955936184E-4</v>
      </c>
      <c r="AK284" s="4">
        <f t="shared" si="177"/>
        <v>-4.063225747578556E-4</v>
      </c>
      <c r="AL284" s="4">
        <f t="shared" si="177"/>
        <v>-4.096331988865798E-4</v>
      </c>
      <c r="AM284" s="4">
        <f t="shared" ref="AM284:BC284" si="178">(AM268-AM276)/AM$271</f>
        <v>-4.1249314908080228E-4</v>
      </c>
      <c r="AN284" s="4">
        <f t="shared" si="178"/>
        <v>-4.1512449931012304E-4</v>
      </c>
      <c r="AO284" s="4">
        <f t="shared" si="178"/>
        <v>-4.1762341044248647E-4</v>
      </c>
      <c r="AP284" s="4">
        <f t="shared" si="178"/>
        <v>-4.2002573787093994E-4</v>
      </c>
      <c r="AQ284" s="4">
        <f t="shared" si="178"/>
        <v>-4.2234807281097417E-4</v>
      </c>
      <c r="AR284" s="4">
        <f t="shared" si="178"/>
        <v>-4.24544887434586E-4</v>
      </c>
      <c r="AS284" s="4">
        <f t="shared" si="178"/>
        <v>-4.266540730607056E-4</v>
      </c>
      <c r="AT284" s="4">
        <f t="shared" si="178"/>
        <v>-4.2869683047525725E-4</v>
      </c>
      <c r="AU284" s="4">
        <f t="shared" si="178"/>
        <v>-4.3068522794914631E-4</v>
      </c>
      <c r="AV284" s="4">
        <f t="shared" si="178"/>
        <v>-4.326258421074053E-4</v>
      </c>
      <c r="AW284" s="4">
        <f t="shared" si="178"/>
        <v>-4.3432847503580691E-4</v>
      </c>
      <c r="AX284" s="4">
        <f t="shared" si="178"/>
        <v>-4.3588055602279045E-4</v>
      </c>
      <c r="AY284" s="4">
        <f t="shared" si="178"/>
        <v>-4.37313424659088E-4</v>
      </c>
      <c r="AZ284" s="4">
        <f t="shared" si="178"/>
        <v>-4.3866172194508788E-4</v>
      </c>
      <c r="BA284" s="4">
        <f t="shared" si="178"/>
        <v>-4.3995617257863018E-4</v>
      </c>
      <c r="BB284" s="4">
        <f t="shared" si="178"/>
        <v>8.4037079555275743E-6</v>
      </c>
      <c r="BC284" s="4">
        <f t="shared" si="178"/>
        <v>9.3309894264240709E-6</v>
      </c>
      <c r="BD284" s="4">
        <f t="shared" ref="BD284:BF284" si="179">(BD268-BD276)/BD$271</f>
        <v>1.0286919340891557E-5</v>
      </c>
      <c r="BE284" s="4">
        <f t="shared" si="179"/>
        <v>1.1269072019030989E-5</v>
      </c>
      <c r="BF284" s="4">
        <f t="shared" si="179"/>
        <v>1.227595699028493E-5</v>
      </c>
    </row>
    <row r="285" spans="1:58" x14ac:dyDescent="0.35">
      <c r="B285" t="s">
        <v>33</v>
      </c>
      <c r="C285" s="4">
        <f t="shared" ref="C285:AL285" si="180">(C269-C277)/C$271</f>
        <v>-9.1601963280232889E-5</v>
      </c>
      <c r="D285" s="4">
        <f t="shared" si="180"/>
        <v>-1.4393035473532744E-4</v>
      </c>
      <c r="E285" s="4">
        <f t="shared" si="180"/>
        <v>-1.7826009954722164E-4</v>
      </c>
      <c r="F285" s="4">
        <f t="shared" si="180"/>
        <v>-2.0373646189282584E-4</v>
      </c>
      <c r="G285" s="4">
        <f t="shared" si="180"/>
        <v>-2.2259910380652588E-4</v>
      </c>
      <c r="H285" s="4">
        <f t="shared" si="180"/>
        <v>-2.3607781597653982E-4</v>
      </c>
      <c r="I285" s="4">
        <f t="shared" si="180"/>
        <v>-2.4562087912397311E-4</v>
      </c>
      <c r="J285" s="4">
        <f t="shared" si="180"/>
        <v>-2.5250289912966215E-4</v>
      </c>
      <c r="K285" s="4">
        <f t="shared" si="180"/>
        <v>-2.5776132207979541E-4</v>
      </c>
      <c r="L285" s="4">
        <f t="shared" si="180"/>
        <v>-2.6231279297359207E-4</v>
      </c>
      <c r="M285" s="4">
        <f t="shared" si="180"/>
        <v>-2.7157812568734505E-4</v>
      </c>
      <c r="N285" s="4">
        <f t="shared" si="180"/>
        <v>-2.7688494038126697E-4</v>
      </c>
      <c r="O285" s="4">
        <f t="shared" si="180"/>
        <v>-2.7978537350182762E-4</v>
      </c>
      <c r="P285" s="4">
        <f t="shared" si="180"/>
        <v>-2.8138220506828489E-4</v>
      </c>
      <c r="Q285" s="4">
        <f t="shared" si="180"/>
        <v>-2.8212732829743515E-4</v>
      </c>
      <c r="R285" s="4">
        <f t="shared" si="180"/>
        <v>-2.8223258927888837E-4</v>
      </c>
      <c r="S285" s="4">
        <f t="shared" si="180"/>
        <v>-2.8201052896459263E-4</v>
      </c>
      <c r="T285" s="4">
        <f t="shared" si="180"/>
        <v>-2.8157892567619303E-4</v>
      </c>
      <c r="U285" s="4">
        <f t="shared" si="180"/>
        <v>-2.8102779398414291E-4</v>
      </c>
      <c r="V285" s="4">
        <f t="shared" si="180"/>
        <v>-2.8041965615463346E-4</v>
      </c>
      <c r="W285" s="4">
        <f t="shared" si="180"/>
        <v>-2.7979241814823263E-4</v>
      </c>
      <c r="X285" s="4">
        <f t="shared" si="180"/>
        <v>-2.7920112951358266E-4</v>
      </c>
      <c r="Y285" s="4">
        <f t="shared" si="180"/>
        <v>-2.7865829756122153E-4</v>
      </c>
      <c r="Z285" s="4">
        <f t="shared" si="180"/>
        <v>-2.781652309031244E-4</v>
      </c>
      <c r="AA285" s="4">
        <f t="shared" si="180"/>
        <v>-2.7771755950416362E-4</v>
      </c>
      <c r="AB285" s="4">
        <f t="shared" si="180"/>
        <v>-2.7727366156959026E-4</v>
      </c>
      <c r="AC285" s="4">
        <f t="shared" si="180"/>
        <v>-2.7681634180563858E-4</v>
      </c>
      <c r="AD285" s="4">
        <f t="shared" si="180"/>
        <v>-2.7632075290548658E-4</v>
      </c>
      <c r="AE285" s="4">
        <f t="shared" si="180"/>
        <v>-2.7576171596448357E-4</v>
      </c>
      <c r="AF285" s="4">
        <f t="shared" si="180"/>
        <v>-2.7512730122707688E-4</v>
      </c>
      <c r="AG285" s="4">
        <f t="shared" si="180"/>
        <v>-2.7440996679824469E-4</v>
      </c>
      <c r="AH285" s="4">
        <f t="shared" si="180"/>
        <v>-2.7357261135291879E-4</v>
      </c>
      <c r="AI285" s="4">
        <f t="shared" si="180"/>
        <v>-2.7260947304177284E-4</v>
      </c>
      <c r="AJ285" s="4">
        <f t="shared" si="180"/>
        <v>-2.7151885188976229E-4</v>
      </c>
      <c r="AK285" s="4">
        <f t="shared" si="180"/>
        <v>-2.7030418966979036E-4</v>
      </c>
      <c r="AL285" s="4">
        <f t="shared" si="180"/>
        <v>-2.6897089098400131E-4</v>
      </c>
      <c r="AM285" s="4">
        <f t="shared" ref="AM285:BC285" si="181">(AM269-AM277)/AM$271</f>
        <v>-2.6726559351050776E-4</v>
      </c>
      <c r="AN285" s="4">
        <f t="shared" si="181"/>
        <v>-2.6521500206825308E-4</v>
      </c>
      <c r="AO285" s="4">
        <f t="shared" si="181"/>
        <v>-2.6286567356622226E-4</v>
      </c>
      <c r="AP285" s="4">
        <f t="shared" si="181"/>
        <v>-2.6029549765008505E-4</v>
      </c>
      <c r="AQ285" s="4">
        <f t="shared" si="181"/>
        <v>-2.5758447121901833E-4</v>
      </c>
      <c r="AR285" s="4">
        <f t="shared" si="181"/>
        <v>-2.5476650114496658E-4</v>
      </c>
      <c r="AS285" s="4">
        <f t="shared" si="181"/>
        <v>-2.5190200726372708E-4</v>
      </c>
      <c r="AT285" s="4">
        <f t="shared" si="181"/>
        <v>-2.4904607647837111E-4</v>
      </c>
      <c r="AU285" s="4">
        <f t="shared" si="181"/>
        <v>-2.4625114848750561E-4</v>
      </c>
      <c r="AV285" s="4">
        <f t="shared" si="181"/>
        <v>-2.4355965236549511E-4</v>
      </c>
      <c r="AW285" s="4">
        <f t="shared" si="181"/>
        <v>-2.4086167287177719E-4</v>
      </c>
      <c r="AX285" s="4">
        <f t="shared" si="181"/>
        <v>-2.3804038439704351E-4</v>
      </c>
      <c r="AY285" s="4">
        <f t="shared" si="181"/>
        <v>-2.3503247675918E-4</v>
      </c>
      <c r="AZ285" s="4">
        <f t="shared" si="181"/>
        <v>-2.3195534436510658E-4</v>
      </c>
      <c r="BA285" s="4">
        <f t="shared" si="181"/>
        <v>-2.289757620877706E-4</v>
      </c>
      <c r="BB285" s="4">
        <f t="shared" si="181"/>
        <v>9.2316250345479334E-5</v>
      </c>
      <c r="BC285" s="4">
        <f t="shared" si="181"/>
        <v>1.0033992508310688E-4</v>
      </c>
      <c r="BD285" s="4">
        <f t="shared" ref="BD285:BF285" si="182">(BD269-BD277)/BD$271</f>
        <v>1.085000512414055E-4</v>
      </c>
      <c r="BE285" s="4">
        <f t="shared" si="182"/>
        <v>1.1676775366156194E-4</v>
      </c>
      <c r="BF285" s="4">
        <f t="shared" si="182"/>
        <v>1.2512125437130579E-4</v>
      </c>
    </row>
    <row r="287" spans="1:58" x14ac:dyDescent="0.35">
      <c r="A287" s="12" t="s">
        <v>21</v>
      </c>
      <c r="C287" s="7" t="s">
        <v>15</v>
      </c>
      <c r="D287" s="7" t="s">
        <v>16</v>
      </c>
      <c r="E287" s="7" t="s">
        <v>17</v>
      </c>
    </row>
    <row r="288" spans="1:58" x14ac:dyDescent="0.35">
      <c r="A288" t="s">
        <v>88</v>
      </c>
      <c r="B288" t="s">
        <v>26</v>
      </c>
      <c r="C288" s="4">
        <f>R279</f>
        <v>-6.14392682195396E-2</v>
      </c>
      <c r="D288" s="4">
        <f>AB279</f>
        <v>-7.941221505675844E-2</v>
      </c>
      <c r="E288" s="4">
        <f>AL279</f>
        <v>-9.0222416277301098E-2</v>
      </c>
    </row>
    <row r="289" spans="1:58" x14ac:dyDescent="0.35">
      <c r="B289" t="s">
        <v>7</v>
      </c>
      <c r="C289" s="4">
        <f t="shared" ref="C289:C294" si="183">R280</f>
        <v>-5.1197892158575244E-4</v>
      </c>
      <c r="D289" s="4">
        <f t="shared" ref="D289:D294" si="184">AB280</f>
        <v>-5.2055025339903618E-4</v>
      </c>
      <c r="E289" s="4">
        <f t="shared" ref="E289:E294" si="185">AL280</f>
        <v>-5.0550508456164074E-4</v>
      </c>
    </row>
    <row r="290" spans="1:58" x14ac:dyDescent="0.35">
      <c r="B290" t="s">
        <v>30</v>
      </c>
      <c r="C290" s="4">
        <f t="shared" si="183"/>
        <v>-3.6284782508903692E-2</v>
      </c>
      <c r="D290" s="4">
        <f t="shared" si="184"/>
        <v>-4.961517667988026E-2</v>
      </c>
      <c r="E290" s="4">
        <f t="shared" si="185"/>
        <v>-5.7194375562402672E-2</v>
      </c>
    </row>
    <row r="291" spans="1:58" x14ac:dyDescent="0.35">
      <c r="B291" t="s">
        <v>28</v>
      </c>
      <c r="C291" s="4">
        <f t="shared" si="183"/>
        <v>-1.191420655165885E-3</v>
      </c>
      <c r="D291" s="4">
        <f t="shared" si="184"/>
        <v>-1.4662305380576011E-3</v>
      </c>
      <c r="E291" s="4">
        <f t="shared" si="185"/>
        <v>-1.7247566681395626E-3</v>
      </c>
    </row>
    <row r="292" spans="1:58" x14ac:dyDescent="0.35">
      <c r="B292" t="s">
        <v>10</v>
      </c>
      <c r="C292" s="4">
        <f t="shared" si="183"/>
        <v>-2.285013111641852E-2</v>
      </c>
      <c r="D292" s="4">
        <f t="shared" si="184"/>
        <v>-2.7160259055106935E-2</v>
      </c>
      <c r="E292" s="4">
        <f t="shared" si="185"/>
        <v>-3.0119175011881206E-2</v>
      </c>
    </row>
    <row r="293" spans="1:58" x14ac:dyDescent="0.35">
      <c r="B293" t="s">
        <v>31</v>
      </c>
      <c r="C293" s="4">
        <f t="shared" si="183"/>
        <v>-3.1872240995926458E-4</v>
      </c>
      <c r="D293" s="4">
        <f t="shared" si="184"/>
        <v>-3.7272468484096714E-4</v>
      </c>
      <c r="E293" s="4">
        <f t="shared" si="185"/>
        <v>-4.096331988865798E-4</v>
      </c>
    </row>
    <row r="294" spans="1:58" x14ac:dyDescent="0.35">
      <c r="B294" t="s">
        <v>33</v>
      </c>
      <c r="C294" s="4">
        <f t="shared" si="183"/>
        <v>-2.8223258927888837E-4</v>
      </c>
      <c r="D294" s="4">
        <f t="shared" si="184"/>
        <v>-2.7727366156959026E-4</v>
      </c>
      <c r="E294" s="4">
        <f t="shared" si="185"/>
        <v>-2.6897089098400131E-4</v>
      </c>
    </row>
    <row r="295" spans="1:58" x14ac:dyDescent="0.35">
      <c r="C295" s="4"/>
      <c r="D295" s="4"/>
      <c r="E295" s="4"/>
    </row>
    <row r="296" spans="1:58" x14ac:dyDescent="0.35">
      <c r="A296" s="12" t="s">
        <v>89</v>
      </c>
      <c r="C296" s="2">
        <v>42005</v>
      </c>
      <c r="D296" s="2">
        <v>42370</v>
      </c>
      <c r="E296" s="2">
        <v>42736</v>
      </c>
      <c r="F296" s="2">
        <v>43101</v>
      </c>
      <c r="G296" s="2">
        <v>43466</v>
      </c>
      <c r="H296" s="2">
        <v>43831</v>
      </c>
      <c r="I296" s="2">
        <v>44197</v>
      </c>
      <c r="J296" s="2">
        <v>44562</v>
      </c>
      <c r="K296" s="2">
        <v>44927</v>
      </c>
      <c r="L296" s="2">
        <v>45292</v>
      </c>
      <c r="M296" s="2">
        <v>45658</v>
      </c>
      <c r="N296" s="2">
        <v>46023</v>
      </c>
      <c r="O296" s="2">
        <v>46388</v>
      </c>
      <c r="P296" s="2">
        <v>46753</v>
      </c>
      <c r="Q296" s="2">
        <v>47119</v>
      </c>
      <c r="R296" s="2">
        <v>47484</v>
      </c>
      <c r="S296" s="2">
        <v>47849</v>
      </c>
      <c r="T296" s="2">
        <v>48214</v>
      </c>
      <c r="U296" s="2">
        <v>48580</v>
      </c>
      <c r="V296" s="2">
        <v>48945</v>
      </c>
      <c r="W296" s="2">
        <v>49310</v>
      </c>
      <c r="X296" s="2">
        <v>49675</v>
      </c>
      <c r="Y296" s="2">
        <v>50041</v>
      </c>
      <c r="Z296" s="2">
        <v>50406</v>
      </c>
      <c r="AA296" s="2">
        <v>50771</v>
      </c>
      <c r="AB296" s="2">
        <v>51136</v>
      </c>
      <c r="AC296" s="2">
        <v>51502</v>
      </c>
      <c r="AD296" s="2">
        <v>51867</v>
      </c>
      <c r="AE296" s="2">
        <v>52232</v>
      </c>
      <c r="AF296" s="2">
        <v>52597</v>
      </c>
      <c r="AG296" s="2">
        <v>52963</v>
      </c>
      <c r="AH296" s="2">
        <v>53328</v>
      </c>
      <c r="AI296" s="2">
        <v>53693</v>
      </c>
      <c r="AJ296" s="2">
        <v>54058</v>
      </c>
      <c r="AK296" s="2">
        <v>54424</v>
      </c>
      <c r="AL296" s="2">
        <v>54789</v>
      </c>
      <c r="AM296" s="2">
        <v>54790</v>
      </c>
      <c r="AN296" s="2">
        <v>54791</v>
      </c>
      <c r="AO296" s="2">
        <v>54792</v>
      </c>
      <c r="AP296" s="2">
        <v>54793</v>
      </c>
      <c r="AQ296" s="2">
        <v>54794</v>
      </c>
      <c r="AR296" s="2">
        <v>54795</v>
      </c>
      <c r="AS296" s="2">
        <v>54796</v>
      </c>
      <c r="AT296" s="2">
        <v>54797</v>
      </c>
      <c r="AU296" s="2">
        <v>54798</v>
      </c>
      <c r="AV296" s="2">
        <v>54799</v>
      </c>
      <c r="AW296" s="2">
        <v>54800</v>
      </c>
      <c r="AX296" s="2">
        <v>54801</v>
      </c>
      <c r="AY296" s="2">
        <v>54802</v>
      </c>
      <c r="AZ296" s="2">
        <v>54803</v>
      </c>
      <c r="BA296" s="2">
        <v>54804</v>
      </c>
      <c r="BB296" s="2">
        <v>54805</v>
      </c>
      <c r="BC296" s="2">
        <v>54806</v>
      </c>
      <c r="BD296" s="2">
        <v>54807</v>
      </c>
      <c r="BE296" s="2">
        <v>54808</v>
      </c>
      <c r="BF296" s="2">
        <v>54809</v>
      </c>
    </row>
    <row r="297" spans="1:58" x14ac:dyDescent="0.35">
      <c r="A297" t="s">
        <v>39</v>
      </c>
      <c r="B297" t="s">
        <v>56</v>
      </c>
      <c r="C297" s="6">
        <f>[1]Results!F3</f>
        <v>32317.940999999999</v>
      </c>
      <c r="D297" s="6">
        <f>[1]Results!G3</f>
        <v>31912.38783</v>
      </c>
      <c r="E297" s="6">
        <f>[1]Results!H3</f>
        <v>31695.544000000002</v>
      </c>
      <c r="F297" s="6">
        <f>[1]Results!I3</f>
        <v>31609.242139999998</v>
      </c>
      <c r="G297" s="6">
        <f>[1]Results!J3</f>
        <v>31614.876240000001</v>
      </c>
      <c r="H297" s="6">
        <f>[1]Results!K3</f>
        <v>31687.392110000001</v>
      </c>
      <c r="I297" s="6">
        <f>[1]Results!L3</f>
        <v>31806.54536</v>
      </c>
      <c r="J297" s="6">
        <f>[1]Results!M3</f>
        <v>31961.486949999999</v>
      </c>
      <c r="K297" s="6">
        <f>[1]Results!N3</f>
        <v>32144.69184</v>
      </c>
      <c r="L297" s="6">
        <f>[1]Results!O3</f>
        <v>32350.68</v>
      </c>
      <c r="M297" s="6">
        <f>[1]Results!P3</f>
        <v>32579.056280000001</v>
      </c>
      <c r="N297" s="6">
        <f>[1]Results!Q3</f>
        <v>32822.897649999999</v>
      </c>
      <c r="O297" s="6">
        <f>[1]Results!R3</f>
        <v>33080.789830000002</v>
      </c>
      <c r="P297" s="6">
        <f>[1]Results!S3</f>
        <v>33350.890789999998</v>
      </c>
      <c r="Q297" s="6">
        <f>[1]Results!T3</f>
        <v>33631.362540000002</v>
      </c>
      <c r="R297" s="6">
        <f>[1]Results!U3</f>
        <v>33920.452310000001</v>
      </c>
      <c r="S297" s="6">
        <f>[1]Results!V3</f>
        <v>34216.364240000003</v>
      </c>
      <c r="T297" s="6">
        <f>[1]Results!W3</f>
        <v>34517.487840000002</v>
      </c>
      <c r="U297" s="6">
        <f>[1]Results!X3</f>
        <v>34822.385990000002</v>
      </c>
      <c r="V297" s="6">
        <f>[1]Results!Y3</f>
        <v>35129.773690000002</v>
      </c>
      <c r="W297" s="6">
        <f>[1]Results!Z3</f>
        <v>35433.695590000003</v>
      </c>
      <c r="X297" s="6">
        <f>[1]Results!AA3</f>
        <v>35738.372009999999</v>
      </c>
      <c r="Y297" s="6">
        <f>[1]Results!AB3</f>
        <v>36043.055690000001</v>
      </c>
      <c r="Z297" s="6">
        <f>[1]Results!AC3</f>
        <v>36347.193240000001</v>
      </c>
      <c r="AA297" s="6">
        <f>[1]Results!AD3</f>
        <v>36650.319089999997</v>
      </c>
      <c r="AB297" s="6">
        <f>[1]Results!AE3</f>
        <v>36938.436390000003</v>
      </c>
      <c r="AC297" s="6">
        <f>[1]Results!AF3</f>
        <v>37219.563869999998</v>
      </c>
      <c r="AD297" s="6">
        <f>[1]Results!AG3</f>
        <v>37494.154090000004</v>
      </c>
      <c r="AE297" s="6">
        <f>[1]Results!AH3</f>
        <v>37762.929340000002</v>
      </c>
      <c r="AF297" s="6">
        <f>[1]Results!AI3</f>
        <v>38026.686690000002</v>
      </c>
      <c r="AG297" s="6">
        <f>[1]Results!AJ3</f>
        <v>38286.197590000003</v>
      </c>
      <c r="AH297" s="6">
        <f>[1]Results!AK3</f>
        <v>38542.1976</v>
      </c>
      <c r="AI297" s="6">
        <f>[1]Results!AL3</f>
        <v>38795.30917</v>
      </c>
      <c r="AJ297" s="6">
        <f>[1]Results!AM3</f>
        <v>39046.055419999997</v>
      </c>
      <c r="AK297" s="6">
        <f>[1]Results!AN3</f>
        <v>39294.887219999997</v>
      </c>
      <c r="AL297" s="6">
        <f>[1]Results!AO3</f>
        <v>39542.203650000003</v>
      </c>
      <c r="AM297" s="6">
        <f>[1]Results!AP3</f>
        <v>39785.631179999997</v>
      </c>
      <c r="AN297" s="6">
        <f>[1]Results!AQ3</f>
        <v>40025.868349999997</v>
      </c>
      <c r="AO297" s="6">
        <f>[1]Results!AR3</f>
        <v>40263.481039999999</v>
      </c>
      <c r="AP297" s="6">
        <f>[1]Results!AS3</f>
        <v>40499.051939999998</v>
      </c>
      <c r="AQ297" s="6">
        <f>[1]Results!AT3</f>
        <v>40733.187810000003</v>
      </c>
      <c r="AR297" s="6">
        <f>[1]Results!AU3</f>
        <v>40966.540090000002</v>
      </c>
      <c r="AS297" s="6">
        <f>[1]Results!AV3</f>
        <v>41199.672259999999</v>
      </c>
      <c r="AT297" s="6">
        <f>[1]Results!AW3</f>
        <v>41433.049579999999</v>
      </c>
      <c r="AU297" s="6">
        <f>[1]Results!AX3</f>
        <v>41667.05227</v>
      </c>
      <c r="AV297" s="6">
        <f>[1]Results!AY3</f>
        <v>41901.986420000001</v>
      </c>
      <c r="AW297" s="6">
        <f>[1]Results!AZ3</f>
        <v>42138.554799999998</v>
      </c>
      <c r="AX297" s="6">
        <f>[1]Results!BA3</f>
        <v>42376.991580000002</v>
      </c>
      <c r="AY297" s="6">
        <f>[1]Results!BB3</f>
        <v>42617.396699999998</v>
      </c>
      <c r="AZ297" s="6">
        <f>[1]Results!BC3</f>
        <v>42859.81667</v>
      </c>
      <c r="BA297" s="6">
        <f>[1]Results!BD3</f>
        <v>43104.280379999997</v>
      </c>
      <c r="BB297" s="6">
        <f>[1]Results!BE3</f>
        <v>46008.79161</v>
      </c>
      <c r="BC297" s="6">
        <f>[1]Results!BF3</f>
        <v>46338.604979999996</v>
      </c>
      <c r="BD297" s="6">
        <f>[1]Results!BG3</f>
        <v>46669.607629999999</v>
      </c>
      <c r="BE297" s="6">
        <f>[1]Results!BH3</f>
        <v>47001.910230000001</v>
      </c>
      <c r="BF297" s="6">
        <f>[1]Results!BI3</f>
        <v>47335.641969999997</v>
      </c>
    </row>
    <row r="298" spans="1:58" x14ac:dyDescent="0.35">
      <c r="B298" t="s">
        <v>53</v>
      </c>
      <c r="C298" s="6">
        <f>[1]Results!F4</f>
        <v>32271.24</v>
      </c>
      <c r="D298" s="6">
        <f>[1]Results!G4</f>
        <v>31848.242419999999</v>
      </c>
      <c r="E298" s="6">
        <f>[1]Results!H4</f>
        <v>31613.314050000001</v>
      </c>
      <c r="F298" s="6">
        <f>[1]Results!I4</f>
        <v>31508.70837</v>
      </c>
      <c r="G298" s="6">
        <f>[1]Results!J4</f>
        <v>31496.073189999999</v>
      </c>
      <c r="H298" s="6">
        <f>[1]Results!K4</f>
        <v>31550.50088</v>
      </c>
      <c r="I298" s="6">
        <f>[1]Results!L4</f>
        <v>31651.867099999999</v>
      </c>
      <c r="J298" s="6">
        <f>[1]Results!M4</f>
        <v>31789.374790000002</v>
      </c>
      <c r="K298" s="6">
        <f>[1]Results!N4</f>
        <v>31955.53368</v>
      </c>
      <c r="L298" s="6">
        <f>[1]Results!O4</f>
        <v>32144.89</v>
      </c>
      <c r="M298" s="6">
        <f>[1]Results!P4</f>
        <v>32357.036769999999</v>
      </c>
      <c r="N298" s="6">
        <f>[1]Results!Q4</f>
        <v>32585.101910000001</v>
      </c>
      <c r="O298" s="6">
        <f>[1]Results!R4</f>
        <v>32827.679709999997</v>
      </c>
      <c r="P298" s="6">
        <f>[1]Results!S4</f>
        <v>33082.945310000003</v>
      </c>
      <c r="Q298" s="6">
        <f>[1]Results!T4</f>
        <v>33349.082249999999</v>
      </c>
      <c r="R298" s="6">
        <f>[1]Results!U4</f>
        <v>33624.362430000001</v>
      </c>
      <c r="S298" s="6">
        <f>[1]Results!V4</f>
        <v>33907.019010000004</v>
      </c>
      <c r="T298" s="6">
        <f>[1]Results!W4</f>
        <v>34195.472990000002</v>
      </c>
      <c r="U298" s="6">
        <f>[1]Results!X4</f>
        <v>34488.320480000002</v>
      </c>
      <c r="V298" s="6">
        <f>[1]Results!Y4</f>
        <v>34784.311399999999</v>
      </c>
      <c r="W298" s="6">
        <f>[1]Results!Z4</f>
        <v>35077.565920000001</v>
      </c>
      <c r="X298" s="6">
        <f>[1]Results!AA4</f>
        <v>35372.300450000002</v>
      </c>
      <c r="Y298" s="6">
        <f>[1]Results!AB4</f>
        <v>35667.805930000002</v>
      </c>
      <c r="Z298" s="6">
        <f>[1]Results!AC4</f>
        <v>35963.568679999997</v>
      </c>
      <c r="AA298" s="6">
        <f>[1]Results!AD4</f>
        <v>36259.165459999997</v>
      </c>
      <c r="AB298" s="6">
        <f>[1]Results!AE4</f>
        <v>36540.741800000003</v>
      </c>
      <c r="AC298" s="6">
        <f>[1]Results!AF4</f>
        <v>36816.303399999997</v>
      </c>
      <c r="AD298" s="6">
        <f>[1]Results!AG4</f>
        <v>37086.346129999998</v>
      </c>
      <c r="AE298" s="6">
        <f>[1]Results!AH4</f>
        <v>37351.637640000001</v>
      </c>
      <c r="AF298" s="6">
        <f>[1]Results!AI4</f>
        <v>37613.02461</v>
      </c>
      <c r="AG298" s="6">
        <f>[1]Results!AJ4</f>
        <v>37871.333720000002</v>
      </c>
      <c r="AH298" s="6">
        <f>[1]Results!AK4</f>
        <v>38127.362079999999</v>
      </c>
      <c r="AI298" s="6">
        <f>[1]Results!AL4</f>
        <v>38381.800940000001</v>
      </c>
      <c r="AJ298" s="6">
        <f>[1]Results!AM4</f>
        <v>38635.250200000002</v>
      </c>
      <c r="AK298" s="6">
        <f>[1]Results!AN4</f>
        <v>38888.246160000002</v>
      </c>
      <c r="AL298" s="6">
        <f>[1]Results!AO4</f>
        <v>39141.282619999998</v>
      </c>
      <c r="AM298" s="6">
        <f>[1]Results!AP4</f>
        <v>39392.097020000001</v>
      </c>
      <c r="AN298" s="6">
        <f>[1]Results!AQ4</f>
        <v>39641.496420000003</v>
      </c>
      <c r="AO298" s="6">
        <f>[1]Results!AR4</f>
        <v>39890.166449999997</v>
      </c>
      <c r="AP298" s="6">
        <f>[1]Results!AS4</f>
        <v>40138.822090000001</v>
      </c>
      <c r="AQ298" s="6">
        <f>[1]Results!AT4</f>
        <v>40388.216560000001</v>
      </c>
      <c r="AR298" s="6">
        <f>[1]Results!AU4</f>
        <v>40639.163189999999</v>
      </c>
      <c r="AS298" s="6">
        <f>[1]Results!AV4</f>
        <v>40892.404139999999</v>
      </c>
      <c r="AT298" s="6">
        <f>[1]Results!AW4</f>
        <v>41148.601499999997</v>
      </c>
      <c r="AU298" s="6">
        <f>[1]Results!AX4</f>
        <v>41408.352059999997</v>
      </c>
      <c r="AV298" s="6">
        <f>[1]Results!AY4</f>
        <v>41672.199860000001</v>
      </c>
      <c r="AW298" s="6">
        <f>[1]Results!AZ4</f>
        <v>41941.11116</v>
      </c>
      <c r="AX298" s="6">
        <f>[1]Results!BA4</f>
        <v>42215.606480000002</v>
      </c>
      <c r="AY298" s="6">
        <f>[1]Results!BB4</f>
        <v>42496.098899999997</v>
      </c>
      <c r="AZ298" s="6">
        <f>[1]Results!BC4</f>
        <v>42782.977959999997</v>
      </c>
      <c r="BA298" s="6">
        <f>[1]Results!BD4</f>
        <v>43076.648840000002</v>
      </c>
      <c r="BB298" s="6">
        <f>[1]Results!BE4</f>
        <v>45733.742980000003</v>
      </c>
      <c r="BC298" s="6">
        <f>[1]Results!BF4</f>
        <v>46096.605170000003</v>
      </c>
      <c r="BD298" s="6">
        <f>[1]Results!BG4</f>
        <v>46464.389629999998</v>
      </c>
      <c r="BE298" s="6">
        <f>[1]Results!BH4</f>
        <v>46837.523480000003</v>
      </c>
      <c r="BF298" s="6">
        <f>[1]Results!BI4</f>
        <v>47216.482490000002</v>
      </c>
    </row>
    <row r="299" spans="1:58" x14ac:dyDescent="0.35">
      <c r="B299" t="s">
        <v>54</v>
      </c>
      <c r="C299" s="6">
        <f>[1]Results!F20</f>
        <v>1.9359999999999999</v>
      </c>
      <c r="D299" s="6">
        <f>[1]Results!G20</f>
        <v>1.990447131</v>
      </c>
      <c r="E299" s="6">
        <f>[1]Results!H20</f>
        <v>2.0545257160000001</v>
      </c>
      <c r="F299" s="6">
        <f>[1]Results!I20</f>
        <v>2.1240120089999999</v>
      </c>
      <c r="G299" s="6">
        <f>[1]Results!J20</f>
        <v>2.1961980489999999</v>
      </c>
      <c r="H299" s="6">
        <f>[1]Results!K20</f>
        <v>2.269423872</v>
      </c>
      <c r="I299" s="6">
        <f>[1]Results!L20</f>
        <v>2.3423722730000001</v>
      </c>
      <c r="J299" s="6">
        <f>[1]Results!M20</f>
        <v>2.4144603939999998</v>
      </c>
      <c r="K299" s="6">
        <f>[1]Results!N20</f>
        <v>2.485349024</v>
      </c>
      <c r="L299" s="6">
        <f>[1]Results!O20</f>
        <v>2.5548422710000001</v>
      </c>
      <c r="M299" s="6">
        <f>[1]Results!P20</f>
        <v>2.6231448149999999</v>
      </c>
      <c r="N299" s="6">
        <f>[1]Results!Q20</f>
        <v>2.6899027470000001</v>
      </c>
      <c r="O299" s="6">
        <f>[1]Results!R20</f>
        <v>2.7551985800000001</v>
      </c>
      <c r="P299" s="6">
        <f>[1]Results!S20</f>
        <v>2.819065267</v>
      </c>
      <c r="Q299" s="6">
        <f>[1]Results!T20</f>
        <v>2.8815224800000001</v>
      </c>
      <c r="R299" s="6">
        <f>[1]Results!U20</f>
        <v>2.9425842050000002</v>
      </c>
      <c r="S299" s="6">
        <f>[1]Results!V20</f>
        <v>3.0022490049999999</v>
      </c>
      <c r="T299" s="6">
        <f>[1]Results!W20</f>
        <v>3.0605197560000001</v>
      </c>
      <c r="U299" s="6">
        <f>[1]Results!X20</f>
        <v>3.1174035500000001</v>
      </c>
      <c r="V299" s="6">
        <f>[1]Results!Y20</f>
        <v>3.1729107729999999</v>
      </c>
      <c r="W299" s="6">
        <f>[1]Results!Z20</f>
        <v>3.2266540429999999</v>
      </c>
      <c r="X299" s="6">
        <f>[1]Results!AA20</f>
        <v>3.279079941</v>
      </c>
      <c r="Y299" s="6">
        <f>[1]Results!AB20</f>
        <v>3.3302209110000001</v>
      </c>
      <c r="Z299" s="6">
        <f>[1]Results!AC20</f>
        <v>3.3801191450000001</v>
      </c>
      <c r="AA299" s="6">
        <f>[1]Results!AD20</f>
        <v>3.4288184400000001</v>
      </c>
      <c r="AB299" s="6">
        <f>[1]Results!AE20</f>
        <v>3.4752287160000002</v>
      </c>
      <c r="AC299" s="6">
        <f>[1]Results!AF20</f>
        <v>3.5200739410000002</v>
      </c>
      <c r="AD299" s="6">
        <f>[1]Results!AG20</f>
        <v>3.563454267</v>
      </c>
      <c r="AE299" s="6">
        <f>[1]Results!AH20</f>
        <v>3.6054896589999998</v>
      </c>
      <c r="AF299" s="6">
        <f>[1]Results!AI20</f>
        <v>3.6463042419999998</v>
      </c>
      <c r="AG299" s="6">
        <f>[1]Results!AJ20</f>
        <v>3.6860182410000002</v>
      </c>
      <c r="AH299" s="6">
        <f>[1]Results!AK20</f>
        <v>3.7247472859999999</v>
      </c>
      <c r="AI299" s="6">
        <f>[1]Results!AL20</f>
        <v>3.7625960969999999</v>
      </c>
      <c r="AJ299" s="6">
        <f>[1]Results!AM20</f>
        <v>3.799659696</v>
      </c>
      <c r="AK299" s="6">
        <f>[1]Results!AN20</f>
        <v>3.8360257440000001</v>
      </c>
      <c r="AL299" s="6">
        <f>[1]Results!AO20</f>
        <v>3.871776358</v>
      </c>
      <c r="AM299" s="6">
        <f>[1]Results!AP20</f>
        <v>3.9067601889999999</v>
      </c>
      <c r="AN299" s="6">
        <f>[1]Results!AQ20</f>
        <v>3.941078434</v>
      </c>
      <c r="AO299" s="6">
        <f>[1]Results!AR20</f>
        <v>3.9748210419999999</v>
      </c>
      <c r="AP299" s="6">
        <f>[1]Results!AS20</f>
        <v>4.0080792890000003</v>
      </c>
      <c r="AQ299" s="6">
        <f>[1]Results!AT20</f>
        <v>4.0409466299999997</v>
      </c>
      <c r="AR299" s="6">
        <f>[1]Results!AU20</f>
        <v>4.0735206579999996</v>
      </c>
      <c r="AS299" s="6">
        <f>[1]Results!AV20</f>
        <v>4.1058922009999996</v>
      </c>
      <c r="AT299" s="6">
        <f>[1]Results!AW20</f>
        <v>4.1381445379999997</v>
      </c>
      <c r="AU299" s="6">
        <f>[1]Results!AX20</f>
        <v>4.170354584</v>
      </c>
      <c r="AV299" s="6">
        <f>[1]Results!AY20</f>
        <v>4.2025939169999997</v>
      </c>
      <c r="AW299" s="6">
        <f>[1]Results!AZ20</f>
        <v>4.2349686719999999</v>
      </c>
      <c r="AX299" s="6">
        <f>[1]Results!BA20</f>
        <v>4.2675472179999998</v>
      </c>
      <c r="AY299" s="6">
        <f>[1]Results!BB20</f>
        <v>4.3003880270000003</v>
      </c>
      <c r="AZ299" s="6">
        <f>[1]Results!BC20</f>
        <v>4.3335466440000001</v>
      </c>
      <c r="BA299" s="6">
        <f>[1]Results!BD20</f>
        <v>4.3670789970000001</v>
      </c>
      <c r="BB299" s="6">
        <f>[1]Results!BE20</f>
        <v>4.6286853649999999</v>
      </c>
      <c r="BC299" s="6">
        <f>[1]Results!BF20</f>
        <v>4.6688759529999997</v>
      </c>
      <c r="BD299" s="6">
        <f>[1]Results!BG20</f>
        <v>4.7093404809999999</v>
      </c>
      <c r="BE299" s="6">
        <f>[1]Results!BH20</f>
        <v>4.7501298930000004</v>
      </c>
      <c r="BF299" s="6">
        <f>[1]Results!BI20</f>
        <v>4.7912988260000002</v>
      </c>
    </row>
    <row r="300" spans="1:58" x14ac:dyDescent="0.35">
      <c r="B300" t="s">
        <v>55</v>
      </c>
      <c r="C300" s="6">
        <f>[1]Results!F12</f>
        <v>44.765000000000001</v>
      </c>
      <c r="D300" s="6">
        <f>[1]Results!G12</f>
        <v>62.154960699999997</v>
      </c>
      <c r="E300" s="6">
        <f>[1]Results!H12</f>
        <v>80.175430759999998</v>
      </c>
      <c r="F300" s="6">
        <f>[1]Results!I12</f>
        <v>98.409757729999995</v>
      </c>
      <c r="G300" s="6">
        <f>[1]Results!J12</f>
        <v>116.60685220000001</v>
      </c>
      <c r="H300" s="6">
        <f>[1]Results!K12</f>
        <v>134.62180549999999</v>
      </c>
      <c r="I300" s="6">
        <f>[1]Results!L12</f>
        <v>152.33588929999999</v>
      </c>
      <c r="J300" s="6">
        <f>[1]Results!M12</f>
        <v>169.69770220000001</v>
      </c>
      <c r="K300" s="6">
        <f>[1]Results!N12</f>
        <v>186.6728166</v>
      </c>
      <c r="L300" s="6">
        <f>[1]Results!O12</f>
        <v>203.23515939999999</v>
      </c>
      <c r="M300" s="6">
        <f>[1]Results!P12</f>
        <v>219.3963665</v>
      </c>
      <c r="N300" s="6">
        <f>[1]Results!Q12</f>
        <v>235.10584600000001</v>
      </c>
      <c r="O300" s="6">
        <f>[1]Results!R12</f>
        <v>250.35492769999999</v>
      </c>
      <c r="P300" s="6">
        <f>[1]Results!S12</f>
        <v>265.1264147</v>
      </c>
      <c r="Q300" s="6">
        <f>[1]Results!T12</f>
        <v>279.39877519999999</v>
      </c>
      <c r="R300" s="6">
        <f>[1]Results!U12</f>
        <v>293.14730179999998</v>
      </c>
      <c r="S300" s="6">
        <f>[1]Results!V12</f>
        <v>306.34297190000001</v>
      </c>
      <c r="T300" s="6">
        <f>[1]Results!W12</f>
        <v>318.95433279999997</v>
      </c>
      <c r="U300" s="6">
        <f>[1]Results!X12</f>
        <v>330.948105</v>
      </c>
      <c r="V300" s="6">
        <f>[1]Results!Y12</f>
        <v>342.28938440000002</v>
      </c>
      <c r="W300" s="6">
        <f>[1]Results!Z12</f>
        <v>352.90301829999999</v>
      </c>
      <c r="X300" s="6">
        <f>[1]Results!AA12</f>
        <v>362.7924764</v>
      </c>
      <c r="Y300" s="6">
        <f>[1]Results!AB12</f>
        <v>371.91952989999999</v>
      </c>
      <c r="Z300" s="6">
        <f>[1]Results!AC12</f>
        <v>380.24443710000003</v>
      </c>
      <c r="AA300" s="6">
        <f>[1]Results!AD12</f>
        <v>387.72480100000001</v>
      </c>
      <c r="AB300" s="6">
        <f>[1]Results!AE12</f>
        <v>394.21935559999997</v>
      </c>
      <c r="AC300" s="6">
        <f>[1]Results!AF12</f>
        <v>399.74039370000003</v>
      </c>
      <c r="AD300" s="6">
        <f>[1]Results!AG12</f>
        <v>404.24449650000003</v>
      </c>
      <c r="AE300" s="6">
        <f>[1]Results!AH12</f>
        <v>407.68619619999998</v>
      </c>
      <c r="AF300" s="6">
        <f>[1]Results!AI12</f>
        <v>410.01576399999999</v>
      </c>
      <c r="AG300" s="6">
        <f>[1]Results!AJ12</f>
        <v>411.17783259999999</v>
      </c>
      <c r="AH300" s="6">
        <f>[1]Results!AK12</f>
        <v>411.11075579999999</v>
      </c>
      <c r="AI300" s="6">
        <f>[1]Results!AL12</f>
        <v>409.74562220000001</v>
      </c>
      <c r="AJ300" s="6">
        <f>[1]Results!AM12</f>
        <v>407.00554460000001</v>
      </c>
      <c r="AK300" s="6">
        <f>[1]Results!AN12</f>
        <v>402.80502209999997</v>
      </c>
      <c r="AL300" s="6">
        <f>[1]Results!AO12</f>
        <v>397.04924410000001</v>
      </c>
      <c r="AM300" s="6">
        <f>[1]Results!AP12</f>
        <v>389.62739160000001</v>
      </c>
      <c r="AN300" s="6">
        <f>[1]Results!AQ12</f>
        <v>380.43083180000002</v>
      </c>
      <c r="AO300" s="6">
        <f>[1]Results!AR12</f>
        <v>369.33974719999998</v>
      </c>
      <c r="AP300" s="6">
        <f>[1]Results!AS12</f>
        <v>356.2217445</v>
      </c>
      <c r="AQ300" s="6">
        <f>[1]Results!AT12</f>
        <v>340.93029000000001</v>
      </c>
      <c r="AR300" s="6">
        <f>[1]Results!AU12</f>
        <v>323.30336089999997</v>
      </c>
      <c r="AS300" s="6">
        <f>[1]Results!AV12</f>
        <v>303.16221510000003</v>
      </c>
      <c r="AT300" s="6">
        <f>[1]Results!AW12</f>
        <v>280.3099191</v>
      </c>
      <c r="AU300" s="6">
        <f>[1]Results!AX12</f>
        <v>254.5298276</v>
      </c>
      <c r="AV300" s="6">
        <f>[1]Results!AY12</f>
        <v>225.58394369999999</v>
      </c>
      <c r="AW300" s="6">
        <f>[1]Results!AZ12</f>
        <v>193.20864990000001</v>
      </c>
      <c r="AX300" s="6">
        <f>[1]Results!BA12</f>
        <v>157.1175217</v>
      </c>
      <c r="AY300" s="6">
        <f>[1]Results!BB12</f>
        <v>116.9973919</v>
      </c>
      <c r="AZ300" s="6">
        <f>[1]Results!BC12</f>
        <v>72.505136609999994</v>
      </c>
      <c r="BA300" s="6">
        <f>[1]Results!BD12</f>
        <v>23.264441529999999</v>
      </c>
      <c r="BB300" s="6">
        <f>[1]Results!BE12</f>
        <v>270.4199448</v>
      </c>
      <c r="BC300" s="6">
        <f>[1]Results!BF12</f>
        <v>237.33092400000001</v>
      </c>
      <c r="BD300" s="6">
        <f>[1]Results!BG12</f>
        <v>200.5086518</v>
      </c>
      <c r="BE300" s="6">
        <f>[1]Results!BH12</f>
        <v>159.6366142</v>
      </c>
      <c r="BF300" s="6">
        <f>[1]Results!BI12</f>
        <v>114.3681741</v>
      </c>
    </row>
    <row r="302" spans="1:58" x14ac:dyDescent="0.35">
      <c r="A302" s="12" t="s">
        <v>89</v>
      </c>
      <c r="C302" s="2">
        <v>42005</v>
      </c>
      <c r="D302" s="2">
        <v>42370</v>
      </c>
      <c r="E302" s="2">
        <v>42736</v>
      </c>
      <c r="F302" s="2">
        <v>43101</v>
      </c>
      <c r="G302" s="2">
        <v>43466</v>
      </c>
      <c r="H302" s="2">
        <v>43831</v>
      </c>
      <c r="I302" s="2">
        <v>44197</v>
      </c>
      <c r="J302" s="2">
        <v>44562</v>
      </c>
      <c r="K302" s="2">
        <v>44927</v>
      </c>
      <c r="L302" s="2">
        <v>45292</v>
      </c>
      <c r="M302" s="2">
        <v>45658</v>
      </c>
      <c r="N302" s="2">
        <v>46023</v>
      </c>
      <c r="O302" s="2">
        <v>46388</v>
      </c>
      <c r="P302" s="2">
        <v>46753</v>
      </c>
      <c r="Q302" s="2">
        <v>47119</v>
      </c>
      <c r="R302" s="2">
        <v>47484</v>
      </c>
      <c r="S302" s="2">
        <v>47849</v>
      </c>
      <c r="T302" s="2">
        <v>48214</v>
      </c>
      <c r="U302" s="2">
        <v>48580</v>
      </c>
      <c r="V302" s="2">
        <v>48945</v>
      </c>
      <c r="W302" s="2">
        <v>49310</v>
      </c>
      <c r="X302" s="2">
        <v>49675</v>
      </c>
      <c r="Y302" s="2">
        <v>50041</v>
      </c>
      <c r="Z302" s="2">
        <v>50406</v>
      </c>
      <c r="AA302" s="2">
        <v>50771</v>
      </c>
      <c r="AB302" s="2">
        <v>51136</v>
      </c>
      <c r="AC302" s="2">
        <v>51502</v>
      </c>
      <c r="AD302" s="2">
        <v>51867</v>
      </c>
      <c r="AE302" s="2">
        <v>52232</v>
      </c>
      <c r="AF302" s="2">
        <v>52597</v>
      </c>
      <c r="AG302" s="2">
        <v>52963</v>
      </c>
      <c r="AH302" s="2">
        <v>53328</v>
      </c>
      <c r="AI302" s="2">
        <v>53693</v>
      </c>
      <c r="AJ302" s="2">
        <v>54058</v>
      </c>
      <c r="AK302" s="2">
        <v>54424</v>
      </c>
      <c r="AL302" s="2">
        <v>54789</v>
      </c>
      <c r="AM302" s="2">
        <v>54790</v>
      </c>
      <c r="AN302" s="2">
        <v>54791</v>
      </c>
      <c r="AO302" s="2">
        <v>54792</v>
      </c>
      <c r="AP302" s="2">
        <v>54793</v>
      </c>
      <c r="AQ302" s="2">
        <v>54794</v>
      </c>
      <c r="AR302" s="2">
        <v>54795</v>
      </c>
      <c r="AS302" s="2">
        <v>54796</v>
      </c>
      <c r="AT302" s="2">
        <v>54797</v>
      </c>
      <c r="AU302" s="2">
        <v>54798</v>
      </c>
      <c r="AV302" s="2">
        <v>54799</v>
      </c>
      <c r="AW302" s="2">
        <v>54800</v>
      </c>
      <c r="AX302" s="2">
        <v>54801</v>
      </c>
      <c r="AY302" s="2">
        <v>54802</v>
      </c>
      <c r="AZ302" s="2">
        <v>54803</v>
      </c>
      <c r="BA302" s="2">
        <v>54804</v>
      </c>
      <c r="BB302" s="2">
        <v>54805</v>
      </c>
      <c r="BC302" s="2">
        <v>54806</v>
      </c>
      <c r="BD302" s="2">
        <v>54807</v>
      </c>
      <c r="BE302" s="2">
        <v>54808</v>
      </c>
      <c r="BF302" s="2">
        <v>54809</v>
      </c>
    </row>
    <row r="303" spans="1:58" x14ac:dyDescent="0.35">
      <c r="A303" t="s">
        <v>38</v>
      </c>
      <c r="B303" t="s">
        <v>56</v>
      </c>
      <c r="C303" s="6">
        <f>[1]Results!F28</f>
        <v>32317.940999999999</v>
      </c>
      <c r="D303" s="6">
        <f>[1]Results!G28</f>
        <v>31939.281360000001</v>
      </c>
      <c r="E303" s="6">
        <f>[1]Results!H28</f>
        <v>31767.455890000001</v>
      </c>
      <c r="F303" s="6">
        <f>[1]Results!I28</f>
        <v>31736.000940000002</v>
      </c>
      <c r="G303" s="6">
        <f>[1]Results!J28</f>
        <v>31800.974969999999</v>
      </c>
      <c r="H303" s="6">
        <f>[1]Results!K28</f>
        <v>31933.82127</v>
      </c>
      <c r="I303" s="6">
        <f>[1]Results!L28</f>
        <v>32112.09174</v>
      </c>
      <c r="J303" s="6">
        <f>[1]Results!M28</f>
        <v>32323.60598</v>
      </c>
      <c r="K303" s="6">
        <f>[1]Results!N28</f>
        <v>32560.151460000001</v>
      </c>
      <c r="L303" s="6">
        <f>[1]Results!O28</f>
        <v>32815.996449999999</v>
      </c>
      <c r="M303" s="6">
        <f>[1]Results!P28</f>
        <v>33093.725680000003</v>
      </c>
      <c r="N303" s="6">
        <f>[1]Results!Q28</f>
        <v>33382.97322</v>
      </c>
      <c r="O303" s="6">
        <f>[1]Results!R28</f>
        <v>33680.99985</v>
      </c>
      <c r="P303" s="6">
        <f>[1]Results!S28</f>
        <v>33985.469579999997</v>
      </c>
      <c r="Q303" s="6">
        <f>[1]Results!T28</f>
        <v>34294.477460000002</v>
      </c>
      <c r="R303" s="6">
        <f>[1]Results!U28</f>
        <v>34606.498899999999</v>
      </c>
      <c r="S303" s="6">
        <f>[1]Results!V28</f>
        <v>34920.321949999998</v>
      </c>
      <c r="T303" s="6">
        <f>[1]Results!W28</f>
        <v>35234.983760000003</v>
      </c>
      <c r="U303" s="6">
        <f>[1]Results!X28</f>
        <v>35549.718589999997</v>
      </c>
      <c r="V303" s="6">
        <f>[1]Results!Y28</f>
        <v>35863.918839999998</v>
      </c>
      <c r="W303" s="6">
        <f>[1]Results!Z28</f>
        <v>36172.233480000003</v>
      </c>
      <c r="X303" s="6">
        <f>[1]Results!AA28</f>
        <v>36479.502659999998</v>
      </c>
      <c r="Y303" s="6">
        <f>[1]Results!AB28</f>
        <v>36785.560669999999</v>
      </c>
      <c r="Z303" s="6">
        <f>[1]Results!AC28</f>
        <v>37090.35903</v>
      </c>
      <c r="AA303" s="6">
        <f>[1]Results!AD28</f>
        <v>37393.860959999998</v>
      </c>
      <c r="AB303" s="6">
        <f>[1]Results!AE28</f>
        <v>37682.300210000001</v>
      </c>
      <c r="AC303" s="6">
        <f>[1]Results!AF28</f>
        <v>37963.857750000003</v>
      </c>
      <c r="AD303" s="6">
        <f>[1]Results!AG28</f>
        <v>38239.223660000003</v>
      </c>
      <c r="AE303" s="6">
        <f>[1]Results!AH28</f>
        <v>38509.344510000003</v>
      </c>
      <c r="AF303" s="6">
        <f>[1]Results!AI28</f>
        <v>38775.198490000002</v>
      </c>
      <c r="AG303" s="6">
        <f>[1]Results!AJ28</f>
        <v>39037.689050000001</v>
      </c>
      <c r="AH303" s="6">
        <f>[1]Results!AK28</f>
        <v>39297.6014</v>
      </c>
      <c r="AI303" s="6">
        <f>[1]Results!AL28</f>
        <v>39555.595650000003</v>
      </c>
      <c r="AJ303" s="6">
        <f>[1]Results!AM28</f>
        <v>39812.219259999998</v>
      </c>
      <c r="AK303" s="6">
        <f>[1]Results!AN28</f>
        <v>40067.927459999999</v>
      </c>
      <c r="AL303" s="6">
        <f>[1]Results!AO28</f>
        <v>40323.104229999997</v>
      </c>
      <c r="AM303" s="6">
        <f>[1]Results!AP28</f>
        <v>40574.969570000001</v>
      </c>
      <c r="AN303" s="6">
        <f>[1]Results!AQ28</f>
        <v>40824.026830000003</v>
      </c>
      <c r="AO303" s="6">
        <f>[1]Results!AR28</f>
        <v>41070.813609999997</v>
      </c>
      <c r="AP303" s="6">
        <f>[1]Results!AS28</f>
        <v>41315.925130000003</v>
      </c>
      <c r="AQ303" s="6">
        <f>[1]Results!AT28</f>
        <v>41559.975109999999</v>
      </c>
      <c r="AR303" s="6">
        <f>[1]Results!AU28</f>
        <v>41803.55171</v>
      </c>
      <c r="AS303" s="6">
        <f>[1]Results!AV28</f>
        <v>42047.185890000001</v>
      </c>
      <c r="AT303" s="6">
        <f>[1]Results!AW28</f>
        <v>42291.33511</v>
      </c>
      <c r="AU303" s="6">
        <f>[1]Results!AX28</f>
        <v>42536.37975</v>
      </c>
      <c r="AV303" s="6">
        <f>[1]Results!AY28</f>
        <v>42782.628270000001</v>
      </c>
      <c r="AW303" s="6">
        <f>[1]Results!AZ28</f>
        <v>43030.591110000001</v>
      </c>
      <c r="AX303" s="6">
        <f>[1]Results!BA28</f>
        <v>43280.44601</v>
      </c>
      <c r="AY303" s="6">
        <f>[1]Results!BB28</f>
        <v>43532.325470000003</v>
      </c>
      <c r="AZ303" s="6">
        <f>[1]Results!BC28</f>
        <v>43786.320970000001</v>
      </c>
      <c r="BA303" s="6">
        <f>[1]Results!BD28</f>
        <v>44042.493340000001</v>
      </c>
      <c r="BB303" s="6">
        <f>[1]Results!BE28</f>
        <v>45939.1077</v>
      </c>
      <c r="BC303" s="6">
        <f>[1]Results!BF28</f>
        <v>46264.987730000001</v>
      </c>
      <c r="BD303" s="6">
        <f>[1]Results!BG28</f>
        <v>46592.00649</v>
      </c>
      <c r="BE303" s="6">
        <f>[1]Results!BH28</f>
        <v>46920.289089999998</v>
      </c>
      <c r="BF303" s="6">
        <f>[1]Results!BI28</f>
        <v>47249.974520000003</v>
      </c>
    </row>
    <row r="304" spans="1:58" x14ac:dyDescent="0.35">
      <c r="B304" t="s">
        <v>53</v>
      </c>
      <c r="C304" s="6">
        <f>[1]Results!F29</f>
        <v>32271.24</v>
      </c>
      <c r="D304" s="6">
        <f>[1]Results!G29</f>
        <v>31874.761310000002</v>
      </c>
      <c r="E304" s="6">
        <f>[1]Results!H29</f>
        <v>31684.176350000002</v>
      </c>
      <c r="F304" s="6">
        <f>[1]Results!I29</f>
        <v>31633.507610000001</v>
      </c>
      <c r="G304" s="6">
        <f>[1]Results!J29</f>
        <v>31679.119449999998</v>
      </c>
      <c r="H304" s="6">
        <f>[1]Results!K29</f>
        <v>31792.640329999998</v>
      </c>
      <c r="I304" s="6">
        <f>[1]Results!L29</f>
        <v>31951.767909999999</v>
      </c>
      <c r="J304" s="6">
        <f>[1]Results!M29</f>
        <v>32144.38623</v>
      </c>
      <c r="K304" s="6">
        <f>[1]Results!N29</f>
        <v>32362.319530000001</v>
      </c>
      <c r="L304" s="6">
        <f>[1]Results!O29</f>
        <v>32599.85628</v>
      </c>
      <c r="M304" s="6">
        <f>[1]Results!P29</f>
        <v>32859.527329999997</v>
      </c>
      <c r="N304" s="6">
        <f>[1]Results!Q29</f>
        <v>33131.036690000001</v>
      </c>
      <c r="O304" s="6">
        <f>[1]Results!R29</f>
        <v>33411.648309999997</v>
      </c>
      <c r="P304" s="6">
        <f>[1]Results!S29</f>
        <v>33699.027439999998</v>
      </c>
      <c r="Q304" s="6">
        <f>[1]Results!T29</f>
        <v>33991.26771</v>
      </c>
      <c r="R304" s="6">
        <f>[1]Results!U29</f>
        <v>34286.840479999999</v>
      </c>
      <c r="S304" s="6">
        <f>[1]Results!V29</f>
        <v>34584.527479999997</v>
      </c>
      <c r="T304" s="6">
        <f>[1]Results!W29</f>
        <v>34883.357620000002</v>
      </c>
      <c r="U304" s="6">
        <f>[1]Results!X29</f>
        <v>35182.555229999998</v>
      </c>
      <c r="V304" s="6">
        <f>[1]Results!Y29</f>
        <v>35481.501300000004</v>
      </c>
      <c r="W304" s="6">
        <f>[1]Results!Z29</f>
        <v>35774.879950000002</v>
      </c>
      <c r="X304" s="6">
        <f>[1]Results!AA29</f>
        <v>36067.467879999997</v>
      </c>
      <c r="Y304" s="6">
        <f>[1]Results!AB29</f>
        <v>36359.082410000003</v>
      </c>
      <c r="Z304" s="6">
        <f>[1]Results!AC29</f>
        <v>36649.656430000003</v>
      </c>
      <c r="AA304" s="6">
        <f>[1]Results!AD29</f>
        <v>36939.133860000002</v>
      </c>
      <c r="AB304" s="6">
        <f>[1]Results!AE29</f>
        <v>37213.866629999997</v>
      </c>
      <c r="AC304" s="6">
        <f>[1]Results!AF29</f>
        <v>37481.938410000002</v>
      </c>
      <c r="AD304" s="6">
        <f>[1]Results!AG29</f>
        <v>37744.012219999997</v>
      </c>
      <c r="AE304" s="6">
        <f>[1]Results!AH29</f>
        <v>38001.00331</v>
      </c>
      <c r="AF304" s="6">
        <f>[1]Results!AI29</f>
        <v>38253.856540000001</v>
      </c>
      <c r="AG304" s="6">
        <f>[1]Results!AJ29</f>
        <v>38503.441019999998</v>
      </c>
      <c r="AH304" s="6">
        <f>[1]Results!AK29</f>
        <v>38750.507160000001</v>
      </c>
      <c r="AI304" s="6">
        <f>[1]Results!AL29</f>
        <v>38995.679900000003</v>
      </c>
      <c r="AJ304" s="6">
        <f>[1]Results!AM29</f>
        <v>39239.471080000003</v>
      </c>
      <c r="AK304" s="6">
        <f>[1]Results!AN29</f>
        <v>39482.299659999997</v>
      </c>
      <c r="AL304" s="6">
        <f>[1]Results!AO29</f>
        <v>39724.512459999998</v>
      </c>
      <c r="AM304" s="6">
        <f>[1]Results!AP29</f>
        <v>39963.325429999997</v>
      </c>
      <c r="AN304" s="6">
        <f>[1]Results!AQ29</f>
        <v>40199.201910000003</v>
      </c>
      <c r="AO304" s="6">
        <f>[1]Results!AR29</f>
        <v>40432.6368</v>
      </c>
      <c r="AP304" s="6">
        <f>[1]Results!AS29</f>
        <v>40664.179369999998</v>
      </c>
      <c r="AQ304" s="6">
        <f>[1]Results!AT29</f>
        <v>40894.394390000001</v>
      </c>
      <c r="AR304" s="6">
        <f>[1]Results!AU29</f>
        <v>41123.818249999997</v>
      </c>
      <c r="AS304" s="6">
        <f>[1]Results!AV29</f>
        <v>41352.927470000002</v>
      </c>
      <c r="AT304" s="6">
        <f>[1]Results!AW29</f>
        <v>41582.122389999997</v>
      </c>
      <c r="AU304" s="6">
        <f>[1]Results!AX29</f>
        <v>41811.723429999998</v>
      </c>
      <c r="AV304" s="6">
        <f>[1]Results!AY29</f>
        <v>42041.975960000003</v>
      </c>
      <c r="AW304" s="6">
        <f>[1]Results!AZ29</f>
        <v>42273.320339999998</v>
      </c>
      <c r="AX304" s="6">
        <f>[1]Results!BA29</f>
        <v>42505.863680000002</v>
      </c>
      <c r="AY304" s="6">
        <f>[1]Results!BB29</f>
        <v>42739.663500000002</v>
      </c>
      <c r="AZ304" s="6">
        <f>[1]Results!BC29</f>
        <v>42974.731509999998</v>
      </c>
      <c r="BA304" s="6">
        <f>[1]Results!BD29</f>
        <v>43211.04348</v>
      </c>
      <c r="BB304" s="6">
        <f>[1]Results!BE29</f>
        <v>45601.084470000002</v>
      </c>
      <c r="BC304" s="6">
        <f>[1]Results!BF29</f>
        <v>45952.474289999998</v>
      </c>
      <c r="BD304" s="6">
        <f>[1]Results!BG29</f>
        <v>46307.97365</v>
      </c>
      <c r="BE304" s="6">
        <f>[1]Results!BH29</f>
        <v>46667.953820000002</v>
      </c>
      <c r="BF304" s="6">
        <f>[1]Results!BI29</f>
        <v>47032.82314</v>
      </c>
    </row>
    <row r="305" spans="1:58" x14ac:dyDescent="0.35">
      <c r="B305" t="s">
        <v>54</v>
      </c>
      <c r="C305" s="6">
        <f>[1]Results!F45</f>
        <v>1.9359999999999999</v>
      </c>
      <c r="D305" s="6">
        <f>[1]Results!G45</f>
        <v>1.9926750099999999</v>
      </c>
      <c r="E305" s="6">
        <f>[1]Results!H45</f>
        <v>2.0605130620000001</v>
      </c>
      <c r="F305" s="6">
        <f>[1]Results!I45</f>
        <v>2.134619727</v>
      </c>
      <c r="G305" s="6">
        <f>[1]Results!J45</f>
        <v>2.2118520880000001</v>
      </c>
      <c r="H305" s="6">
        <f>[1]Results!K45</f>
        <v>2.290260736</v>
      </c>
      <c r="I305" s="6">
        <f>[1]Results!L45</f>
        <v>2.3683424870000001</v>
      </c>
      <c r="J305" s="6">
        <f>[1]Results!M45</f>
        <v>2.4453980660000001</v>
      </c>
      <c r="K305" s="6">
        <f>[1]Results!N45</f>
        <v>2.5210237119999999</v>
      </c>
      <c r="L305" s="6">
        <f>[1]Results!O45</f>
        <v>2.5949944700000001</v>
      </c>
      <c r="M305" s="6">
        <f>[1]Results!P45</f>
        <v>2.6677545519999999</v>
      </c>
      <c r="N305" s="6">
        <f>[1]Results!Q45</f>
        <v>2.7386593609999998</v>
      </c>
      <c r="O305" s="6">
        <f>[1]Results!R45</f>
        <v>2.8076723870000002</v>
      </c>
      <c r="P305" s="6">
        <f>[1]Results!S45</f>
        <v>2.8747752339999999</v>
      </c>
      <c r="Q305" s="6">
        <f>[1]Results!T45</f>
        <v>2.9399713749999998</v>
      </c>
      <c r="R305" s="6">
        <f>[1]Results!U45</f>
        <v>3.0032833380000001</v>
      </c>
      <c r="S305" s="6">
        <f>[1]Results!V45</f>
        <v>3.0647483250000001</v>
      </c>
      <c r="T305" s="6">
        <f>[1]Results!W45</f>
        <v>3.1244140090000001</v>
      </c>
      <c r="U305" s="6">
        <f>[1]Results!X45</f>
        <v>3.182335159</v>
      </c>
      <c r="V305" s="6">
        <f>[1]Results!Y45</f>
        <v>3.2385712039999999</v>
      </c>
      <c r="W305" s="6">
        <f>[1]Results!Z45</f>
        <v>3.292779227</v>
      </c>
      <c r="X305" s="6">
        <f>[1]Results!AA45</f>
        <v>3.3454508770000002</v>
      </c>
      <c r="Y305" s="6">
        <f>[1]Results!AB45</f>
        <v>3.396661661</v>
      </c>
      <c r="Z305" s="6">
        <f>[1]Results!AC45</f>
        <v>3.4464908799999998</v>
      </c>
      <c r="AA305" s="6">
        <f>[1]Results!AD45</f>
        <v>3.4950133659999998</v>
      </c>
      <c r="AB305" s="6">
        <f>[1]Results!AE45</f>
        <v>3.541157036</v>
      </c>
      <c r="AC305" s="6">
        <f>[1]Results!AF45</f>
        <v>3.5856532849999998</v>
      </c>
      <c r="AD305" s="6">
        <f>[1]Results!AG45</f>
        <v>3.6286172259999998</v>
      </c>
      <c r="AE305" s="6">
        <f>[1]Results!AH45</f>
        <v>3.6701823089999999</v>
      </c>
      <c r="AF305" s="6">
        <f>[1]Results!AI45</f>
        <v>3.7104821100000001</v>
      </c>
      <c r="AG305" s="6">
        <f>[1]Results!AJ45</f>
        <v>3.7496416720000001</v>
      </c>
      <c r="AH305" s="6">
        <f>[1]Results!AK45</f>
        <v>3.7877739319999999</v>
      </c>
      <c r="AI305" s="6">
        <f>[1]Results!AL45</f>
        <v>3.8249791320000002</v>
      </c>
      <c r="AJ305" s="6">
        <f>[1]Results!AM45</f>
        <v>3.861345837</v>
      </c>
      <c r="AK305" s="6">
        <f>[1]Results!AN45</f>
        <v>3.8969526170000002</v>
      </c>
      <c r="AL305" s="6">
        <f>[1]Results!AO45</f>
        <v>3.9318698109999999</v>
      </c>
      <c r="AM305" s="6">
        <f>[1]Results!AP45</f>
        <v>3.9659026009999998</v>
      </c>
      <c r="AN305" s="6">
        <f>[1]Results!AQ45</f>
        <v>3.9991229599999998</v>
      </c>
      <c r="AO305" s="6">
        <f>[1]Results!AR45</f>
        <v>4.0316040439999998</v>
      </c>
      <c r="AP305" s="6">
        <f>[1]Results!AS45</f>
        <v>4.0634222409999996</v>
      </c>
      <c r="AQ305" s="6">
        <f>[1]Results!AT45</f>
        <v>4.0946540550000003</v>
      </c>
      <c r="AR305" s="6">
        <f>[1]Results!AU45</f>
        <v>4.1253725189999999</v>
      </c>
      <c r="AS305" s="6">
        <f>[1]Results!AV45</f>
        <v>4.1556445780000004</v>
      </c>
      <c r="AT305" s="6">
        <f>[1]Results!AW45</f>
        <v>4.1855297079999998</v>
      </c>
      <c r="AU305" s="6">
        <f>[1]Results!AX45</f>
        <v>4.2150795719999996</v>
      </c>
      <c r="AV305" s="6">
        <f>[1]Results!AY45</f>
        <v>4.2443383910000003</v>
      </c>
      <c r="AW305" s="6">
        <f>[1]Results!AZ45</f>
        <v>4.2733656120000001</v>
      </c>
      <c r="AX305" s="6">
        <f>[1]Results!BA45</f>
        <v>4.3021918450000003</v>
      </c>
      <c r="AY305" s="6">
        <f>[1]Results!BB45</f>
        <v>4.3308423229999997</v>
      </c>
      <c r="AZ305" s="6">
        <f>[1]Results!BC45</f>
        <v>4.3593372300000004</v>
      </c>
      <c r="BA305" s="6">
        <f>[1]Results!BD45</f>
        <v>4.3876925440000001</v>
      </c>
      <c r="BB305" s="6">
        <f>[1]Results!BE45</f>
        <v>4.6165073259999998</v>
      </c>
      <c r="BC305" s="6">
        <f>[1]Results!BF45</f>
        <v>4.6556279380000003</v>
      </c>
      <c r="BD305" s="6">
        <f>[1]Results!BG45</f>
        <v>4.6949460810000003</v>
      </c>
      <c r="BE305" s="6">
        <f>[1]Results!BH45</f>
        <v>4.7345074699999996</v>
      </c>
      <c r="BF305" s="6">
        <f>[1]Results!BI45</f>
        <v>4.7743605000000002</v>
      </c>
    </row>
    <row r="306" spans="1:58" x14ac:dyDescent="0.35">
      <c r="B306" t="s">
        <v>55</v>
      </c>
      <c r="C306" s="6">
        <f>[1]Results!F37</f>
        <v>44.765000000000001</v>
      </c>
      <c r="D306" s="6">
        <f>[1]Results!G37</f>
        <v>62.527370949999998</v>
      </c>
      <c r="E306" s="6">
        <f>[1]Results!H37</f>
        <v>81.219025819999999</v>
      </c>
      <c r="F306" s="6">
        <f>[1]Results!I37</f>
        <v>100.35870559999999</v>
      </c>
      <c r="G306" s="6">
        <f>[1]Results!J37</f>
        <v>119.6436752</v>
      </c>
      <c r="H306" s="6">
        <f>[1]Results!K37</f>
        <v>138.89068030000001</v>
      </c>
      <c r="I306" s="6">
        <f>[1]Results!L37</f>
        <v>157.95549170000001</v>
      </c>
      <c r="J306" s="6">
        <f>[1]Results!M37</f>
        <v>176.7743519</v>
      </c>
      <c r="K306" s="6">
        <f>[1]Results!N37</f>
        <v>195.3109048</v>
      </c>
      <c r="L306" s="6">
        <f>[1]Results!O37</f>
        <v>213.5451769</v>
      </c>
      <c r="M306" s="6">
        <f>[1]Results!P37</f>
        <v>231.53059150000001</v>
      </c>
      <c r="N306" s="6">
        <f>[1]Results!Q37</f>
        <v>249.19786360000001</v>
      </c>
      <c r="O306" s="6">
        <f>[1]Results!R37</f>
        <v>266.54386419999997</v>
      </c>
      <c r="P306" s="6">
        <f>[1]Results!S37</f>
        <v>283.56735800000001</v>
      </c>
      <c r="Q306" s="6">
        <f>[1]Results!T37</f>
        <v>300.26977679999999</v>
      </c>
      <c r="R306" s="6">
        <f>[1]Results!U37</f>
        <v>316.65513629999998</v>
      </c>
      <c r="S306" s="6">
        <f>[1]Results!V37</f>
        <v>332.72971519999999</v>
      </c>
      <c r="T306" s="6">
        <f>[1]Results!W37</f>
        <v>348.50172070000002</v>
      </c>
      <c r="U306" s="6">
        <f>[1]Results!X37</f>
        <v>363.98102019999999</v>
      </c>
      <c r="V306" s="6">
        <f>[1]Results!Y37</f>
        <v>379.17895809999999</v>
      </c>
      <c r="W306" s="6">
        <f>[1]Results!Z37</f>
        <v>394.06074039999999</v>
      </c>
      <c r="X306" s="6">
        <f>[1]Results!AA37</f>
        <v>408.68932210000003</v>
      </c>
      <c r="Y306" s="6">
        <f>[1]Results!AB37</f>
        <v>423.08158900000001</v>
      </c>
      <c r="Z306" s="6">
        <f>[1]Results!AC37</f>
        <v>437.25609850000001</v>
      </c>
      <c r="AA306" s="6">
        <f>[1]Results!AD37</f>
        <v>451.23207910000002</v>
      </c>
      <c r="AB306" s="6">
        <f>[1]Results!AE37</f>
        <v>464.89240869999998</v>
      </c>
      <c r="AC306" s="6">
        <f>[1]Results!AF37</f>
        <v>478.33367190000001</v>
      </c>
      <c r="AD306" s="6">
        <f>[1]Results!AG37</f>
        <v>491.58281169999998</v>
      </c>
      <c r="AE306" s="6">
        <f>[1]Results!AH37</f>
        <v>504.67100049999999</v>
      </c>
      <c r="AF306" s="6">
        <f>[1]Results!AI37</f>
        <v>517.63145689999999</v>
      </c>
      <c r="AG306" s="6">
        <f>[1]Results!AJ37</f>
        <v>530.49837579999996</v>
      </c>
      <c r="AH306" s="6">
        <f>[1]Results!AK37</f>
        <v>543.3064511</v>
      </c>
      <c r="AI306" s="6">
        <f>[1]Results!AL37</f>
        <v>556.09075370000005</v>
      </c>
      <c r="AJ306" s="6">
        <f>[1]Results!AM37</f>
        <v>568.88681640000004</v>
      </c>
      <c r="AK306" s="6">
        <f>[1]Results!AN37</f>
        <v>581.73082969999996</v>
      </c>
      <c r="AL306" s="6">
        <f>[1]Results!AO37</f>
        <v>594.65988449999998</v>
      </c>
      <c r="AM306" s="6">
        <f>[1]Results!AP37</f>
        <v>607.67821400000003</v>
      </c>
      <c r="AN306" s="6">
        <f>[1]Results!AQ37</f>
        <v>620.82577089999995</v>
      </c>
      <c r="AO306" s="6">
        <f>[1]Results!AR37</f>
        <v>634.14518869999995</v>
      </c>
      <c r="AP306" s="6">
        <f>[1]Results!AS37</f>
        <v>647.68231230000004</v>
      </c>
      <c r="AQ306" s="6">
        <f>[1]Results!AT37</f>
        <v>661.48603739999999</v>
      </c>
      <c r="AR306" s="6">
        <f>[1]Results!AU37</f>
        <v>675.60806279999997</v>
      </c>
      <c r="AS306" s="6">
        <f>[1]Results!AV37</f>
        <v>690.10275460000003</v>
      </c>
      <c r="AT306" s="6">
        <f>[1]Results!AW37</f>
        <v>705.02716750000002</v>
      </c>
      <c r="AU306" s="6">
        <f>[1]Results!AX37</f>
        <v>720.44121329999996</v>
      </c>
      <c r="AV306" s="6">
        <f>[1]Results!AY37</f>
        <v>736.40794830000004</v>
      </c>
      <c r="AW306" s="6">
        <f>[1]Results!AZ37</f>
        <v>752.99737889999994</v>
      </c>
      <c r="AX306" s="6">
        <f>[1]Results!BA37</f>
        <v>770.28010370000004</v>
      </c>
      <c r="AY306" s="6">
        <f>[1]Results!BB37</f>
        <v>788.33109179999997</v>
      </c>
      <c r="AZ306" s="6">
        <f>[1]Results!BC37</f>
        <v>807.2300917</v>
      </c>
      <c r="BA306" s="6">
        <f>[1]Results!BD37</f>
        <v>827.06212549999998</v>
      </c>
      <c r="BB306" s="6">
        <f>[1]Results!BE37</f>
        <v>333.40671650000002</v>
      </c>
      <c r="BC306" s="6">
        <f>[1]Results!BF37</f>
        <v>307.85780840000001</v>
      </c>
      <c r="BD306" s="6">
        <f>[1]Results!BG37</f>
        <v>279.3378955</v>
      </c>
      <c r="BE306" s="6">
        <f>[1]Results!BH37</f>
        <v>247.6007549</v>
      </c>
      <c r="BF306" s="6">
        <f>[1]Results!BI37</f>
        <v>212.3770069</v>
      </c>
    </row>
    <row r="308" spans="1:58" x14ac:dyDescent="0.35">
      <c r="A308" s="12" t="s">
        <v>90</v>
      </c>
      <c r="B308" s="5" t="str">
        <f>[1]Hybrid!A18</f>
        <v>auto_ca_cfut_2</v>
      </c>
      <c r="C308" s="5">
        <f>[1]Hybrid!B18</f>
        <v>7095.7005250000002</v>
      </c>
      <c r="D308" s="5">
        <f>[1]Hybrid!C18</f>
        <v>7137.3063229999998</v>
      </c>
      <c r="E308" s="5">
        <f>[1]Hybrid!D18</f>
        <v>7224.5341600000002</v>
      </c>
      <c r="F308" s="5">
        <f>[1]Hybrid!E18</f>
        <v>7342.9033499999996</v>
      </c>
      <c r="G308" s="5">
        <f>[1]Hybrid!F18</f>
        <v>7482.8601429999999</v>
      </c>
      <c r="H308" s="5">
        <f>[1]Hybrid!G18</f>
        <v>7638.3102079999999</v>
      </c>
      <c r="I308" s="5">
        <f>[1]Hybrid!H18</f>
        <v>7804.2233589999996</v>
      </c>
      <c r="J308" s="5">
        <f>[1]Hybrid!I18</f>
        <v>7978.0754470000002</v>
      </c>
      <c r="K308" s="5">
        <f>[1]Hybrid!J18</f>
        <v>8158.158469</v>
      </c>
      <c r="L308" s="5">
        <f>[1]Hybrid!K18</f>
        <v>8343.2546899999998</v>
      </c>
      <c r="M308" s="5">
        <f>[1]Hybrid!L18</f>
        <v>8533.5951079999995</v>
      </c>
      <c r="N308" s="5">
        <f>[1]Hybrid!M18</f>
        <v>8727.3695310000003</v>
      </c>
      <c r="O308" s="5">
        <f>[1]Hybrid!N18</f>
        <v>8924.4335580000006</v>
      </c>
      <c r="P308" s="5">
        <f>[1]Hybrid!O18</f>
        <v>9124.4856629999995</v>
      </c>
      <c r="Q308" s="5">
        <f>[1]Hybrid!P18</f>
        <v>9327.1877170000007</v>
      </c>
      <c r="R308" s="5">
        <f>[1]Hybrid!Q18</f>
        <v>9532.1874960000005</v>
      </c>
      <c r="S308" s="5">
        <f>[1]Hybrid!R18</f>
        <v>9739.080414</v>
      </c>
      <c r="T308" s="5">
        <f>[1]Hybrid!S18</f>
        <v>9947.4889409999996</v>
      </c>
      <c r="U308" s="5">
        <f>[1]Hybrid!T18</f>
        <v>10157.06475</v>
      </c>
      <c r="V308" s="5">
        <f>[1]Hybrid!U18</f>
        <v>10367.48803</v>
      </c>
      <c r="W308" s="5">
        <f>[1]Hybrid!V18</f>
        <v>10576.84722</v>
      </c>
      <c r="X308" s="5">
        <f>[1]Hybrid!W18</f>
        <v>10786.62356</v>
      </c>
      <c r="Y308" s="5">
        <f>[1]Hybrid!X18</f>
        <v>10996.639579999999</v>
      </c>
      <c r="Z308" s="5">
        <f>[1]Hybrid!Y18</f>
        <v>11206.781370000001</v>
      </c>
      <c r="AA308" s="5">
        <f>[1]Hybrid!Z18</f>
        <v>11416.96341</v>
      </c>
      <c r="AB308" s="5">
        <f>[1]Hybrid!AA18</f>
        <v>11622.348</v>
      </c>
      <c r="AC308" s="5">
        <f>[1]Hybrid!AB18</f>
        <v>11825.74084</v>
      </c>
      <c r="AD308" s="5">
        <f>[1]Hybrid!AC18</f>
        <v>12027.329320000001</v>
      </c>
      <c r="AE308" s="5">
        <f>[1]Hybrid!AD18</f>
        <v>12227.410099999999</v>
      </c>
      <c r="AF308" s="5">
        <f>[1]Hybrid!AE18</f>
        <v>12426.321260000001</v>
      </c>
      <c r="AG308" s="5">
        <f>[1]Hybrid!AF18</f>
        <v>12624.405629999999</v>
      </c>
      <c r="AH308" s="5">
        <f>[1]Hybrid!AG18</f>
        <v>12822.006020000001</v>
      </c>
      <c r="AI308" s="5">
        <f>[1]Hybrid!AH18</f>
        <v>13019.43586</v>
      </c>
      <c r="AJ308" s="5">
        <f>[1]Hybrid!AI18</f>
        <v>13216.98338</v>
      </c>
      <c r="AK308" s="5">
        <f>[1]Hybrid!AJ18</f>
        <v>13414.920620000001</v>
      </c>
      <c r="AL308" s="5">
        <f>[1]Hybrid!AK18</f>
        <v>13613.510130000001</v>
      </c>
      <c r="AM308" s="5">
        <f>[1]Hybrid!AL18</f>
        <v>13811.964449999999</v>
      </c>
      <c r="AN308" s="5">
        <f>[1]Hybrid!AM18</f>
        <v>14010.65336</v>
      </c>
      <c r="AO308" s="5">
        <f>[1]Hybrid!AN18</f>
        <v>14209.90719</v>
      </c>
      <c r="AP308" s="5">
        <f>[1]Hybrid!AO18</f>
        <v>14410.0756</v>
      </c>
      <c r="AQ308" s="5">
        <f>[1]Hybrid!AP18</f>
        <v>14611.530570000001</v>
      </c>
      <c r="AR308" s="5">
        <f>[1]Hybrid!AQ18</f>
        <v>14814.67425</v>
      </c>
      <c r="AS308" s="5">
        <f>[1]Hybrid!AR18</f>
        <v>15019.88638</v>
      </c>
      <c r="AT308" s="5">
        <f>[1]Hybrid!AS18</f>
        <v>15227.520130000001</v>
      </c>
      <c r="AU308" s="5">
        <f>[1]Hybrid!AT18</f>
        <v>15437.90696</v>
      </c>
      <c r="AV308" s="5">
        <f>[1]Hybrid!AU18</f>
        <v>15651.3608</v>
      </c>
      <c r="AW308" s="5">
        <f>[1]Hybrid!AV18</f>
        <v>15868.37105</v>
      </c>
      <c r="AX308" s="5">
        <f>[1]Hybrid!AW18</f>
        <v>16089.24992</v>
      </c>
      <c r="AY308" s="5">
        <f>[1]Hybrid!AX18</f>
        <v>16314.26959</v>
      </c>
      <c r="AZ308" s="5">
        <f>[1]Hybrid!AY18</f>
        <v>16543.695729999999</v>
      </c>
      <c r="BA308" s="5">
        <f>[1]Hybrid!AZ18</f>
        <v>16777.80285</v>
      </c>
      <c r="BB308" s="5">
        <f>[1]Hybrid!BA18</f>
        <v>18081.43362</v>
      </c>
      <c r="BC308" s="5">
        <f>[1]Hybrid!BB18</f>
        <v>18357.057929999999</v>
      </c>
      <c r="BD308" s="5">
        <f>[1]Hybrid!BC18</f>
        <v>18637.218840000001</v>
      </c>
      <c r="BE308" s="5">
        <f>[1]Hybrid!BD18</f>
        <v>18922.18578</v>
      </c>
      <c r="BF308" s="5">
        <f>[1]Hybrid!BE18</f>
        <v>19212.253079999999</v>
      </c>
    </row>
    <row r="309" spans="1:58" x14ac:dyDescent="0.35">
      <c r="A309" t="s">
        <v>39</v>
      </c>
      <c r="B309" s="5" t="str">
        <f>[1]Hybrid!A20</f>
        <v>auto_cb_cfut_2</v>
      </c>
      <c r="C309" s="5">
        <f>[1]Hybrid!B20</f>
        <v>8251.256421</v>
      </c>
      <c r="D309" s="5">
        <f>[1]Hybrid!C20</f>
        <v>8178.647199</v>
      </c>
      <c r="E309" s="5">
        <f>[1]Hybrid!D20</f>
        <v>8157.6207469999999</v>
      </c>
      <c r="F309" s="5">
        <f>[1]Hybrid!E20</f>
        <v>8173.3754360000003</v>
      </c>
      <c r="G309" s="5">
        <f>[1]Hybrid!F20</f>
        <v>8215.9702539999998</v>
      </c>
      <c r="H309" s="5">
        <f>[1]Hybrid!G20</f>
        <v>8278.8764859999992</v>
      </c>
      <c r="I309" s="5">
        <f>[1]Hybrid!H20</f>
        <v>8356.6704559999998</v>
      </c>
      <c r="J309" s="5">
        <f>[1]Hybrid!I20</f>
        <v>8446.3876710000004</v>
      </c>
      <c r="K309" s="5">
        <f>[1]Hybrid!J20</f>
        <v>8545.8981719999992</v>
      </c>
      <c r="L309" s="5">
        <f>[1]Hybrid!K20</f>
        <v>8653.5863430000009</v>
      </c>
      <c r="M309" s="5">
        <f>[1]Hybrid!L20</f>
        <v>8769.2465389999998</v>
      </c>
      <c r="N309" s="5">
        <f>[1]Hybrid!M20</f>
        <v>8890.7844590000004</v>
      </c>
      <c r="O309" s="5">
        <f>[1]Hybrid!N20</f>
        <v>9017.695248</v>
      </c>
      <c r="P309" s="5">
        <f>[1]Hybrid!O20</f>
        <v>9149.3498209999998</v>
      </c>
      <c r="Q309" s="5">
        <f>[1]Hybrid!P20</f>
        <v>9285.1110499999995</v>
      </c>
      <c r="R309" s="5">
        <f>[1]Hybrid!Q20</f>
        <v>9424.3555770000003</v>
      </c>
      <c r="S309" s="5">
        <f>[1]Hybrid!R20</f>
        <v>9566.4376609999999</v>
      </c>
      <c r="T309" s="5">
        <f>[1]Hybrid!S20</f>
        <v>9710.7609769999999</v>
      </c>
      <c r="U309" s="5">
        <f>[1]Hybrid!T20</f>
        <v>9856.7785789999998</v>
      </c>
      <c r="V309" s="5">
        <f>[1]Hybrid!U20</f>
        <v>10003.990030000001</v>
      </c>
      <c r="W309" s="5">
        <f>[1]Hybrid!V20</f>
        <v>10150.46666</v>
      </c>
      <c r="X309" s="5">
        <f>[1]Hybrid!W20</f>
        <v>10297.39013</v>
      </c>
      <c r="Y309" s="5">
        <f>[1]Hybrid!X20</f>
        <v>10444.439410000001</v>
      </c>
      <c r="Z309" s="5">
        <f>[1]Hybrid!Y20</f>
        <v>10591.36248</v>
      </c>
      <c r="AA309" s="5">
        <f>[1]Hybrid!Z20</f>
        <v>10737.94341</v>
      </c>
      <c r="AB309" s="5">
        <f>[1]Hybrid!AA20</f>
        <v>10879.736790000001</v>
      </c>
      <c r="AC309" s="5">
        <f>[1]Hybrid!AB20</f>
        <v>11019.164049999999</v>
      </c>
      <c r="AD309" s="5">
        <f>[1]Hybrid!AC20</f>
        <v>11156.30286</v>
      </c>
      <c r="AE309" s="5">
        <f>[1]Hybrid!AD20</f>
        <v>11291.329949999999</v>
      </c>
      <c r="AF309" s="5">
        <f>[1]Hybrid!AE20</f>
        <v>11424.45926</v>
      </c>
      <c r="AG309" s="5">
        <f>[1]Hybrid!AF20</f>
        <v>11555.909019999999</v>
      </c>
      <c r="AH309" s="5">
        <f>[1]Hybrid!AG20</f>
        <v>11685.89704</v>
      </c>
      <c r="AI309" s="5">
        <f>[1]Hybrid!AH20</f>
        <v>11814.61491</v>
      </c>
      <c r="AJ309" s="5">
        <f>[1]Hybrid!AI20</f>
        <v>11942.23128</v>
      </c>
      <c r="AK309" s="5">
        <f>[1]Hybrid!AJ20</f>
        <v>12068.899649999999</v>
      </c>
      <c r="AL309" s="5">
        <f>[1]Hybrid!AK20</f>
        <v>12194.764010000001</v>
      </c>
      <c r="AM309" s="5">
        <f>[1]Hybrid!AL20</f>
        <v>12319.073280000001</v>
      </c>
      <c r="AN309" s="5">
        <f>[1]Hybrid!AM20</f>
        <v>12442.07324</v>
      </c>
      <c r="AO309" s="5">
        <f>[1]Hybrid!AN20</f>
        <v>12563.97328</v>
      </c>
      <c r="AP309" s="5">
        <f>[1]Hybrid!AO20</f>
        <v>12684.99532</v>
      </c>
      <c r="AQ309" s="5">
        <f>[1]Hybrid!AP20</f>
        <v>12805.37594</v>
      </c>
      <c r="AR309" s="5">
        <f>[1]Hybrid!AQ20</f>
        <v>12925.37299</v>
      </c>
      <c r="AS309" s="5">
        <f>[1]Hybrid!AR20</f>
        <v>13045.22177</v>
      </c>
      <c r="AT309" s="5">
        <f>[1]Hybrid!AS20</f>
        <v>13165.13155</v>
      </c>
      <c r="AU309" s="5">
        <f>[1]Hybrid!AT20</f>
        <v>13285.28996</v>
      </c>
      <c r="AV309" s="5">
        <f>[1]Hybrid!AU20</f>
        <v>13405.86665</v>
      </c>
      <c r="AW309" s="5">
        <f>[1]Hybrid!AV20</f>
        <v>13527.17035</v>
      </c>
      <c r="AX309" s="5">
        <f>[1]Hybrid!AW20</f>
        <v>13649.36116</v>
      </c>
      <c r="AY309" s="5">
        <f>[1]Hybrid!AX20</f>
        <v>13772.56234</v>
      </c>
      <c r="AZ309" s="5">
        <f>[1]Hybrid!AY20</f>
        <v>13896.887849999999</v>
      </c>
      <c r="BA309" s="5">
        <f>[1]Hybrid!AZ20</f>
        <v>14022.455089999999</v>
      </c>
      <c r="BB309" s="5">
        <f>[1]Hybrid!BA20</f>
        <v>14944.95203</v>
      </c>
      <c r="BC309" s="5">
        <f>[1]Hybrid!BB20</f>
        <v>15091.13233</v>
      </c>
      <c r="BD309" s="5">
        <f>[1]Hybrid!BC20</f>
        <v>15237.753839999999</v>
      </c>
      <c r="BE309" s="5">
        <f>[1]Hybrid!BD20</f>
        <v>15384.92359</v>
      </c>
      <c r="BF309" s="5">
        <f>[1]Hybrid!BE20</f>
        <v>15532.76332</v>
      </c>
    </row>
    <row r="310" spans="1:58" x14ac:dyDescent="0.35">
      <c r="B310" s="5" t="str">
        <f>[1]Hybrid!A22</f>
        <v>auto_cc_cfut_2</v>
      </c>
      <c r="C310" s="5">
        <f>[1]Hybrid!B22</f>
        <v>6777.6024520000001</v>
      </c>
      <c r="D310" s="5">
        <f>[1]Hybrid!C22</f>
        <v>6643.9831549999999</v>
      </c>
      <c r="E310" s="5">
        <f>[1]Hybrid!D22</f>
        <v>6551.8871490000001</v>
      </c>
      <c r="F310" s="5">
        <f>[1]Hybrid!E22</f>
        <v>6490.418627</v>
      </c>
      <c r="G310" s="5">
        <f>[1]Hybrid!F22</f>
        <v>6452.140144</v>
      </c>
      <c r="H310" s="5">
        <f>[1]Hybrid!G22</f>
        <v>6432.0423110000002</v>
      </c>
      <c r="I310" s="5">
        <f>[1]Hybrid!H22</f>
        <v>6425.940842</v>
      </c>
      <c r="J310" s="5">
        <f>[1]Hybrid!I22</f>
        <v>6431.3928759999999</v>
      </c>
      <c r="K310" s="5">
        <f>[1]Hybrid!J22</f>
        <v>6446.5705690000004</v>
      </c>
      <c r="L310" s="5">
        <f>[1]Hybrid!K22</f>
        <v>6470.034259</v>
      </c>
      <c r="M310" s="5">
        <f>[1]Hybrid!L22</f>
        <v>6501.3356510000003</v>
      </c>
      <c r="N310" s="5">
        <f>[1]Hybrid!M22</f>
        <v>6538.7693470000004</v>
      </c>
      <c r="O310" s="5">
        <f>[1]Hybrid!N22</f>
        <v>6581.7261479999997</v>
      </c>
      <c r="P310" s="5">
        <f>[1]Hybrid!O22</f>
        <v>6629.5311750000001</v>
      </c>
      <c r="Q310" s="5">
        <f>[1]Hybrid!P22</f>
        <v>6681.5243970000001</v>
      </c>
      <c r="R310" s="5">
        <f>[1]Hybrid!Q22</f>
        <v>6737.0756529999999</v>
      </c>
      <c r="S310" s="5">
        <f>[1]Hybrid!R22</f>
        <v>6795.5598209999998</v>
      </c>
      <c r="T310" s="5">
        <f>[1]Hybrid!S22</f>
        <v>6856.403397</v>
      </c>
      <c r="U310" s="5">
        <f>[1]Hybrid!T22</f>
        <v>6919.0829359999998</v>
      </c>
      <c r="V310" s="5">
        <f>[1]Hybrid!U22</f>
        <v>6983.1214630000004</v>
      </c>
      <c r="W310" s="5">
        <f>[1]Hybrid!V22</f>
        <v>7047.1199040000001</v>
      </c>
      <c r="X310" s="5">
        <f>[1]Hybrid!W22</f>
        <v>7111.738112</v>
      </c>
      <c r="Y310" s="5">
        <f>[1]Hybrid!X22</f>
        <v>7176.6558180000002</v>
      </c>
      <c r="Z310" s="5">
        <f>[1]Hybrid!Y22</f>
        <v>7241.607156</v>
      </c>
      <c r="AA310" s="5">
        <f>[1]Hybrid!Z22</f>
        <v>7306.3584490000003</v>
      </c>
      <c r="AB310" s="5">
        <f>[1]Hybrid!AA22</f>
        <v>7367.9616939999996</v>
      </c>
      <c r="AC310" s="5">
        <f>[1]Hybrid!AB22</f>
        <v>7427.9214869999996</v>
      </c>
      <c r="AD310" s="5">
        <f>[1]Hybrid!AC22</f>
        <v>7486.2300619999996</v>
      </c>
      <c r="AE310" s="5">
        <f>[1]Hybrid!AD22</f>
        <v>7542.9458350000004</v>
      </c>
      <c r="AF310" s="5">
        <f>[1]Hybrid!AE22</f>
        <v>7598.1527900000001</v>
      </c>
      <c r="AG310" s="5">
        <f>[1]Hybrid!AF22</f>
        <v>7651.9390350000003</v>
      </c>
      <c r="AH310" s="5">
        <f>[1]Hybrid!AG22</f>
        <v>7704.3936549999999</v>
      </c>
      <c r="AI310" s="5">
        <f>[1]Hybrid!AH22</f>
        <v>7755.5901919999997</v>
      </c>
      <c r="AJ310" s="5">
        <f>[1]Hybrid!AI22</f>
        <v>7805.5886300000002</v>
      </c>
      <c r="AK310" s="5">
        <f>[1]Hybrid!AJ22</f>
        <v>7854.4401660000003</v>
      </c>
      <c r="AL310" s="5">
        <f>[1]Hybrid!AK22</f>
        <v>7902.1907529999999</v>
      </c>
      <c r="AM310" s="5">
        <f>[1]Hybrid!AL22</f>
        <v>7948.3370059999997</v>
      </c>
      <c r="AN310" s="5">
        <f>[1]Hybrid!AM22</f>
        <v>7992.9966809999996</v>
      </c>
      <c r="AO310" s="5">
        <f>[1]Hybrid!AN22</f>
        <v>8036.2648509999999</v>
      </c>
      <c r="AP310" s="5">
        <f>[1]Hybrid!AO22</f>
        <v>8078.2432840000001</v>
      </c>
      <c r="AQ310" s="5">
        <f>[1]Hybrid!AP22</f>
        <v>8119.0416480000004</v>
      </c>
      <c r="AR310" s="5">
        <f>[1]Hybrid!AQ22</f>
        <v>8158.7815119999996</v>
      </c>
      <c r="AS310" s="5">
        <f>[1]Hybrid!AR22</f>
        <v>8197.5700390000002</v>
      </c>
      <c r="AT310" s="5">
        <f>[1]Hybrid!AS22</f>
        <v>8235.4980149999992</v>
      </c>
      <c r="AU310" s="5">
        <f>[1]Hybrid!AT22</f>
        <v>8272.6426499999998</v>
      </c>
      <c r="AV310" s="5">
        <f>[1]Hybrid!AU22</f>
        <v>8309.0699929999992</v>
      </c>
      <c r="AW310" s="5">
        <f>[1]Hybrid!AV22</f>
        <v>8344.9272739999997</v>
      </c>
      <c r="AX310" s="5">
        <f>[1]Hybrid!AW22</f>
        <v>8380.2734650000002</v>
      </c>
      <c r="AY310" s="5">
        <f>[1]Hybrid!AX22</f>
        <v>8415.145133</v>
      </c>
      <c r="AZ310" s="5">
        <f>[1]Hybrid!AY22</f>
        <v>8449.5728249999993</v>
      </c>
      <c r="BA310" s="5">
        <f>[1]Hybrid!AZ22</f>
        <v>8483.5888009999999</v>
      </c>
      <c r="BB310" s="5">
        <f>[1]Hybrid!BA22</f>
        <v>8944.8946360000009</v>
      </c>
      <c r="BC310" s="5">
        <f>[1]Hybrid!BB22</f>
        <v>8984.7352420000007</v>
      </c>
      <c r="BD310" s="5">
        <f>[1]Hybrid!BC22</f>
        <v>9023.4650409999995</v>
      </c>
      <c r="BE310" s="5">
        <f>[1]Hybrid!BD22</f>
        <v>9061.1200069999995</v>
      </c>
      <c r="BF310" s="5">
        <f>[1]Hybrid!BE22</f>
        <v>9097.7437040000004</v>
      </c>
    </row>
    <row r="311" spans="1:58" x14ac:dyDescent="0.35">
      <c r="B311" s="5" t="str">
        <f>[1]Hybrid!A24</f>
        <v>auto_cd_cfut_2</v>
      </c>
      <c r="C311" s="5">
        <f>[1]Hybrid!B24</f>
        <v>4159.6639080000004</v>
      </c>
      <c r="D311" s="5">
        <f>[1]Hybrid!C24</f>
        <v>4053.2086810000001</v>
      </c>
      <c r="E311" s="5">
        <f>[1]Hybrid!D24</f>
        <v>3970.5652089999999</v>
      </c>
      <c r="F311" s="5">
        <f>[1]Hybrid!E24</f>
        <v>3905.148193</v>
      </c>
      <c r="G311" s="5">
        <f>[1]Hybrid!F24</f>
        <v>3852.4571040000001</v>
      </c>
      <c r="H311" s="5">
        <f>[1]Hybrid!G24</f>
        <v>3809.4370730000001</v>
      </c>
      <c r="I311" s="5">
        <f>[1]Hybrid!H24</f>
        <v>3773.577722</v>
      </c>
      <c r="J311" s="5">
        <f>[1]Hybrid!I24</f>
        <v>3743.3704550000002</v>
      </c>
      <c r="K311" s="5">
        <f>[1]Hybrid!J24</f>
        <v>3717.683082</v>
      </c>
      <c r="L311" s="5">
        <f>[1]Hybrid!K24</f>
        <v>3695.6248390000001</v>
      </c>
      <c r="M311" s="5">
        <f>[1]Hybrid!L24</f>
        <v>3676.8430750000002</v>
      </c>
      <c r="N311" s="5">
        <f>[1]Hybrid!M24</f>
        <v>3660.3662290000002</v>
      </c>
      <c r="O311" s="5">
        <f>[1]Hybrid!N24</f>
        <v>3645.7813369999999</v>
      </c>
      <c r="P311" s="5">
        <f>[1]Hybrid!O24</f>
        <v>3632.6520409999998</v>
      </c>
      <c r="Q311" s="5">
        <f>[1]Hybrid!P24</f>
        <v>3620.565638</v>
      </c>
      <c r="R311" s="5">
        <f>[1]Hybrid!Q24</f>
        <v>3609.1431969999999</v>
      </c>
      <c r="S311" s="5">
        <f>[1]Hybrid!R24</f>
        <v>3598.0280269999998</v>
      </c>
      <c r="T311" s="5">
        <f>[1]Hybrid!S24</f>
        <v>3586.906031</v>
      </c>
      <c r="U311" s="5">
        <f>[1]Hybrid!T24</f>
        <v>3575.503064</v>
      </c>
      <c r="V311" s="5">
        <f>[1]Hybrid!U24</f>
        <v>3563.5809610000001</v>
      </c>
      <c r="W311" s="5">
        <f>[1]Hybrid!V24</f>
        <v>3550.5167820000001</v>
      </c>
      <c r="X311" s="5">
        <f>[1]Hybrid!W24</f>
        <v>3536.601662</v>
      </c>
      <c r="Y311" s="5">
        <f>[1]Hybrid!X24</f>
        <v>3521.7003800000002</v>
      </c>
      <c r="Z311" s="5">
        <f>[1]Hybrid!Y24</f>
        <v>3505.707324</v>
      </c>
      <c r="AA311" s="5">
        <f>[1]Hybrid!Z24</f>
        <v>3488.5364249999998</v>
      </c>
      <c r="AB311" s="5">
        <f>[1]Hybrid!AA24</f>
        <v>3469.0302769999998</v>
      </c>
      <c r="AC311" s="5">
        <f>[1]Hybrid!AB24</f>
        <v>3447.848947</v>
      </c>
      <c r="AD311" s="5">
        <f>[1]Hybrid!AC24</f>
        <v>3425.036654</v>
      </c>
      <c r="AE311" s="5">
        <f>[1]Hybrid!AD24</f>
        <v>3400.6604739999998</v>
      </c>
      <c r="AF311" s="5">
        <f>[1]Hybrid!AE24</f>
        <v>3374.7935219999999</v>
      </c>
      <c r="AG311" s="5">
        <f>[1]Hybrid!AF24</f>
        <v>3347.5069210000001</v>
      </c>
      <c r="AH311" s="5">
        <f>[1]Hybrid!AG24</f>
        <v>3318.8689610000001</v>
      </c>
      <c r="AI311" s="5">
        <f>[1]Hybrid!AH24</f>
        <v>3288.9395330000002</v>
      </c>
      <c r="AJ311" s="5">
        <f>[1]Hybrid!AI24</f>
        <v>3257.771201</v>
      </c>
      <c r="AK311" s="5">
        <f>[1]Hybrid!AJ24</f>
        <v>3225.411349</v>
      </c>
      <c r="AL311" s="5">
        <f>[1]Hybrid!AK24</f>
        <v>3191.9038439999999</v>
      </c>
      <c r="AM311" s="5">
        <f>[1]Hybrid!AL24</f>
        <v>3157.1157539999999</v>
      </c>
      <c r="AN311" s="5">
        <f>[1]Hybrid!AM24</f>
        <v>3121.1235270000002</v>
      </c>
      <c r="AO311" s="5">
        <f>[1]Hybrid!AN24</f>
        <v>3083.9937909999999</v>
      </c>
      <c r="AP311" s="5">
        <f>[1]Hybrid!AO24</f>
        <v>3045.792183</v>
      </c>
      <c r="AQ311" s="5">
        <f>[1]Hybrid!AP24</f>
        <v>3006.5839040000001</v>
      </c>
      <c r="AR311" s="5">
        <f>[1]Hybrid!AQ24</f>
        <v>2966.435309</v>
      </c>
      <c r="AS311" s="5">
        <f>[1]Hybrid!AR24</f>
        <v>2925.4066710000002</v>
      </c>
      <c r="AT311" s="5">
        <f>[1]Hybrid!AS24</f>
        <v>2883.551966</v>
      </c>
      <c r="AU311" s="5">
        <f>[1]Hybrid!AT24</f>
        <v>2840.9201670000002</v>
      </c>
      <c r="AV311" s="5">
        <f>[1]Hybrid!AU24</f>
        <v>2797.5563739999998</v>
      </c>
      <c r="AW311" s="5">
        <f>[1]Hybrid!AV24</f>
        <v>2753.5258520000002</v>
      </c>
      <c r="AX311" s="5">
        <f>[1]Hybrid!AW24</f>
        <v>2708.870038</v>
      </c>
      <c r="AY311" s="5">
        <f>[1]Hybrid!AX24</f>
        <v>2663.6238330000001</v>
      </c>
      <c r="AZ311" s="5">
        <f>[1]Hybrid!AY24</f>
        <v>2617.8201359999998</v>
      </c>
      <c r="BA311" s="5">
        <f>[1]Hybrid!AZ24</f>
        <v>2571.4921490000002</v>
      </c>
      <c r="BB311" s="5">
        <f>[1]Hybrid!BA24</f>
        <v>2593.1708560000002</v>
      </c>
      <c r="BC311" s="5">
        <f>[1]Hybrid!BB24</f>
        <v>2544.777732</v>
      </c>
      <c r="BD311" s="5">
        <f>[1]Hybrid!BC24</f>
        <v>2495.8074900000001</v>
      </c>
      <c r="BE311" s="5">
        <f>[1]Hybrid!BD24</f>
        <v>2446.3127749999999</v>
      </c>
      <c r="BF311" s="5">
        <f>[1]Hybrid!BE24</f>
        <v>2396.3466669999998</v>
      </c>
    </row>
    <row r="312" spans="1:58" x14ac:dyDescent="0.35">
      <c r="B312" s="5" t="str">
        <f>[1]Hybrid!A26</f>
        <v>auto_ce_cfut_2</v>
      </c>
      <c r="C312" s="5">
        <f>[1]Hybrid!B26</f>
        <v>2503.7292430000002</v>
      </c>
      <c r="D312" s="5">
        <f>[1]Hybrid!C26</f>
        <v>2441.9741130000002</v>
      </c>
      <c r="E312" s="5">
        <f>[1]Hybrid!D26</f>
        <v>2393.6425899999999</v>
      </c>
      <c r="F312" s="5">
        <f>[1]Hybrid!E26</f>
        <v>2354.5319220000001</v>
      </c>
      <c r="G312" s="5">
        <f>[1]Hybrid!F26</f>
        <v>2321.8090990000001</v>
      </c>
      <c r="H312" s="5">
        <f>[1]Hybrid!G26</f>
        <v>2293.5801970000002</v>
      </c>
      <c r="I312" s="5">
        <f>[1]Hybrid!H26</f>
        <v>2268.3283630000001</v>
      </c>
      <c r="J312" s="5">
        <f>[1]Hybrid!I26</f>
        <v>2245.1675919999998</v>
      </c>
      <c r="K312" s="5">
        <f>[1]Hybrid!J26</f>
        <v>2223.457124</v>
      </c>
      <c r="L312" s="5">
        <f>[1]Hybrid!K26</f>
        <v>2202.7133469999999</v>
      </c>
      <c r="M312" s="5">
        <f>[1]Hybrid!L26</f>
        <v>2182.7728959999999</v>
      </c>
      <c r="N312" s="5">
        <f>[1]Hybrid!M26</f>
        <v>2163.1265899999999</v>
      </c>
      <c r="O312" s="5">
        <f>[1]Hybrid!N26</f>
        <v>2143.5806680000001</v>
      </c>
      <c r="P312" s="5">
        <f>[1]Hybrid!O26</f>
        <v>2123.9301559999999</v>
      </c>
      <c r="Q312" s="5">
        <f>[1]Hybrid!P26</f>
        <v>2103.9886459999998</v>
      </c>
      <c r="R312" s="5">
        <f>[1]Hybrid!Q26</f>
        <v>2083.595065</v>
      </c>
      <c r="S312" s="5">
        <f>[1]Hybrid!R26</f>
        <v>2062.6073700000002</v>
      </c>
      <c r="T312" s="5">
        <f>[1]Hybrid!S26</f>
        <v>2040.912327</v>
      </c>
      <c r="U312" s="5">
        <f>[1]Hybrid!T26</f>
        <v>2018.4228900000001</v>
      </c>
      <c r="V312" s="5">
        <f>[1]Hybrid!U26</f>
        <v>1995.074789</v>
      </c>
      <c r="W312" s="5">
        <f>[1]Hybrid!V26</f>
        <v>1970.6182249999999</v>
      </c>
      <c r="X312" s="5">
        <f>[1]Hybrid!W26</f>
        <v>1945.261285</v>
      </c>
      <c r="Y312" s="5">
        <f>[1]Hybrid!X26</f>
        <v>1918.998247</v>
      </c>
      <c r="Z312" s="5">
        <f>[1]Hybrid!Y26</f>
        <v>1891.8379239999999</v>
      </c>
      <c r="AA312" s="5">
        <f>[1]Hybrid!Z26</f>
        <v>1863.7985080000001</v>
      </c>
      <c r="AB312" s="5">
        <f>[1]Hybrid!AA26</f>
        <v>1834.409789</v>
      </c>
      <c r="AC312" s="5">
        <f>[1]Hybrid!AB26</f>
        <v>1804.0479969999999</v>
      </c>
      <c r="AD312" s="5">
        <f>[1]Hybrid!AC26</f>
        <v>1772.7988559999999</v>
      </c>
      <c r="AE312" s="5">
        <f>[1]Hybrid!AD26</f>
        <v>1740.7541450000001</v>
      </c>
      <c r="AF312" s="5">
        <f>[1]Hybrid!AE26</f>
        <v>1708.004013</v>
      </c>
      <c r="AG312" s="5">
        <f>[1]Hybrid!AF26</f>
        <v>1674.6337530000001</v>
      </c>
      <c r="AH312" s="5">
        <f>[1]Hybrid!AG26</f>
        <v>1640.723802</v>
      </c>
      <c r="AI312" s="5">
        <f>[1]Hybrid!AH26</f>
        <v>1606.347759</v>
      </c>
      <c r="AJ312" s="5">
        <f>[1]Hybrid!AI26</f>
        <v>1571.573175</v>
      </c>
      <c r="AK312" s="5">
        <f>[1]Hybrid!AJ26</f>
        <v>1536.462775</v>
      </c>
      <c r="AL312" s="5">
        <f>[1]Hybrid!AK26</f>
        <v>1501.075439</v>
      </c>
      <c r="AM312" s="5">
        <f>[1]Hybrid!AL26</f>
        <v>1465.4013440000001</v>
      </c>
      <c r="AN312" s="5">
        <f>[1]Hybrid!AM26</f>
        <v>1429.511262</v>
      </c>
      <c r="AO312" s="5">
        <f>[1]Hybrid!AN26</f>
        <v>1393.4695429999999</v>
      </c>
      <c r="AP312" s="5">
        <f>[1]Hybrid!AO26</f>
        <v>1357.337411</v>
      </c>
      <c r="AQ312" s="5">
        <f>[1]Hybrid!AP26</f>
        <v>1321.17336</v>
      </c>
      <c r="AR312" s="5">
        <f>[1]Hybrid!AQ26</f>
        <v>1285.033968</v>
      </c>
      <c r="AS312" s="5">
        <f>[1]Hybrid!AR26</f>
        <v>1248.971605</v>
      </c>
      <c r="AT312" s="5">
        <f>[1]Hybrid!AS26</f>
        <v>1213.0345460000001</v>
      </c>
      <c r="AU312" s="5">
        <f>[1]Hybrid!AT26</f>
        <v>1177.2676160000001</v>
      </c>
      <c r="AV312" s="5">
        <f>[1]Hybrid!AU26</f>
        <v>1141.7127350000001</v>
      </c>
      <c r="AW312" s="5">
        <f>[1]Hybrid!AV26</f>
        <v>1106.416502</v>
      </c>
      <c r="AX312" s="5">
        <f>[1]Hybrid!AW26</f>
        <v>1071.4164029999999</v>
      </c>
      <c r="AY312" s="5">
        <f>[1]Hybrid!AX26</f>
        <v>1036.7463439999999</v>
      </c>
      <c r="AZ312" s="5">
        <f>[1]Hybrid!AY26</f>
        <v>1002.438174</v>
      </c>
      <c r="BA312" s="5">
        <f>[1]Hybrid!AZ26</f>
        <v>968.52248599999996</v>
      </c>
      <c r="BB312" s="5">
        <f>[1]Hybrid!BA26</f>
        <v>942.4006637</v>
      </c>
      <c r="BC312" s="5">
        <f>[1]Hybrid!BB26</f>
        <v>908.72411469999997</v>
      </c>
      <c r="BD312" s="5">
        <f>[1]Hybrid!BC26</f>
        <v>875.52158870000005</v>
      </c>
      <c r="BE312" s="5">
        <f>[1]Hybrid!BD26</f>
        <v>842.82576189999997</v>
      </c>
      <c r="BF312" s="5">
        <f>[1]Hybrid!BE26</f>
        <v>810.66726630000005</v>
      </c>
    </row>
    <row r="313" spans="1:58" x14ac:dyDescent="0.35">
      <c r="B313" s="5" t="str">
        <f>[1]Hybrid!A28</f>
        <v>auto_cf_cfut_2</v>
      </c>
      <c r="C313" s="5">
        <f>[1]Hybrid!B28</f>
        <v>1243.6668460000001</v>
      </c>
      <c r="D313" s="5">
        <f>[1]Hybrid!C28</f>
        <v>1210.292731</v>
      </c>
      <c r="E313" s="5">
        <f>[1]Hybrid!D28</f>
        <v>1182.128528</v>
      </c>
      <c r="F313" s="5">
        <f>[1]Hybrid!E28</f>
        <v>1156.8868990000001</v>
      </c>
      <c r="G313" s="5">
        <f>[1]Hybrid!F28</f>
        <v>1133.1132789999999</v>
      </c>
      <c r="H313" s="5">
        <f>[1]Hybrid!G28</f>
        <v>1109.907111</v>
      </c>
      <c r="I313" s="5">
        <f>[1]Hybrid!H28</f>
        <v>1086.629432</v>
      </c>
      <c r="J313" s="5">
        <f>[1]Hybrid!I28</f>
        <v>1062.975351</v>
      </c>
      <c r="K313" s="5">
        <f>[1]Hybrid!J28</f>
        <v>1038.7820850000001</v>
      </c>
      <c r="L313" s="5">
        <f>[1]Hybrid!K28</f>
        <v>1013.975505</v>
      </c>
      <c r="M313" s="5">
        <f>[1]Hybrid!L28</f>
        <v>988.61784590000002</v>
      </c>
      <c r="N313" s="5">
        <f>[1]Hybrid!M28</f>
        <v>962.65166299999999</v>
      </c>
      <c r="O313" s="5">
        <f>[1]Hybrid!N28</f>
        <v>936.13020619999998</v>
      </c>
      <c r="P313" s="5">
        <f>[1]Hybrid!O28</f>
        <v>909.10256979999997</v>
      </c>
      <c r="Q313" s="5">
        <f>[1]Hybrid!P28</f>
        <v>881.62671829999999</v>
      </c>
      <c r="R313" s="5">
        <f>[1]Hybrid!Q28</f>
        <v>853.77151060000006</v>
      </c>
      <c r="S313" s="5">
        <f>[1]Hybrid!R28</f>
        <v>825.61320439999997</v>
      </c>
      <c r="T313" s="5">
        <f>[1]Hybrid!S28</f>
        <v>797.23587750000002</v>
      </c>
      <c r="U313" s="5">
        <f>[1]Hybrid!T28</f>
        <v>768.72843420000004</v>
      </c>
      <c r="V313" s="5">
        <f>[1]Hybrid!U28</f>
        <v>740.18163970000001</v>
      </c>
      <c r="W313" s="5">
        <f>[1]Hybrid!V28</f>
        <v>711.64104280000004</v>
      </c>
      <c r="X313" s="5">
        <f>[1]Hybrid!W28</f>
        <v>683.24977679999995</v>
      </c>
      <c r="Y313" s="5">
        <f>[1]Hybrid!X28</f>
        <v>655.09280090000004</v>
      </c>
      <c r="Z313" s="5">
        <f>[1]Hybrid!Y28</f>
        <v>627.25000139999997</v>
      </c>
      <c r="AA313" s="5">
        <f>[1]Hybrid!Z28</f>
        <v>599.79513059999999</v>
      </c>
      <c r="AB313" s="5">
        <f>[1]Hybrid!AA28</f>
        <v>572.71331989999999</v>
      </c>
      <c r="AC313" s="5">
        <f>[1]Hybrid!AB28</f>
        <v>546.13240359999998</v>
      </c>
      <c r="AD313" s="5">
        <f>[1]Hybrid!AC28</f>
        <v>520.11830999999995</v>
      </c>
      <c r="AE313" s="5">
        <f>[1]Hybrid!AD28</f>
        <v>494.72826889999999</v>
      </c>
      <c r="AF313" s="5">
        <f>[1]Hybrid!AE28</f>
        <v>470.01030229999998</v>
      </c>
      <c r="AG313" s="5">
        <f>[1]Hybrid!AF28</f>
        <v>446.003649</v>
      </c>
      <c r="AH313" s="5">
        <f>[1]Hybrid!AG28</f>
        <v>422.73962599999999</v>
      </c>
      <c r="AI313" s="5">
        <f>[1]Hybrid!AH28</f>
        <v>400.24218580000002</v>
      </c>
      <c r="AJ313" s="5">
        <f>[1]Hybrid!AI28</f>
        <v>378.52873820000002</v>
      </c>
      <c r="AK313" s="5">
        <f>[1]Hybrid!AJ28</f>
        <v>357.61096040000001</v>
      </c>
      <c r="AL313" s="5">
        <f>[1]Hybrid!AK28</f>
        <v>337.49550410000001</v>
      </c>
      <c r="AM313" s="5">
        <f>[1]Hybrid!AL28</f>
        <v>318.17917460000001</v>
      </c>
      <c r="AN313" s="5">
        <f>[1]Hybrid!AM28</f>
        <v>299.66283809999999</v>
      </c>
      <c r="AO313" s="5">
        <f>[1]Hybrid!AN28</f>
        <v>281.94314809999997</v>
      </c>
      <c r="AP313" s="5">
        <f>[1]Hybrid!AO28</f>
        <v>265.01322449999998</v>
      </c>
      <c r="AQ313" s="5">
        <f>[1]Hybrid!AP28</f>
        <v>248.86311749999999</v>
      </c>
      <c r="AR313" s="5">
        <f>[1]Hybrid!AQ28</f>
        <v>233.48026859999999</v>
      </c>
      <c r="AS313" s="5">
        <f>[1]Hybrid!AR28</f>
        <v>218.84973310000001</v>
      </c>
      <c r="AT313" s="5">
        <f>[1]Hybrid!AS28</f>
        <v>204.95451550000001</v>
      </c>
      <c r="AU313" s="5">
        <f>[1]Hybrid!AT28</f>
        <v>191.77590960000001</v>
      </c>
      <c r="AV313" s="5">
        <f>[1]Hybrid!AU28</f>
        <v>179.2937991</v>
      </c>
      <c r="AW313" s="5">
        <f>[1]Hybrid!AV28</f>
        <v>167.48720940000001</v>
      </c>
      <c r="AX313" s="5">
        <f>[1]Hybrid!AW28</f>
        <v>156.33392670000001</v>
      </c>
      <c r="AY313" s="5">
        <f>[1]Hybrid!AX28</f>
        <v>145.8109493</v>
      </c>
      <c r="AZ313" s="5">
        <f>[1]Hybrid!AY28</f>
        <v>135.89474200000001</v>
      </c>
      <c r="BA313" s="5">
        <f>[1]Hybrid!AZ28</f>
        <v>126.56143830000001</v>
      </c>
      <c r="BB313" s="5">
        <f>[1]Hybrid!BA28</f>
        <v>114.4251134</v>
      </c>
      <c r="BC313" s="5">
        <f>[1]Hybrid!BB28</f>
        <v>106.3615669</v>
      </c>
      <c r="BD313" s="5">
        <f>[1]Hybrid!BC28</f>
        <v>98.805041329999995</v>
      </c>
      <c r="BE313" s="5">
        <f>[1]Hybrid!BD28</f>
        <v>91.7312467</v>
      </c>
      <c r="BF313" s="5">
        <f>[1]Hybrid!BE28</f>
        <v>85.116179560000006</v>
      </c>
    </row>
    <row r="314" spans="1:58" x14ac:dyDescent="0.35">
      <c r="B314" s="5" t="str">
        <f>[1]Hybrid!A30</f>
        <v>auto_cg_cfut_2</v>
      </c>
      <c r="C314" s="5">
        <f>[1]Hybrid!B30</f>
        <v>2239.620606</v>
      </c>
      <c r="D314" s="5">
        <f>[1]Hybrid!C30</f>
        <v>2182.8302189999999</v>
      </c>
      <c r="E314" s="5">
        <f>[1]Hybrid!D30</f>
        <v>2132.9356640000001</v>
      </c>
      <c r="F314" s="5">
        <f>[1]Hybrid!E30</f>
        <v>2085.4439389999998</v>
      </c>
      <c r="G314" s="5">
        <f>[1]Hybrid!F30</f>
        <v>2037.7231730000001</v>
      </c>
      <c r="H314" s="5">
        <f>[1]Hybrid!G30</f>
        <v>1988.347493</v>
      </c>
      <c r="I314" s="5">
        <f>[1]Hybrid!H30</f>
        <v>1936.496924</v>
      </c>
      <c r="J314" s="5">
        <f>[1]Hybrid!I30</f>
        <v>1882.005396</v>
      </c>
      <c r="K314" s="5">
        <f>[1]Hybrid!J30</f>
        <v>1824.984177</v>
      </c>
      <c r="L314" s="5">
        <f>[1]Hybrid!K30</f>
        <v>1765.70102</v>
      </c>
      <c r="M314" s="5">
        <f>[1]Hybrid!L30</f>
        <v>1704.6256539999999</v>
      </c>
      <c r="N314" s="5">
        <f>[1]Hybrid!M30</f>
        <v>1642.034087</v>
      </c>
      <c r="O314" s="5">
        <f>[1]Hybrid!N30</f>
        <v>1578.332545</v>
      </c>
      <c r="P314" s="5">
        <f>[1]Hybrid!O30</f>
        <v>1513.893881</v>
      </c>
      <c r="Q314" s="5">
        <f>[1]Hybrid!P30</f>
        <v>1449.07808</v>
      </c>
      <c r="R314" s="5">
        <f>[1]Hybrid!Q30</f>
        <v>1384.2339280000001</v>
      </c>
      <c r="S314" s="5">
        <f>[1]Hybrid!R30</f>
        <v>1319.692517</v>
      </c>
      <c r="T314" s="5">
        <f>[1]Hybrid!S30</f>
        <v>1255.765435</v>
      </c>
      <c r="U314" s="5">
        <f>[1]Hybrid!T30</f>
        <v>1192.7398229999999</v>
      </c>
      <c r="V314" s="5">
        <f>[1]Hybrid!U30</f>
        <v>1130.8744859999999</v>
      </c>
      <c r="W314" s="5">
        <f>[1]Hybrid!V30</f>
        <v>1070.3560869999999</v>
      </c>
      <c r="X314" s="5">
        <f>[1]Hybrid!W30</f>
        <v>1011.435923</v>
      </c>
      <c r="Y314" s="5">
        <f>[1]Hybrid!X30</f>
        <v>954.27969129999997</v>
      </c>
      <c r="Z314" s="5">
        <f>[1]Hybrid!Y30</f>
        <v>899.02242709999996</v>
      </c>
      <c r="AA314" s="5">
        <f>[1]Hybrid!Z30</f>
        <v>845.77013120000004</v>
      </c>
      <c r="AB314" s="5">
        <f>[1]Hybrid!AA30</f>
        <v>794.54192880000005</v>
      </c>
      <c r="AC314" s="5">
        <f>[1]Hybrid!AB30</f>
        <v>745.44767739999998</v>
      </c>
      <c r="AD314" s="5">
        <f>[1]Hybrid!AC30</f>
        <v>698.5300628</v>
      </c>
      <c r="AE314" s="5">
        <f>[1]Hybrid!AD30</f>
        <v>653.80887419999999</v>
      </c>
      <c r="AF314" s="5">
        <f>[1]Hybrid!AE30</f>
        <v>611.28346759999999</v>
      </c>
      <c r="AG314" s="5">
        <f>[1]Hybrid!AF30</f>
        <v>570.93572300000005</v>
      </c>
      <c r="AH314" s="5">
        <f>[1]Hybrid!AG30</f>
        <v>532.73298109999996</v>
      </c>
      <c r="AI314" s="5">
        <f>[1]Hybrid!AH30</f>
        <v>496.6305006</v>
      </c>
      <c r="AJ314" s="5">
        <f>[1]Hybrid!AI30</f>
        <v>462.5737828</v>
      </c>
      <c r="AK314" s="5">
        <f>[1]Hybrid!AJ30</f>
        <v>430.50063399999999</v>
      </c>
      <c r="AL314" s="5">
        <f>[1]Hybrid!AK30</f>
        <v>400.34293719999999</v>
      </c>
      <c r="AM314" s="5">
        <f>[1]Hybrid!AL30</f>
        <v>372.0260045</v>
      </c>
      <c r="AN314" s="5">
        <f>[1]Hybrid!AM30</f>
        <v>345.47552300000001</v>
      </c>
      <c r="AO314" s="5">
        <f>[1]Hybrid!AN30</f>
        <v>320.61464239999998</v>
      </c>
      <c r="AP314" s="5">
        <f>[1]Hybrid!AO30</f>
        <v>297.36507949999998</v>
      </c>
      <c r="AQ314" s="5">
        <f>[1]Hybrid!AP30</f>
        <v>275.64801879999999</v>
      </c>
      <c r="AR314" s="5">
        <f>[1]Hybrid!AQ30</f>
        <v>255.38488699999999</v>
      </c>
      <c r="AS314" s="5">
        <f>[1]Hybrid!AR30</f>
        <v>236.49793840000001</v>
      </c>
      <c r="AT314" s="5">
        <f>[1]Hybrid!AS30</f>
        <v>218.9107764</v>
      </c>
      <c r="AU314" s="5">
        <f>[1]Hybrid!AT30</f>
        <v>202.5487913</v>
      </c>
      <c r="AV314" s="5">
        <f>[1]Hybrid!AU30</f>
        <v>187.3395089</v>
      </c>
      <c r="AW314" s="5">
        <f>[1]Hybrid!AV30</f>
        <v>173.21292320000001</v>
      </c>
      <c r="AX314" s="5">
        <f>[1]Hybrid!AW30</f>
        <v>160.10156430000001</v>
      </c>
      <c r="AY314" s="5">
        <f>[1]Hybrid!AX30</f>
        <v>147.94070909999999</v>
      </c>
      <c r="AZ314" s="5">
        <f>[1]Hybrid!AY30</f>
        <v>136.66850070000001</v>
      </c>
      <c r="BA314" s="5">
        <f>[1]Hybrid!AZ30</f>
        <v>126.226016</v>
      </c>
      <c r="BB314" s="5">
        <f>[1]Hybrid!BA30</f>
        <v>112.4660597</v>
      </c>
      <c r="BC314" s="5">
        <f>[1]Hybrid!BB30</f>
        <v>103.8162528</v>
      </c>
      <c r="BD314" s="5">
        <f>[1]Hybrid!BC30</f>
        <v>95.817794160000005</v>
      </c>
      <c r="BE314" s="5">
        <f>[1]Hybrid!BD30</f>
        <v>88.424316970000007</v>
      </c>
      <c r="BF314" s="5">
        <f>[1]Hybrid!BE30</f>
        <v>81.592274309999993</v>
      </c>
    </row>
    <row r="315" spans="1:58" x14ac:dyDescent="0.35">
      <c r="B315" s="5" t="str">
        <f>[1]Hybrid!A32</f>
        <v>auto_ca_cele_2</v>
      </c>
      <c r="C315" s="5">
        <f>[1]Hybrid!B32</f>
        <v>9.8427898650000003</v>
      </c>
      <c r="D315" s="5">
        <f>[1]Hybrid!C32</f>
        <v>14.901281429999999</v>
      </c>
      <c r="E315" s="5">
        <f>[1]Hybrid!D32</f>
        <v>20.176721690000001</v>
      </c>
      <c r="F315" s="5">
        <f>[1]Hybrid!E32</f>
        <v>25.56121315</v>
      </c>
      <c r="G315" s="5">
        <f>[1]Hybrid!F32</f>
        <v>30.989661510000001</v>
      </c>
      <c r="H315" s="5">
        <f>[1]Hybrid!G32</f>
        <v>36.42457023</v>
      </c>
      <c r="I315" s="5">
        <f>[1]Hybrid!H32</f>
        <v>41.833644530000001</v>
      </c>
      <c r="J315" s="5">
        <f>[1]Hybrid!I32</f>
        <v>47.202638800000003</v>
      </c>
      <c r="K315" s="5">
        <f>[1]Hybrid!J32</f>
        <v>52.52114546</v>
      </c>
      <c r="L315" s="5">
        <f>[1]Hybrid!K32</f>
        <v>57.780400819999997</v>
      </c>
      <c r="M315" s="5">
        <f>[1]Hybrid!L32</f>
        <v>62.982516369999999</v>
      </c>
      <c r="N315" s="5">
        <f>[1]Hybrid!M32</f>
        <v>68.110139680000003</v>
      </c>
      <c r="O315" s="5">
        <f>[1]Hybrid!N32</f>
        <v>73.158746679999993</v>
      </c>
      <c r="P315" s="5">
        <f>[1]Hybrid!O32</f>
        <v>78.12097507</v>
      </c>
      <c r="Q315" s="5">
        <f>[1]Hybrid!P32</f>
        <v>82.987777059999999</v>
      </c>
      <c r="R315" s="5">
        <f>[1]Hybrid!Q32</f>
        <v>87.748721200000006</v>
      </c>
      <c r="S315" s="5">
        <f>[1]Hybrid!R32</f>
        <v>92.391606569999993</v>
      </c>
      <c r="T315" s="5">
        <f>[1]Hybrid!S32</f>
        <v>96.903084309999997</v>
      </c>
      <c r="U315" s="5">
        <f>[1]Hybrid!T32</f>
        <v>101.26887259999999</v>
      </c>
      <c r="V315" s="5">
        <f>[1]Hybrid!U32</f>
        <v>105.47384649999999</v>
      </c>
      <c r="W315" s="5">
        <f>[1]Hybrid!V32</f>
        <v>109.488923</v>
      </c>
      <c r="X315" s="5">
        <f>[1]Hybrid!W32</f>
        <v>113.31127979999999</v>
      </c>
      <c r="Y315" s="5">
        <f>[1]Hybrid!X32</f>
        <v>116.9238639</v>
      </c>
      <c r="Z315" s="5">
        <f>[1]Hybrid!Y32</f>
        <v>120.3088766</v>
      </c>
      <c r="AA315" s="5">
        <f>[1]Hybrid!Z32</f>
        <v>123.4473552</v>
      </c>
      <c r="AB315" s="5">
        <f>[1]Hybrid!AA32</f>
        <v>126.28503310000001</v>
      </c>
      <c r="AC315" s="5">
        <f>[1]Hybrid!AB32</f>
        <v>128.821168</v>
      </c>
      <c r="AD315" s="5">
        <f>[1]Hybrid!AC32</f>
        <v>131.0352637</v>
      </c>
      <c r="AE315" s="5">
        <f>[1]Hybrid!AD32</f>
        <v>132.90587619999999</v>
      </c>
      <c r="AF315" s="5">
        <f>[1]Hybrid!AE32</f>
        <v>134.4097841</v>
      </c>
      <c r="AG315" s="5">
        <f>[1]Hybrid!AF32</f>
        <v>135.52143000000001</v>
      </c>
      <c r="AH315" s="5">
        <f>[1]Hybrid!AG32</f>
        <v>136.21261630000001</v>
      </c>
      <c r="AI315" s="5">
        <f>[1]Hybrid!AH32</f>
        <v>136.45206440000001</v>
      </c>
      <c r="AJ315" s="5">
        <f>[1]Hybrid!AI32</f>
        <v>136.2050701</v>
      </c>
      <c r="AK315" s="5">
        <f>[1]Hybrid!AJ32</f>
        <v>135.4331741</v>
      </c>
      <c r="AL315" s="5">
        <f>[1]Hybrid!AK32</f>
        <v>134.09380100000001</v>
      </c>
      <c r="AM315" s="5">
        <f>[1]Hybrid!AL32</f>
        <v>132.13742110000001</v>
      </c>
      <c r="AN315" s="5">
        <f>[1]Hybrid!AM32</f>
        <v>129.51462090000001</v>
      </c>
      <c r="AO315" s="5">
        <f>[1]Hybrid!AN32</f>
        <v>126.1708581</v>
      </c>
      <c r="AP315" s="5">
        <f>[1]Hybrid!AO32</f>
        <v>122.045813</v>
      </c>
      <c r="AQ315" s="5">
        <f>[1]Hybrid!AP32</f>
        <v>117.0726353</v>
      </c>
      <c r="AR315" s="5">
        <f>[1]Hybrid!AQ32</f>
        <v>111.1772524</v>
      </c>
      <c r="AS315" s="5">
        <f>[1]Hybrid!AR32</f>
        <v>104.2776903</v>
      </c>
      <c r="AT315" s="5">
        <f>[1]Hybrid!AS32</f>
        <v>96.283293670000006</v>
      </c>
      <c r="AU315" s="5">
        <f>[1]Hybrid!AT32</f>
        <v>87.09390526</v>
      </c>
      <c r="AV315" s="5">
        <f>[1]Hybrid!AU32</f>
        <v>76.598974150000004</v>
      </c>
      <c r="AW315" s="5">
        <f>[1]Hybrid!AV32</f>
        <v>64.675645840000001</v>
      </c>
      <c r="AX315" s="5">
        <f>[1]Hybrid!AW32</f>
        <v>51.189475289999997</v>
      </c>
      <c r="AY315" s="5">
        <f>[1]Hybrid!AX32</f>
        <v>35.992573720000003</v>
      </c>
      <c r="AZ315" s="5">
        <f>[1]Hybrid!AY32</f>
        <v>18.921969669999999</v>
      </c>
      <c r="BA315" s="5">
        <f>[1]Hybrid!AZ32</f>
        <v>-0.20208625799999999</v>
      </c>
      <c r="BB315" s="5">
        <f>[1]Hybrid!BA32</f>
        <v>99.339215170000003</v>
      </c>
      <c r="BC315" s="5">
        <f>[1]Hybrid!BB32</f>
        <v>86.987539580000004</v>
      </c>
      <c r="BD315" s="5">
        <f>[1]Hybrid!BC32</f>
        <v>73.015126519999995</v>
      </c>
      <c r="BE315" s="5">
        <f>[1]Hybrid!BD32</f>
        <v>57.267535199999998</v>
      </c>
      <c r="BF315" s="5">
        <f>[1]Hybrid!BE32</f>
        <v>39.574651529999997</v>
      </c>
    </row>
    <row r="316" spans="1:58" x14ac:dyDescent="0.35">
      <c r="B316" s="5" t="str">
        <f>[1]Hybrid!A34</f>
        <v>auto_cb_cele_2</v>
      </c>
      <c r="C316" s="5">
        <f>[1]Hybrid!B34</f>
        <v>11.44571741</v>
      </c>
      <c r="D316" s="5">
        <f>[1]Hybrid!C34</f>
        <v>16.214071969999999</v>
      </c>
      <c r="E316" s="5">
        <f>[1]Hybrid!D34</f>
        <v>21.182669799999999</v>
      </c>
      <c r="F316" s="5">
        <f>[1]Hybrid!E34</f>
        <v>26.245986469999998</v>
      </c>
      <c r="G316" s="5">
        <f>[1]Hybrid!F34</f>
        <v>31.340542809999999</v>
      </c>
      <c r="H316" s="5">
        <f>[1]Hybrid!G34</f>
        <v>36.429659729999997</v>
      </c>
      <c r="I316" s="5">
        <f>[1]Hybrid!H34</f>
        <v>41.481789159999998</v>
      </c>
      <c r="J316" s="5">
        <f>[1]Hybrid!I34</f>
        <v>46.482559520000002</v>
      </c>
      <c r="K316" s="5">
        <f>[1]Hybrid!J34</f>
        <v>51.421204420000002</v>
      </c>
      <c r="L316" s="5">
        <f>[1]Hybrid!K34</f>
        <v>56.288483849999999</v>
      </c>
      <c r="M316" s="5">
        <f>[1]Hybrid!L34</f>
        <v>61.085402019999997</v>
      </c>
      <c r="N316" s="5">
        <f>[1]Hybrid!M34</f>
        <v>65.794653359999998</v>
      </c>
      <c r="O316" s="5">
        <f>[1]Hybrid!N34</f>
        <v>70.410884069999994</v>
      </c>
      <c r="P316" s="5">
        <f>[1]Hybrid!O34</f>
        <v>74.926036319999994</v>
      </c>
      <c r="Q316" s="5">
        <f>[1]Hybrid!P34</f>
        <v>79.330503539999995</v>
      </c>
      <c r="R316" s="5">
        <f>[1]Hybrid!Q34</f>
        <v>83.613465129999994</v>
      </c>
      <c r="S316" s="5">
        <f>[1]Hybrid!R34</f>
        <v>87.762554929999993</v>
      </c>
      <c r="T316" s="5">
        <f>[1]Hybrid!S34</f>
        <v>91.764451059999999</v>
      </c>
      <c r="U316" s="5">
        <f>[1]Hybrid!T34</f>
        <v>95.605108790000003</v>
      </c>
      <c r="V316" s="5">
        <f>[1]Hybrid!U34</f>
        <v>99.269863950000001</v>
      </c>
      <c r="W316" s="5">
        <f>[1]Hybrid!V34</f>
        <v>102.7316289</v>
      </c>
      <c r="X316" s="5">
        <f>[1]Hybrid!W34</f>
        <v>105.9872577</v>
      </c>
      <c r="Y316" s="5">
        <f>[1]Hybrid!X34</f>
        <v>109.02086130000001</v>
      </c>
      <c r="Z316" s="5">
        <f>[1]Hybrid!Y34</f>
        <v>111.8160441</v>
      </c>
      <c r="AA316" s="5">
        <f>[1]Hybrid!Z34</f>
        <v>114.355541</v>
      </c>
      <c r="AB316" s="5">
        <f>[1]Hybrid!AA34</f>
        <v>116.59138129999999</v>
      </c>
      <c r="AC316" s="5">
        <f>[1]Hybrid!AB34</f>
        <v>118.5230249</v>
      </c>
      <c r="AD316" s="5">
        <f>[1]Hybrid!AC34</f>
        <v>120.13271760000001</v>
      </c>
      <c r="AE316" s="5">
        <f>[1]Hybrid!AD34</f>
        <v>121.40204780000001</v>
      </c>
      <c r="AF316" s="5">
        <f>[1]Hybrid!AE34</f>
        <v>122.311224</v>
      </c>
      <c r="AG316" s="5">
        <f>[1]Hybrid!AF34</f>
        <v>122.8386089</v>
      </c>
      <c r="AH316" s="5">
        <f>[1]Hybrid!AG34</f>
        <v>122.9604879</v>
      </c>
      <c r="AI316" s="5">
        <f>[1]Hybrid!AH34</f>
        <v>122.65073150000001</v>
      </c>
      <c r="AJ316" s="5">
        <f>[1]Hybrid!AI34</f>
        <v>121.8805357</v>
      </c>
      <c r="AK316" s="5">
        <f>[1]Hybrid!AJ34</f>
        <v>120.61818599999999</v>
      </c>
      <c r="AL316" s="5">
        <f>[1]Hybrid!AK34</f>
        <v>118.82880299999999</v>
      </c>
      <c r="AM316" s="5">
        <f>[1]Hybrid!AL34</f>
        <v>116.47244980000001</v>
      </c>
      <c r="AN316" s="5">
        <f>[1]Hybrid!AM34</f>
        <v>113.5094732</v>
      </c>
      <c r="AO316" s="5">
        <f>[1]Hybrid!AN34</f>
        <v>109.89641589999999</v>
      </c>
      <c r="AP316" s="5">
        <f>[1]Hybrid!AO34</f>
        <v>105.5855103</v>
      </c>
      <c r="AQ316" s="5">
        <f>[1]Hybrid!AP34</f>
        <v>100.52413439999999</v>
      </c>
      <c r="AR316" s="5">
        <f>[1]Hybrid!AQ34</f>
        <v>94.654343370000007</v>
      </c>
      <c r="AS316" s="5">
        <f>[1]Hybrid!AR34</f>
        <v>87.912466230000007</v>
      </c>
      <c r="AT316" s="5">
        <f>[1]Hybrid!AS34</f>
        <v>80.228605430000002</v>
      </c>
      <c r="AU316" s="5">
        <f>[1]Hybrid!AT34</f>
        <v>71.526119660000006</v>
      </c>
      <c r="AV316" s="5">
        <f>[1]Hybrid!AU34</f>
        <v>61.721070879999999</v>
      </c>
      <c r="AW316" s="5">
        <f>[1]Hybrid!AV34</f>
        <v>50.720708420000001</v>
      </c>
      <c r="AX316" s="5">
        <f>[1]Hybrid!AW34</f>
        <v>38.424580849999998</v>
      </c>
      <c r="AY316" s="5">
        <f>[1]Hybrid!AX34</f>
        <v>24.72316245</v>
      </c>
      <c r="AZ316" s="5">
        <f>[1]Hybrid!AY34</f>
        <v>9.4967686249999996</v>
      </c>
      <c r="BA316" s="5">
        <f>[1]Hybrid!AZ34</f>
        <v>-7.385521475</v>
      </c>
      <c r="BB316" s="5">
        <f>[1]Hybrid!BA34</f>
        <v>75.420396510000003</v>
      </c>
      <c r="BC316" s="5">
        <f>[1]Hybrid!BB34</f>
        <v>63.977383179999997</v>
      </c>
      <c r="BD316" s="5">
        <f>[1]Hybrid!BC34</f>
        <v>51.223632559999999</v>
      </c>
      <c r="BE316" s="5">
        <f>[1]Hybrid!BD34</f>
        <v>37.049375359999999</v>
      </c>
      <c r="BF316" s="5">
        <f>[1]Hybrid!BE34</f>
        <v>21.33479221</v>
      </c>
    </row>
    <row r="317" spans="1:58" x14ac:dyDescent="0.35">
      <c r="B317" s="5" t="str">
        <f>[1]Hybrid!A36</f>
        <v>auto_cc_cele_2</v>
      </c>
      <c r="C317" s="5">
        <f>[1]Hybrid!B36</f>
        <v>9.4015406210000005</v>
      </c>
      <c r="D317" s="5">
        <f>[1]Hybrid!C36</f>
        <v>12.637455620000001</v>
      </c>
      <c r="E317" s="5">
        <f>[1]Hybrid!D36</f>
        <v>16.006747409999999</v>
      </c>
      <c r="F317" s="5">
        <f>[1]Hybrid!E36</f>
        <v>19.43507954</v>
      </c>
      <c r="G317" s="5">
        <f>[1]Hybrid!F36</f>
        <v>22.877873529999999</v>
      </c>
      <c r="H317" s="5">
        <f>[1]Hybrid!G36</f>
        <v>26.309316620000001</v>
      </c>
      <c r="I317" s="5">
        <f>[1]Hybrid!H36</f>
        <v>29.707249770000001</v>
      </c>
      <c r="J317" s="5">
        <f>[1]Hybrid!I36</f>
        <v>33.061312059999999</v>
      </c>
      <c r="K317" s="5">
        <f>[1]Hybrid!J36</f>
        <v>36.363596090000001</v>
      </c>
      <c r="L317" s="5">
        <f>[1]Hybrid!K36</f>
        <v>39.607228149999997</v>
      </c>
      <c r="M317" s="5">
        <f>[1]Hybrid!L36</f>
        <v>42.792306609999997</v>
      </c>
      <c r="N317" s="5">
        <f>[1]Hybrid!M36</f>
        <v>45.906518910000003</v>
      </c>
      <c r="O317" s="5">
        <f>[1]Hybrid!N36</f>
        <v>48.945598940000004</v>
      </c>
      <c r="P317" s="5">
        <f>[1]Hybrid!O36</f>
        <v>51.903439900000002</v>
      </c>
      <c r="Q317" s="5">
        <f>[1]Hybrid!P36</f>
        <v>54.772926329999997</v>
      </c>
      <c r="R317" s="5">
        <f>[1]Hybrid!Q36</f>
        <v>57.546195269999998</v>
      </c>
      <c r="S317" s="5">
        <f>[1]Hybrid!R36</f>
        <v>60.21443257</v>
      </c>
      <c r="T317" s="5">
        <f>[1]Hybrid!S36</f>
        <v>62.768276829999998</v>
      </c>
      <c r="U317" s="5">
        <f>[1]Hybrid!T36</f>
        <v>65.197996790000005</v>
      </c>
      <c r="V317" s="5">
        <f>[1]Hybrid!U36</f>
        <v>67.493573049999995</v>
      </c>
      <c r="W317" s="5">
        <f>[1]Hybrid!V36</f>
        <v>69.637028060000006</v>
      </c>
      <c r="X317" s="5">
        <f>[1]Hybrid!W36</f>
        <v>71.626160049999996</v>
      </c>
      <c r="Y317" s="5">
        <f>[1]Hybrid!X36</f>
        <v>73.450552500000001</v>
      </c>
      <c r="Z317" s="5">
        <f>[1]Hybrid!Y36</f>
        <v>75.099588389999994</v>
      </c>
      <c r="AA317" s="5">
        <f>[1]Hybrid!Z36</f>
        <v>76.562222550000001</v>
      </c>
      <c r="AB317" s="5">
        <f>[1]Hybrid!AA36</f>
        <v>77.808147309999995</v>
      </c>
      <c r="AC317" s="5">
        <f>[1]Hybrid!AB36</f>
        <v>78.837431859999995</v>
      </c>
      <c r="AD317" s="5">
        <f>[1]Hybrid!AC36</f>
        <v>79.63933274</v>
      </c>
      <c r="AE317" s="5">
        <f>[1]Hybrid!AD36</f>
        <v>80.202822699999999</v>
      </c>
      <c r="AF317" s="5">
        <f>[1]Hybrid!AE36</f>
        <v>80.516136000000003</v>
      </c>
      <c r="AG317" s="5">
        <f>[1]Hybrid!AF36</f>
        <v>80.566489610000005</v>
      </c>
      <c r="AH317" s="5">
        <f>[1]Hybrid!AG36</f>
        <v>80.339958449999997</v>
      </c>
      <c r="AI317" s="5">
        <f>[1]Hybrid!AH36</f>
        <v>79.821291950000003</v>
      </c>
      <c r="AJ317" s="5">
        <f>[1]Hybrid!AI36</f>
        <v>78.993776409999995</v>
      </c>
      <c r="AK317" s="5">
        <f>[1]Hybrid!AJ36</f>
        <v>77.839117689999995</v>
      </c>
      <c r="AL317" s="5">
        <f>[1]Hybrid!AK36</f>
        <v>76.337318379999999</v>
      </c>
      <c r="AM317" s="5">
        <f>[1]Hybrid!AL36</f>
        <v>74.465817729999998</v>
      </c>
      <c r="AN317" s="5">
        <f>[1]Hybrid!AM36</f>
        <v>72.202379190000002</v>
      </c>
      <c r="AO317" s="5">
        <f>[1]Hybrid!AN36</f>
        <v>69.522798649999999</v>
      </c>
      <c r="AP317" s="5">
        <f>[1]Hybrid!AO36</f>
        <v>66.400621720000004</v>
      </c>
      <c r="AQ317" s="5">
        <f>[1]Hybrid!AP36</f>
        <v>62.806865950000002</v>
      </c>
      <c r="AR317" s="5">
        <f>[1]Hybrid!AQ36</f>
        <v>58.709802340000003</v>
      </c>
      <c r="AS317" s="5">
        <f>[1]Hybrid!AR36</f>
        <v>54.074805730000001</v>
      </c>
      <c r="AT317" s="5">
        <f>[1]Hybrid!AS36</f>
        <v>48.864138029999999</v>
      </c>
      <c r="AU317" s="5">
        <f>[1]Hybrid!AT36</f>
        <v>43.036729780000002</v>
      </c>
      <c r="AV317" s="5">
        <f>[1]Hybrid!AU36</f>
        <v>36.547951230000002</v>
      </c>
      <c r="AW317" s="5">
        <f>[1]Hybrid!AV36</f>
        <v>29.34874284</v>
      </c>
      <c r="AX317" s="5">
        <f>[1]Hybrid!AW36</f>
        <v>21.386559999999999</v>
      </c>
      <c r="AY317" s="5">
        <f>[1]Hybrid!AX36</f>
        <v>12.604635119999999</v>
      </c>
      <c r="AZ317" s="5">
        <f>[1]Hybrid!AY36</f>
        <v>2.9414704619999998</v>
      </c>
      <c r="BA317" s="5">
        <f>[1]Hybrid!AZ36</f>
        <v>-7.6696390299999999</v>
      </c>
      <c r="BB317" s="5">
        <f>[1]Hybrid!BA36</f>
        <v>41.767990060000002</v>
      </c>
      <c r="BC317" s="5">
        <f>[1]Hybrid!BB36</f>
        <v>34.301015939999999</v>
      </c>
      <c r="BD317" s="5">
        <f>[1]Hybrid!BC36</f>
        <v>26.084829039999999</v>
      </c>
      <c r="BE317" s="5">
        <f>[1]Hybrid!BD36</f>
        <v>17.065230100000001</v>
      </c>
      <c r="BF317" s="5">
        <f>[1]Hybrid!BE36</f>
        <v>7.1835929309999997</v>
      </c>
    </row>
    <row r="318" spans="1:58" x14ac:dyDescent="0.35">
      <c r="B318" s="5" t="str">
        <f>[1]Hybrid!A38</f>
        <v>auto_cd_cele_2</v>
      </c>
      <c r="C318" s="5">
        <f>[1]Hybrid!B38</f>
        <v>5.770071272</v>
      </c>
      <c r="D318" s="5">
        <f>[1]Hybrid!C38</f>
        <v>7.5394444710000004</v>
      </c>
      <c r="E318" s="5">
        <f>[1]Hybrid!D38</f>
        <v>9.3746619619999993</v>
      </c>
      <c r="F318" s="5">
        <f>[1]Hybrid!E38</f>
        <v>11.2296269</v>
      </c>
      <c r="G318" s="5">
        <f>[1]Hybrid!F38</f>
        <v>13.075274439999999</v>
      </c>
      <c r="H318" s="5">
        <f>[1]Hybrid!G38</f>
        <v>14.893783259999999</v>
      </c>
      <c r="I318" s="5">
        <f>[1]Hybrid!H38</f>
        <v>16.670534669999999</v>
      </c>
      <c r="J318" s="5">
        <f>[1]Hybrid!I38</f>
        <v>18.398416489999999</v>
      </c>
      <c r="K318" s="5">
        <f>[1]Hybrid!J38</f>
        <v>20.0725576</v>
      </c>
      <c r="L318" s="5">
        <f>[1]Hybrid!K38</f>
        <v>21.68935763</v>
      </c>
      <c r="M318" s="5">
        <f>[1]Hybrid!L38</f>
        <v>23.249362619999999</v>
      </c>
      <c r="N318" s="5">
        <f>[1]Hybrid!M38</f>
        <v>24.747108069999999</v>
      </c>
      <c r="O318" s="5">
        <f>[1]Hybrid!N38</f>
        <v>26.181541809999999</v>
      </c>
      <c r="P318" s="5">
        <f>[1]Hybrid!O38</f>
        <v>27.55100066</v>
      </c>
      <c r="Q318" s="5">
        <f>[1]Hybrid!P38</f>
        <v>28.853672150000001</v>
      </c>
      <c r="R318" s="5">
        <f>[1]Hybrid!Q38</f>
        <v>30.087733239999999</v>
      </c>
      <c r="S318" s="5">
        <f>[1]Hybrid!R38</f>
        <v>31.251271729999999</v>
      </c>
      <c r="T318" s="5">
        <f>[1]Hybrid!S38</f>
        <v>32.342485029999999</v>
      </c>
      <c r="U318" s="5">
        <f>[1]Hybrid!T38</f>
        <v>33.359718270000002</v>
      </c>
      <c r="V318" s="5">
        <f>[1]Hybrid!U38</f>
        <v>34.30147152</v>
      </c>
      <c r="W318" s="5">
        <f>[1]Hybrid!V38</f>
        <v>35.162867570000003</v>
      </c>
      <c r="X318" s="5">
        <f>[1]Hybrid!W38</f>
        <v>35.94657136</v>
      </c>
      <c r="Y318" s="5">
        <f>[1]Hybrid!X38</f>
        <v>36.651670840000001</v>
      </c>
      <c r="Z318" s="5">
        <f>[1]Hybrid!Y38</f>
        <v>37.277419449999996</v>
      </c>
      <c r="AA318" s="5">
        <f>[1]Hybrid!Z38</f>
        <v>37.823156330000003</v>
      </c>
      <c r="AB318" s="5">
        <f>[1]Hybrid!AA38</f>
        <v>38.279774490000001</v>
      </c>
      <c r="AC318" s="5">
        <f>[1]Hybrid!AB38</f>
        <v>38.6522784</v>
      </c>
      <c r="AD318" s="5">
        <f>[1]Hybrid!AC38</f>
        <v>38.94096424</v>
      </c>
      <c r="AE318" s="5">
        <f>[1]Hybrid!AD38</f>
        <v>39.14627385</v>
      </c>
      <c r="AF318" s="5">
        <f>[1]Hybrid!AE38</f>
        <v>39.268647190000003</v>
      </c>
      <c r="AG318" s="5">
        <f>[1]Hybrid!AF38</f>
        <v>39.30845163</v>
      </c>
      <c r="AH318" s="5">
        <f>[1]Hybrid!AG38</f>
        <v>39.26597314</v>
      </c>
      <c r="AI318" s="5">
        <f>[1]Hybrid!AH38</f>
        <v>39.141378670000002</v>
      </c>
      <c r="AJ318" s="5">
        <f>[1]Hybrid!AI38</f>
        <v>38.934717480000003</v>
      </c>
      <c r="AK318" s="5">
        <f>[1]Hybrid!AJ38</f>
        <v>38.64593344</v>
      </c>
      <c r="AL318" s="5">
        <f>[1]Hybrid!AK38</f>
        <v>38.274876499999998</v>
      </c>
      <c r="AM318" s="5">
        <f>[1]Hybrid!AL38</f>
        <v>37.820469959999997</v>
      </c>
      <c r="AN318" s="5">
        <f>[1]Hybrid!AM38</f>
        <v>37.28278607</v>
      </c>
      <c r="AO318" s="5">
        <f>[1]Hybrid!AN38</f>
        <v>36.661800399999997</v>
      </c>
      <c r="AP318" s="5">
        <f>[1]Hybrid!AO38</f>
        <v>35.9574146</v>
      </c>
      <c r="AQ318" s="5">
        <f>[1]Hybrid!AP38</f>
        <v>35.169451219999999</v>
      </c>
      <c r="AR318" s="5">
        <f>[1]Hybrid!AQ38</f>
        <v>34.29766394</v>
      </c>
      <c r="AS318" s="5">
        <f>[1]Hybrid!AR38</f>
        <v>33.341725340000004</v>
      </c>
      <c r="AT318" s="5">
        <f>[1]Hybrid!AS38</f>
        <v>32.301235830000003</v>
      </c>
      <c r="AU318" s="5">
        <f>[1]Hybrid!AT38</f>
        <v>31.175741200000001</v>
      </c>
      <c r="AV318" s="5">
        <f>[1]Hybrid!AU38</f>
        <v>29.964750949999999</v>
      </c>
      <c r="AW318" s="5">
        <f>[1]Hybrid!AV38</f>
        <v>28.667759759999999</v>
      </c>
      <c r="AX318" s="5">
        <f>[1]Hybrid!AW38</f>
        <v>27.284259550000002</v>
      </c>
      <c r="AY318" s="5">
        <f>[1]Hybrid!AX38</f>
        <v>25.813762789999998</v>
      </c>
      <c r="AZ318" s="5">
        <f>[1]Hybrid!AY38</f>
        <v>24.255813939999999</v>
      </c>
      <c r="BA318" s="5">
        <f>[1]Hybrid!AZ38</f>
        <v>22.610000459999998</v>
      </c>
      <c r="BB318" s="5">
        <f>[1]Hybrid!BA38</f>
        <v>33.875114490000001</v>
      </c>
      <c r="BC318" s="5">
        <f>[1]Hybrid!BB38</f>
        <v>32.826666979999999</v>
      </c>
      <c r="BD318" s="5">
        <f>[1]Hybrid!BC38</f>
        <v>31.723283139999999</v>
      </c>
      <c r="BE318" s="5">
        <f>[1]Hybrid!BD38</f>
        <v>30.565733399999999</v>
      </c>
      <c r="BF318" s="5">
        <f>[1]Hybrid!BE38</f>
        <v>29.35484288</v>
      </c>
    </row>
    <row r="319" spans="1:58" x14ac:dyDescent="0.35">
      <c r="B319" s="5" t="str">
        <f>[1]Hybrid!A40</f>
        <v>auto_ce_cele_2</v>
      </c>
      <c r="C319" s="5">
        <f>[1]Hybrid!B40</f>
        <v>3.4730440960000002</v>
      </c>
      <c r="D319" s="5">
        <f>[1]Hybrid!C40</f>
        <v>4.5585327830000004</v>
      </c>
      <c r="E319" s="5">
        <f>[1]Hybrid!D40</f>
        <v>5.6752972860000002</v>
      </c>
      <c r="F319" s="5">
        <f>[1]Hybrid!E40</f>
        <v>6.7932062020000004</v>
      </c>
      <c r="G319" s="5">
        <f>[1]Hybrid!F40</f>
        <v>7.8934498140000002</v>
      </c>
      <c r="H319" s="5">
        <f>[1]Hybrid!G40</f>
        <v>8.964568689</v>
      </c>
      <c r="I319" s="5">
        <f>[1]Hybrid!H40</f>
        <v>9.997422534</v>
      </c>
      <c r="J319" s="5">
        <f>[1]Hybrid!I40</f>
        <v>10.98759227</v>
      </c>
      <c r="K319" s="5">
        <f>[1]Hybrid!J40</f>
        <v>11.93216017</v>
      </c>
      <c r="L319" s="5">
        <f>[1]Hybrid!K40</f>
        <v>12.82909089</v>
      </c>
      <c r="M319" s="5">
        <f>[1]Hybrid!L40</f>
        <v>13.67883658</v>
      </c>
      <c r="N319" s="5">
        <f>[1]Hybrid!M40</f>
        <v>14.47852889</v>
      </c>
      <c r="O319" s="5">
        <f>[1]Hybrid!N40</f>
        <v>15.227813960000001</v>
      </c>
      <c r="P319" s="5">
        <f>[1]Hybrid!O40</f>
        <v>15.926051510000001</v>
      </c>
      <c r="Q319" s="5">
        <f>[1]Hybrid!P40</f>
        <v>16.572610900000001</v>
      </c>
      <c r="R319" s="5">
        <f>[1]Hybrid!Q40</f>
        <v>17.16696512</v>
      </c>
      <c r="S319" s="5">
        <f>[1]Hybrid!R40</f>
        <v>17.708652310000002</v>
      </c>
      <c r="T319" s="5">
        <f>[1]Hybrid!S40</f>
        <v>18.197375600000001</v>
      </c>
      <c r="U319" s="5">
        <f>[1]Hybrid!T40</f>
        <v>18.633019300000001</v>
      </c>
      <c r="V319" s="5">
        <f>[1]Hybrid!U40</f>
        <v>19.015644460000001</v>
      </c>
      <c r="W319" s="5">
        <f>[1]Hybrid!V40</f>
        <v>19.343767939999999</v>
      </c>
      <c r="X319" s="5">
        <f>[1]Hybrid!W40</f>
        <v>19.619694490000001</v>
      </c>
      <c r="Y319" s="5">
        <f>[1]Hybrid!X40</f>
        <v>19.844019119999999</v>
      </c>
      <c r="Z319" s="5">
        <f>[1]Hybrid!Y40</f>
        <v>20.017474360000001</v>
      </c>
      <c r="AA319" s="5">
        <f>[1]Hybrid!Z40</f>
        <v>20.140887939999999</v>
      </c>
      <c r="AB319" s="5">
        <f>[1]Hybrid!AA40</f>
        <v>20.211407489999999</v>
      </c>
      <c r="AC319" s="5">
        <f>[1]Hybrid!AB40</f>
        <v>20.23262691</v>
      </c>
      <c r="AD319" s="5">
        <f>[1]Hybrid!AC40</f>
        <v>20.206026219999998</v>
      </c>
      <c r="AE319" s="5">
        <f>[1]Hybrid!AD40</f>
        <v>20.133159339999999</v>
      </c>
      <c r="AF319" s="5">
        <f>[1]Hybrid!AE40</f>
        <v>20.01558584</v>
      </c>
      <c r="AG319" s="5">
        <f>[1]Hybrid!AF40</f>
        <v>19.854842049999998</v>
      </c>
      <c r="AH319" s="5">
        <f>[1]Hybrid!AG40</f>
        <v>19.652440080000002</v>
      </c>
      <c r="AI319" s="5">
        <f>[1]Hybrid!AH40</f>
        <v>19.40985607</v>
      </c>
      <c r="AJ319" s="5">
        <f>[1]Hybrid!AI40</f>
        <v>19.128533279999999</v>
      </c>
      <c r="AK319" s="5">
        <f>[1]Hybrid!AJ40</f>
        <v>18.80988992</v>
      </c>
      <c r="AL319" s="5">
        <f>[1]Hybrid!AK40</f>
        <v>18.455326769999999</v>
      </c>
      <c r="AM319" s="5">
        <f>[1]Hybrid!AL40</f>
        <v>18.0659688</v>
      </c>
      <c r="AN319" s="5">
        <f>[1]Hybrid!AM40</f>
        <v>17.643367099999999</v>
      </c>
      <c r="AO319" s="5">
        <f>[1]Hybrid!AN40</f>
        <v>17.18905333</v>
      </c>
      <c r="AP319" s="5">
        <f>[1]Hybrid!AO40</f>
        <v>16.704545530000001</v>
      </c>
      <c r="AQ319" s="5">
        <f>[1]Hybrid!AP40</f>
        <v>16.19134807</v>
      </c>
      <c r="AR319" s="5">
        <f>[1]Hybrid!AQ40</f>
        <v>15.65095749</v>
      </c>
      <c r="AS319" s="5">
        <f>[1]Hybrid!AR40</f>
        <v>15.08486336</v>
      </c>
      <c r="AT319" s="5">
        <f>[1]Hybrid!AS40</f>
        <v>14.494553010000001</v>
      </c>
      <c r="AU319" s="5">
        <f>[1]Hybrid!AT40</f>
        <v>13.88151841</v>
      </c>
      <c r="AV319" s="5">
        <f>[1]Hybrid!AU40</f>
        <v>13.247262340000001</v>
      </c>
      <c r="AW319" s="5">
        <f>[1]Hybrid!AV40</f>
        <v>12.593293389999999</v>
      </c>
      <c r="AX319" s="5">
        <f>[1]Hybrid!AW40</f>
        <v>11.92115083</v>
      </c>
      <c r="AY319" s="5">
        <f>[1]Hybrid!AX40</f>
        <v>11.232402029999999</v>
      </c>
      <c r="AZ319" s="5">
        <f>[1]Hybrid!AY40</f>
        <v>10.528641240000001</v>
      </c>
      <c r="BA319" s="5">
        <f>[1]Hybrid!AZ40</f>
        <v>9.8114885479999998</v>
      </c>
      <c r="BB319" s="5">
        <f>[1]Hybrid!BA40</f>
        <v>13.85018971</v>
      </c>
      <c r="BC319" s="5">
        <f>[1]Hybrid!BB40</f>
        <v>13.3144727</v>
      </c>
      <c r="BD319" s="5">
        <f>[1]Hybrid!BC40</f>
        <v>12.772281039999999</v>
      </c>
      <c r="BE319" s="5">
        <f>[1]Hybrid!BD40</f>
        <v>12.22493592</v>
      </c>
      <c r="BF319" s="5">
        <f>[1]Hybrid!BE40</f>
        <v>11.673745009999999</v>
      </c>
    </row>
    <row r="320" spans="1:58" x14ac:dyDescent="0.35">
      <c r="B320" s="5" t="str">
        <f>[1]Hybrid!A42</f>
        <v>auto_cf_cele_2</v>
      </c>
      <c r="C320" s="5">
        <f>[1]Hybrid!B42</f>
        <v>1.7251505170000001</v>
      </c>
      <c r="D320" s="5">
        <f>[1]Hybrid!C42</f>
        <v>2.2401761690000002</v>
      </c>
      <c r="E320" s="5">
        <f>[1]Hybrid!D42</f>
        <v>2.757027404</v>
      </c>
      <c r="F320" s="5">
        <f>[1]Hybrid!E42</f>
        <v>3.2583667690000002</v>
      </c>
      <c r="G320" s="5">
        <f>[1]Hybrid!F42</f>
        <v>3.7337588730000002</v>
      </c>
      <c r="H320" s="5">
        <f>[1]Hybrid!G42</f>
        <v>4.1772396589999996</v>
      </c>
      <c r="I320" s="5">
        <f>[1]Hybrid!H42</f>
        <v>4.5847702139999997</v>
      </c>
      <c r="J320" s="5">
        <f>[1]Hybrid!I42</f>
        <v>4.9549881329999996</v>
      </c>
      <c r="K320" s="5">
        <f>[1]Hybrid!J42</f>
        <v>5.2876020820000003</v>
      </c>
      <c r="L320" s="5">
        <f>[1]Hybrid!K42</f>
        <v>5.5829879470000003</v>
      </c>
      <c r="M320" s="5">
        <f>[1]Hybrid!L42</f>
        <v>5.8426728670000001</v>
      </c>
      <c r="N320" s="5">
        <f>[1]Hybrid!M42</f>
        <v>6.0670945720000002</v>
      </c>
      <c r="O320" s="5">
        <f>[1]Hybrid!N42</f>
        <v>6.2576405069999996</v>
      </c>
      <c r="P320" s="5">
        <f>[1]Hybrid!O42</f>
        <v>6.415656223</v>
      </c>
      <c r="Q320" s="5">
        <f>[1]Hybrid!P42</f>
        <v>6.542566485</v>
      </c>
      <c r="R320" s="5">
        <f>[1]Hybrid!Q42</f>
        <v>6.639899099</v>
      </c>
      <c r="S320" s="5">
        <f>[1]Hybrid!R42</f>
        <v>6.7092556290000003</v>
      </c>
      <c r="T320" s="5">
        <f>[1]Hybrid!S42</f>
        <v>6.7523153410000001</v>
      </c>
      <c r="U320" s="5">
        <f>[1]Hybrid!T42</f>
        <v>6.7708129479999997</v>
      </c>
      <c r="V320" s="5">
        <f>[1]Hybrid!U42</f>
        <v>6.766512853</v>
      </c>
      <c r="W320" s="5">
        <f>[1]Hybrid!V42</f>
        <v>6.7408087989999999</v>
      </c>
      <c r="X320" s="5">
        <f>[1]Hybrid!W42</f>
        <v>6.6959147320000003</v>
      </c>
      <c r="Y320" s="5">
        <f>[1]Hybrid!X42</f>
        <v>6.6335701130000002</v>
      </c>
      <c r="Z320" s="5">
        <f>[1]Hybrid!Y42</f>
        <v>6.5554689359999996</v>
      </c>
      <c r="AA320" s="5">
        <f>[1]Hybrid!Z42</f>
        <v>6.463246227</v>
      </c>
      <c r="AB320" s="5">
        <f>[1]Hybrid!AA42</f>
        <v>6.3578281299999997</v>
      </c>
      <c r="AC320" s="5">
        <f>[1]Hybrid!AB42</f>
        <v>6.2412307760000001</v>
      </c>
      <c r="AD320" s="5">
        <f>[1]Hybrid!AC42</f>
        <v>6.1149749030000002</v>
      </c>
      <c r="AE320" s="5">
        <f>[1]Hybrid!AD42</f>
        <v>5.9804872150000001</v>
      </c>
      <c r="AF320" s="5">
        <f>[1]Hybrid!AE42</f>
        <v>5.839093074</v>
      </c>
      <c r="AG320" s="5">
        <f>[1]Hybrid!AF42</f>
        <v>5.692017474</v>
      </c>
      <c r="AH320" s="5">
        <f>[1]Hybrid!AG42</f>
        <v>5.5403901070000003</v>
      </c>
      <c r="AI320" s="5">
        <f>[1]Hybrid!AH42</f>
        <v>5.3852487340000001</v>
      </c>
      <c r="AJ320" s="5">
        <f>[1]Hybrid!AI42</f>
        <v>5.2275443470000003</v>
      </c>
      <c r="AK320" s="5">
        <f>[1]Hybrid!AJ42</f>
        <v>5.0681466249999998</v>
      </c>
      <c r="AL320" s="5">
        <f>[1]Hybrid!AK42</f>
        <v>4.9078489120000004</v>
      </c>
      <c r="AM320" s="5">
        <f>[1]Hybrid!AL42</f>
        <v>4.7473456890000003</v>
      </c>
      <c r="AN320" s="5">
        <f>[1]Hybrid!AM42</f>
        <v>4.5873082270000003</v>
      </c>
      <c r="AO320" s="5">
        <f>[1]Hybrid!AN42</f>
        <v>4.4283381899999998</v>
      </c>
      <c r="AP320" s="5">
        <f>[1]Hybrid!AO42</f>
        <v>4.2709721590000003</v>
      </c>
      <c r="AQ320" s="5">
        <f>[1]Hybrid!AP42</f>
        <v>4.115685547</v>
      </c>
      <c r="AR320" s="5">
        <f>[1]Hybrid!AQ42</f>
        <v>3.9628966860000001</v>
      </c>
      <c r="AS320" s="5">
        <f>[1]Hybrid!AR42</f>
        <v>3.8129700309999999</v>
      </c>
      <c r="AT320" s="5">
        <f>[1]Hybrid!AS42</f>
        <v>3.666219629</v>
      </c>
      <c r="AU320" s="5">
        <f>[1]Hybrid!AT42</f>
        <v>3.5229125780000001</v>
      </c>
      <c r="AV320" s="5">
        <f>[1]Hybrid!AU42</f>
        <v>3.383272276</v>
      </c>
      <c r="AW320" s="5">
        <f>[1]Hybrid!AV42</f>
        <v>3.24748159</v>
      </c>
      <c r="AX320" s="5">
        <f>[1]Hybrid!AW42</f>
        <v>3.1156854709999999</v>
      </c>
      <c r="AY320" s="5">
        <f>[1]Hybrid!AX42</f>
        <v>2.9879939709999999</v>
      </c>
      <c r="AZ320" s="5">
        <f>[1]Hybrid!AY42</f>
        <v>2.8644849780000001</v>
      </c>
      <c r="BA320" s="5">
        <f>[1]Hybrid!AZ42</f>
        <v>2.7452068079999998</v>
      </c>
      <c r="BB320" s="5">
        <f>[1]Hybrid!BA42</f>
        <v>2.8822763779999998</v>
      </c>
      <c r="BC320" s="5">
        <f>[1]Hybrid!BB42</f>
        <v>2.7701985680000001</v>
      </c>
      <c r="BD320" s="5">
        <f>[1]Hybrid!BC42</f>
        <v>2.6618247959999999</v>
      </c>
      <c r="BE320" s="5">
        <f>[1]Hybrid!BD42</f>
        <v>2.5571370870000001</v>
      </c>
      <c r="BF320" s="5">
        <f>[1]Hybrid!BE42</f>
        <v>2.456102048</v>
      </c>
    </row>
    <row r="321" spans="1:58" x14ac:dyDescent="0.35">
      <c r="B321" s="5" t="str">
        <f>[1]Hybrid!A44</f>
        <v>auto_cg_cele_2</v>
      </c>
      <c r="C321" s="5">
        <f>[1]Hybrid!B44</f>
        <v>3.1066862139999998</v>
      </c>
      <c r="D321" s="5">
        <f>[1]Hybrid!C44</f>
        <v>4.06399826</v>
      </c>
      <c r="E321" s="5">
        <f>[1]Hybrid!D44</f>
        <v>5.0023052119999996</v>
      </c>
      <c r="F321" s="5">
        <f>[1]Hybrid!E44</f>
        <v>5.8862787020000003</v>
      </c>
      <c r="G321" s="5">
        <f>[1]Hybrid!F44</f>
        <v>6.6962912579999996</v>
      </c>
      <c r="H321" s="5">
        <f>[1]Hybrid!G44</f>
        <v>7.4226672770000004</v>
      </c>
      <c r="I321" s="5">
        <f>[1]Hybrid!H44</f>
        <v>8.0604784390000006</v>
      </c>
      <c r="J321" s="5">
        <f>[1]Hybrid!I44</f>
        <v>8.6101949219999998</v>
      </c>
      <c r="K321" s="5">
        <f>[1]Hybrid!J44</f>
        <v>9.0745507849999996</v>
      </c>
      <c r="L321" s="5">
        <f>[1]Hybrid!K44</f>
        <v>9.457610098</v>
      </c>
      <c r="M321" s="5">
        <f>[1]Hybrid!L44</f>
        <v>9.7652694320000002</v>
      </c>
      <c r="N321" s="5">
        <f>[1]Hybrid!M44</f>
        <v>10.00180254</v>
      </c>
      <c r="O321" s="5">
        <f>[1]Hybrid!N44</f>
        <v>10.17270171</v>
      </c>
      <c r="P321" s="5">
        <f>[1]Hybrid!O44</f>
        <v>10.28325504</v>
      </c>
      <c r="Q321" s="5">
        <f>[1]Hybrid!P44</f>
        <v>10.338718719999999</v>
      </c>
      <c r="R321" s="5">
        <f>[1]Hybrid!Q44</f>
        <v>10.344322719999999</v>
      </c>
      <c r="S321" s="5">
        <f>[1]Hybrid!R44</f>
        <v>10.305198130000001</v>
      </c>
      <c r="T321" s="5">
        <f>[1]Hybrid!S44</f>
        <v>10.22634459</v>
      </c>
      <c r="U321" s="5">
        <f>[1]Hybrid!T44</f>
        <v>10.11257621</v>
      </c>
      <c r="V321" s="5">
        <f>[1]Hybrid!U44</f>
        <v>9.9684720779999996</v>
      </c>
      <c r="W321" s="5">
        <f>[1]Hybrid!V44</f>
        <v>9.7979940540000001</v>
      </c>
      <c r="X321" s="5">
        <f>[1]Hybrid!W44</f>
        <v>9.605598208</v>
      </c>
      <c r="Y321" s="5">
        <f>[1]Hybrid!X44</f>
        <v>9.3949921300000003</v>
      </c>
      <c r="Z321" s="5">
        <f>[1]Hybrid!Y44</f>
        <v>9.1695652840000008</v>
      </c>
      <c r="AA321" s="5">
        <f>[1]Hybrid!Z44</f>
        <v>8.9323917579999996</v>
      </c>
      <c r="AB321" s="5">
        <f>[1]Hybrid!AA44</f>
        <v>8.6857837670000002</v>
      </c>
      <c r="AC321" s="5">
        <f>[1]Hybrid!AB44</f>
        <v>8.4326327760000002</v>
      </c>
      <c r="AD321" s="5">
        <f>[1]Hybrid!AC44</f>
        <v>8.1752170890000002</v>
      </c>
      <c r="AE321" s="5">
        <f>[1]Hybrid!AD44</f>
        <v>7.9155290789999997</v>
      </c>
      <c r="AF321" s="5">
        <f>[1]Hybrid!AE44</f>
        <v>7.6552938169999996</v>
      </c>
      <c r="AG321" s="5">
        <f>[1]Hybrid!AF44</f>
        <v>7.3959930150000002</v>
      </c>
      <c r="AH321" s="5">
        <f>[1]Hybrid!AG44</f>
        <v>7.1388898259999998</v>
      </c>
      <c r="AI321" s="5">
        <f>[1]Hybrid!AH44</f>
        <v>6.885050852</v>
      </c>
      <c r="AJ321" s="5">
        <f>[1]Hybrid!AI44</f>
        <v>6.6353672619999999</v>
      </c>
      <c r="AK321" s="5">
        <f>[1]Hybrid!AJ44</f>
        <v>6.390574397</v>
      </c>
      <c r="AL321" s="5">
        <f>[1]Hybrid!AK44</f>
        <v>6.1512695040000001</v>
      </c>
      <c r="AM321" s="5">
        <f>[1]Hybrid!AL44</f>
        <v>5.9179185490000004</v>
      </c>
      <c r="AN321" s="5">
        <f>[1]Hybrid!AM44</f>
        <v>5.6908970759999997</v>
      </c>
      <c r="AO321" s="5">
        <f>[1]Hybrid!AN44</f>
        <v>5.4704825689999996</v>
      </c>
      <c r="AP321" s="5">
        <f>[1]Hybrid!AO44</f>
        <v>5.2568672239999996</v>
      </c>
      <c r="AQ321" s="5">
        <f>[1]Hybrid!AP44</f>
        <v>5.0501695069999997</v>
      </c>
      <c r="AR321" s="5">
        <f>[1]Hybrid!AQ44</f>
        <v>4.8504446850000003</v>
      </c>
      <c r="AS321" s="5">
        <f>[1]Hybrid!AR44</f>
        <v>4.6576940970000003</v>
      </c>
      <c r="AT321" s="5">
        <f>[1]Hybrid!AS44</f>
        <v>4.4718735169999997</v>
      </c>
      <c r="AU321" s="5">
        <f>[1]Hybrid!AT44</f>
        <v>4.2929006750000003</v>
      </c>
      <c r="AV321" s="5">
        <f>[1]Hybrid!AU44</f>
        <v>4.1206619189999998</v>
      </c>
      <c r="AW321" s="5">
        <f>[1]Hybrid!AV44</f>
        <v>3.9550180570000002</v>
      </c>
      <c r="AX321" s="5">
        <f>[1]Hybrid!AW44</f>
        <v>3.7958096979999998</v>
      </c>
      <c r="AY321" s="5">
        <f>[1]Hybrid!AX44</f>
        <v>3.642861806</v>
      </c>
      <c r="AZ321" s="5">
        <f>[1]Hybrid!AY44</f>
        <v>3.495987693</v>
      </c>
      <c r="BA321" s="5">
        <f>[1]Hybrid!AZ44</f>
        <v>3.3549924760000001</v>
      </c>
      <c r="BB321" s="5">
        <f>[1]Hybrid!BA44</f>
        <v>3.284762427</v>
      </c>
      <c r="BC321" s="5">
        <f>[1]Hybrid!BB44</f>
        <v>3.1536470840000002</v>
      </c>
      <c r="BD321" s="5">
        <f>[1]Hybrid!BC44</f>
        <v>3.0276746650000002</v>
      </c>
      <c r="BE321" s="5">
        <f>[1]Hybrid!BD44</f>
        <v>2.9066671610000001</v>
      </c>
      <c r="BF321" s="5">
        <f>[1]Hybrid!BE44</f>
        <v>2.790447458</v>
      </c>
    </row>
    <row r="322" spans="1:58" x14ac:dyDescent="0.35">
      <c r="B322" s="5" t="str">
        <f>[1]Hybrid!A46</f>
        <v>auto_ca_cgas_2</v>
      </c>
      <c r="C322" s="5">
        <f>[1]Hybrid!B46</f>
        <v>0.42568169729999999</v>
      </c>
      <c r="D322" s="5">
        <f>[1]Hybrid!C46</f>
        <v>0.44896235299999998</v>
      </c>
      <c r="E322" s="5">
        <f>[1]Hybrid!D46</f>
        <v>0.47489273199999998</v>
      </c>
      <c r="F322" s="5">
        <f>[1]Hybrid!E46</f>
        <v>0.50238895829999997</v>
      </c>
      <c r="G322" s="5">
        <f>[1]Hybrid!F46</f>
        <v>0.53075414300000001</v>
      </c>
      <c r="H322" s="5">
        <f>[1]Hybrid!G46</f>
        <v>0.55956312129999997</v>
      </c>
      <c r="I322" s="5">
        <f>[1]Hybrid!H46</f>
        <v>0.58846685730000003</v>
      </c>
      <c r="J322" s="5">
        <f>[1]Hybrid!I46</f>
        <v>0.61731577820000005</v>
      </c>
      <c r="K322" s="5">
        <f>[1]Hybrid!J46</f>
        <v>0.6460217224</v>
      </c>
      <c r="L322" s="5">
        <f>[1]Hybrid!K46</f>
        <v>0.67453205930000004</v>
      </c>
      <c r="M322" s="5">
        <f>[1]Hybrid!L46</f>
        <v>0.70291119629999999</v>
      </c>
      <c r="N322" s="5">
        <f>[1]Hybrid!M46</f>
        <v>0.73104954300000002</v>
      </c>
      <c r="O322" s="5">
        <f>[1]Hybrid!N46</f>
        <v>0.75897246819999997</v>
      </c>
      <c r="P322" s="5">
        <f>[1]Hybrid!O46</f>
        <v>0.78668961140000004</v>
      </c>
      <c r="Q322" s="5">
        <f>[1]Hybrid!P46</f>
        <v>0.81420496269999998</v>
      </c>
      <c r="R322" s="5">
        <f>[1]Hybrid!Q46</f>
        <v>0.84151886840000001</v>
      </c>
      <c r="S322" s="5">
        <f>[1]Hybrid!R46</f>
        <v>0.86862495120000005</v>
      </c>
      <c r="T322" s="5">
        <f>[1]Hybrid!S46</f>
        <v>0.89551686060000002</v>
      </c>
      <c r="U322" s="5">
        <f>[1]Hybrid!T46</f>
        <v>0.92218862759999998</v>
      </c>
      <c r="V322" s="5">
        <f>[1]Hybrid!U46</f>
        <v>0.94863477480000002</v>
      </c>
      <c r="W322" s="5">
        <f>[1]Hybrid!V46</f>
        <v>0.97471435289999997</v>
      </c>
      <c r="X322" s="5">
        <f>[1]Hybrid!W46</f>
        <v>1.0005677550000001</v>
      </c>
      <c r="Y322" s="5">
        <f>[1]Hybrid!X46</f>
        <v>1.026196935</v>
      </c>
      <c r="Z322" s="5">
        <f>[1]Hybrid!Y46</f>
        <v>1.051607905</v>
      </c>
      <c r="AA322" s="5">
        <f>[1]Hybrid!Z46</f>
        <v>1.0768079399999999</v>
      </c>
      <c r="AB322" s="5">
        <f>[1]Hybrid!AA46</f>
        <v>1.101404067</v>
      </c>
      <c r="AC322" s="5">
        <f>[1]Hybrid!AB46</f>
        <v>1.125638374</v>
      </c>
      <c r="AD322" s="5">
        <f>[1]Hybrid!AC46</f>
        <v>1.149536197</v>
      </c>
      <c r="AE322" s="5">
        <f>[1]Hybrid!AD46</f>
        <v>1.1731316919999999</v>
      </c>
      <c r="AF322" s="5">
        <f>[1]Hybrid!AE46</f>
        <v>1.1964623000000001</v>
      </c>
      <c r="AG322" s="5">
        <f>[1]Hybrid!AF46</f>
        <v>1.2195657310000001</v>
      </c>
      <c r="AH322" s="5">
        <f>[1]Hybrid!AG46</f>
        <v>1.242479578</v>
      </c>
      <c r="AI322" s="5">
        <f>[1]Hybrid!AH46</f>
        <v>1.2652388569999999</v>
      </c>
      <c r="AJ322" s="5">
        <f>[1]Hybrid!AI46</f>
        <v>1.28787633</v>
      </c>
      <c r="AK322" s="5">
        <f>[1]Hybrid!AJ46</f>
        <v>1.31042323</v>
      </c>
      <c r="AL322" s="5">
        <f>[1]Hybrid!AK46</f>
        <v>1.3329098260000001</v>
      </c>
      <c r="AM322" s="5">
        <f>[1]Hybrid!AL46</f>
        <v>1.3552779939999999</v>
      </c>
      <c r="AN322" s="5">
        <f>[1]Hybrid!AM46</f>
        <v>1.377565318</v>
      </c>
      <c r="AO322" s="5">
        <f>[1]Hybrid!AN46</f>
        <v>1.399806138</v>
      </c>
      <c r="AP322" s="5">
        <f>[1]Hybrid!AO46</f>
        <v>1.4220364249999999</v>
      </c>
      <c r="AQ322" s="5">
        <f>[1]Hybrid!AP46</f>
        <v>1.4442940710000001</v>
      </c>
      <c r="AR322" s="5">
        <f>[1]Hybrid!AQ46</f>
        <v>1.4666195609999999</v>
      </c>
      <c r="AS322" s="5">
        <f>[1]Hybrid!AR46</f>
        <v>1.489051597</v>
      </c>
      <c r="AT322" s="5">
        <f>[1]Hybrid!AS46</f>
        <v>1.5116267130000001</v>
      </c>
      <c r="AU322" s="5">
        <f>[1]Hybrid!AT46</f>
        <v>1.5343796460000001</v>
      </c>
      <c r="AV322" s="5">
        <f>[1]Hybrid!AU46</f>
        <v>1.5573436540000001</v>
      </c>
      <c r="AW322" s="5">
        <f>[1]Hybrid!AV46</f>
        <v>1.5805667130000001</v>
      </c>
      <c r="AX322" s="5">
        <f>[1]Hybrid!AW46</f>
        <v>1.6040821110000001</v>
      </c>
      <c r="AY322" s="5">
        <f>[1]Hybrid!AX46</f>
        <v>1.6279197350000001</v>
      </c>
      <c r="AZ322" s="5">
        <f>[1]Hybrid!AY46</f>
        <v>1.6521088390000001</v>
      </c>
      <c r="BA322" s="5">
        <f>[1]Hybrid!AZ46</f>
        <v>1.676679324</v>
      </c>
      <c r="BB322" s="5">
        <f>[1]Hybrid!BA46</f>
        <v>1.8039206699999999</v>
      </c>
      <c r="BC322" s="5">
        <f>[1]Hybrid!BB46</f>
        <v>1.8325442700000001</v>
      </c>
      <c r="BD322" s="5">
        <f>[1]Hybrid!BC46</f>
        <v>1.861562003</v>
      </c>
      <c r="BE322" s="5">
        <f>[1]Hybrid!BD46</f>
        <v>1.8910015280000001</v>
      </c>
      <c r="BF322" s="5">
        <f>[1]Hybrid!BE46</f>
        <v>1.9208926319999999</v>
      </c>
    </row>
    <row r="323" spans="1:58" x14ac:dyDescent="0.35">
      <c r="B323" s="5" t="str">
        <f>[1]Hybrid!A48</f>
        <v>auto_cb_cgas_2</v>
      </c>
      <c r="C323" s="5">
        <f>[1]Hybrid!B48</f>
        <v>0.49500522540000003</v>
      </c>
      <c r="D323" s="5">
        <f>[1]Hybrid!C48</f>
        <v>0.51191266040000005</v>
      </c>
      <c r="E323" s="5">
        <f>[1]Hybrid!D48</f>
        <v>0.53162219450000003</v>
      </c>
      <c r="F323" s="5">
        <f>[1]Hybrid!E48</f>
        <v>0.55305243569999996</v>
      </c>
      <c r="G323" s="5">
        <f>[1]Hybrid!F48</f>
        <v>0.57550115420000003</v>
      </c>
      <c r="H323" s="5">
        <f>[1]Hybrid!G48</f>
        <v>0.59853168720000005</v>
      </c>
      <c r="I323" s="5">
        <f>[1]Hybrid!H48</f>
        <v>0.62178481519999995</v>
      </c>
      <c r="J323" s="5">
        <f>[1]Hybrid!I48</f>
        <v>0.64509490940000003</v>
      </c>
      <c r="K323" s="5">
        <f>[1]Hybrid!J48</f>
        <v>0.66835742139999998</v>
      </c>
      <c r="L323" s="5">
        <f>[1]Hybrid!K48</f>
        <v>0.69150362249999997</v>
      </c>
      <c r="M323" s="5">
        <f>[1]Hybrid!L48</f>
        <v>0.71457696979999996</v>
      </c>
      <c r="N323" s="5">
        <f>[1]Hybrid!M48</f>
        <v>0.73745819180000005</v>
      </c>
      <c r="O323" s="5">
        <f>[1]Hybrid!N48</f>
        <v>0.76015531069999998</v>
      </c>
      <c r="P323" s="5">
        <f>[1]Hybrid!O48</f>
        <v>0.78266210960000004</v>
      </c>
      <c r="Q323" s="5">
        <f>[1]Hybrid!P48</f>
        <v>0.80496797190000002</v>
      </c>
      <c r="R323" s="5">
        <f>[1]Hybrid!Q48</f>
        <v>0.82705993560000002</v>
      </c>
      <c r="S323" s="5">
        <f>[1]Hybrid!R48</f>
        <v>0.84891989339999996</v>
      </c>
      <c r="T323" s="5">
        <f>[1]Hybrid!S48</f>
        <v>0.87053079909999997</v>
      </c>
      <c r="U323" s="5">
        <f>[1]Hybrid!T48</f>
        <v>0.8918769218</v>
      </c>
      <c r="V323" s="5">
        <f>[1]Hybrid!U48</f>
        <v>0.91294384529999995</v>
      </c>
      <c r="W323" s="5">
        <f>[1]Hybrid!V48</f>
        <v>0.93359479469999995</v>
      </c>
      <c r="X323" s="5">
        <f>[1]Hybrid!W48</f>
        <v>0.95395023729999995</v>
      </c>
      <c r="Y323" s="5">
        <f>[1]Hybrid!X48</f>
        <v>0.97400459419999996</v>
      </c>
      <c r="Z323" s="5">
        <f>[1]Hybrid!Y48</f>
        <v>0.9937563317</v>
      </c>
      <c r="AA323" s="5">
        <f>[1]Hybrid!Z48</f>
        <v>1.0132053990000001</v>
      </c>
      <c r="AB323" s="5">
        <f>[1]Hybrid!AA48</f>
        <v>1.031995013</v>
      </c>
      <c r="AC323" s="5">
        <f>[1]Hybrid!AB48</f>
        <v>1.050338515</v>
      </c>
      <c r="AD323" s="5">
        <f>[1]Hybrid!AC48</f>
        <v>1.0682548439999999</v>
      </c>
      <c r="AE323" s="5">
        <f>[1]Hybrid!AD48</f>
        <v>1.085770583</v>
      </c>
      <c r="AF323" s="5">
        <f>[1]Hybrid!AE48</f>
        <v>1.1029149380000001</v>
      </c>
      <c r="AG323" s="5">
        <f>[1]Hybrid!AF48</f>
        <v>1.119717045</v>
      </c>
      <c r="AH323" s="5">
        <f>[1]Hybrid!AG48</f>
        <v>1.136205613</v>
      </c>
      <c r="AI323" s="5">
        <f>[1]Hybrid!AH48</f>
        <v>1.152406778</v>
      </c>
      <c r="AJ323" s="5">
        <f>[1]Hybrid!AI48</f>
        <v>1.1683443659999999</v>
      </c>
      <c r="AK323" s="5">
        <f>[1]Hybrid!AJ48</f>
        <v>1.184040545</v>
      </c>
      <c r="AL323" s="5">
        <f>[1]Hybrid!AK48</f>
        <v>1.1995163019999999</v>
      </c>
      <c r="AM323" s="5">
        <f>[1]Hybrid!AL48</f>
        <v>1.214717059</v>
      </c>
      <c r="AN323" s="5">
        <f>[1]Hybrid!AM48</f>
        <v>1.229670483</v>
      </c>
      <c r="AO323" s="5">
        <f>[1]Hybrid!AN48</f>
        <v>1.2444010649999999</v>
      </c>
      <c r="AP323" s="5">
        <f>[1]Hybrid!AO48</f>
        <v>1.2589341839999999</v>
      </c>
      <c r="AQ323" s="5">
        <f>[1]Hybrid!AP48</f>
        <v>1.2732963180000001</v>
      </c>
      <c r="AR323" s="5">
        <f>[1]Hybrid!AQ48</f>
        <v>1.2875156210000001</v>
      </c>
      <c r="AS323" s="5">
        <f>[1]Hybrid!AR48</f>
        <v>1.30161828</v>
      </c>
      <c r="AT323" s="5">
        <f>[1]Hybrid!AS48</f>
        <v>1.315628198</v>
      </c>
      <c r="AU323" s="5">
        <f>[1]Hybrid!AT48</f>
        <v>1.3295673320000001</v>
      </c>
      <c r="AV323" s="5">
        <f>[1]Hybrid!AU48</f>
        <v>1.343455984</v>
      </c>
      <c r="AW323" s="5">
        <f>[1]Hybrid!AV48</f>
        <v>1.357325981</v>
      </c>
      <c r="AX323" s="5">
        <f>[1]Hybrid!AW48</f>
        <v>1.3711966929999999</v>
      </c>
      <c r="AY323" s="5">
        <f>[1]Hybrid!AX48</f>
        <v>1.3850842290000001</v>
      </c>
      <c r="AZ323" s="5">
        <f>[1]Hybrid!AY48</f>
        <v>1.399003717</v>
      </c>
      <c r="BA323" s="5">
        <f>[1]Hybrid!AZ48</f>
        <v>1.4129703730000001</v>
      </c>
      <c r="BB323" s="5">
        <f>[1]Hybrid!BA48</f>
        <v>1.5039197900000001</v>
      </c>
      <c r="BC323" s="5">
        <f>[1]Hybrid!BB48</f>
        <v>1.519912972</v>
      </c>
      <c r="BD323" s="5">
        <f>[1]Hybrid!BC48</f>
        <v>1.5358993460000001</v>
      </c>
      <c r="BE323" s="5">
        <f>[1]Hybrid!BD48</f>
        <v>1.551891216</v>
      </c>
      <c r="BF323" s="5">
        <f>[1]Hybrid!BE48</f>
        <v>1.567902049</v>
      </c>
    </row>
    <row r="324" spans="1:58" x14ac:dyDescent="0.35">
      <c r="B324" s="5" t="str">
        <f>[1]Hybrid!A50</f>
        <v>auto_cc_cgas_2</v>
      </c>
      <c r="C324" s="5">
        <f>[1]Hybrid!B50</f>
        <v>0.40659851759999999</v>
      </c>
      <c r="D324" s="5">
        <f>[1]Hybrid!C50</f>
        <v>0.41427136939999998</v>
      </c>
      <c r="E324" s="5">
        <f>[1]Hybrid!D50</f>
        <v>0.42407950189999999</v>
      </c>
      <c r="F324" s="5">
        <f>[1]Hybrid!E50</f>
        <v>0.43524556440000001</v>
      </c>
      <c r="G324" s="5">
        <f>[1]Hybrid!F50</f>
        <v>0.447260096</v>
      </c>
      <c r="H324" s="5">
        <f>[1]Hybrid!G50</f>
        <v>0.4598008361</v>
      </c>
      <c r="I324" s="5">
        <f>[1]Hybrid!H50</f>
        <v>0.47260223239999999</v>
      </c>
      <c r="J324" s="5">
        <f>[1]Hybrid!I50</f>
        <v>0.48553427240000002</v>
      </c>
      <c r="K324" s="5">
        <f>[1]Hybrid!J50</f>
        <v>0.49851076649999998</v>
      </c>
      <c r="L324" s="5">
        <f>[1]Hybrid!K50</f>
        <v>0.51147157379999997</v>
      </c>
      <c r="M324" s="5">
        <f>[1]Hybrid!L50</f>
        <v>0.52443418500000005</v>
      </c>
      <c r="N324" s="5">
        <f>[1]Hybrid!M50</f>
        <v>0.53730645690000001</v>
      </c>
      <c r="O324" s="5">
        <f>[1]Hybrid!N50</f>
        <v>0.55008294830000004</v>
      </c>
      <c r="P324" s="5">
        <f>[1]Hybrid!O50</f>
        <v>0.56274905689999999</v>
      </c>
      <c r="Q324" s="5">
        <f>[1]Hybrid!P50</f>
        <v>0.57528792890000002</v>
      </c>
      <c r="R324" s="5">
        <f>[1]Hybrid!Q50</f>
        <v>0.58768195779999999</v>
      </c>
      <c r="S324" s="5">
        <f>[1]Hybrid!R50</f>
        <v>0.59991094099999998</v>
      </c>
      <c r="T324" s="5">
        <f>[1]Hybrid!S50</f>
        <v>0.61195618780000005</v>
      </c>
      <c r="U324" s="5">
        <f>[1]Hybrid!T50</f>
        <v>0.62380063220000004</v>
      </c>
      <c r="V324" s="5">
        <f>[1]Hybrid!U50</f>
        <v>0.63542875629999995</v>
      </c>
      <c r="W324" s="5">
        <f>[1]Hybrid!V50</f>
        <v>0.64674542739999996</v>
      </c>
      <c r="X324" s="5">
        <f>[1]Hybrid!W50</f>
        <v>0.65782528419999997</v>
      </c>
      <c r="Y324" s="5">
        <f>[1]Hybrid!X50</f>
        <v>0.66866027319999999</v>
      </c>
      <c r="Z324" s="5">
        <f>[1]Hybrid!Y50</f>
        <v>0.67924532130000004</v>
      </c>
      <c r="AA324" s="5">
        <f>[1]Hybrid!Z50</f>
        <v>0.68957663810000003</v>
      </c>
      <c r="AB324" s="5">
        <f>[1]Hybrid!AA50</f>
        <v>0.6994211092</v>
      </c>
      <c r="AC324" s="5">
        <f>[1]Hybrid!AB50</f>
        <v>0.70891498379999995</v>
      </c>
      <c r="AD324" s="5">
        <f>[1]Hybrid!AC50</f>
        <v>0.71806877719999995</v>
      </c>
      <c r="AE324" s="5">
        <f>[1]Hybrid!AD50</f>
        <v>0.72689785659999995</v>
      </c>
      <c r="AF324" s="5">
        <f>[1]Hybrid!AE50</f>
        <v>0.73541915869999996</v>
      </c>
      <c r="AG324" s="5">
        <f>[1]Hybrid!AF50</f>
        <v>0.7436494575</v>
      </c>
      <c r="AH324" s="5">
        <f>[1]Hybrid!AG50</f>
        <v>0.75160513620000002</v>
      </c>
      <c r="AI324" s="5">
        <f>[1]Hybrid!AH50</f>
        <v>0.75930083120000003</v>
      </c>
      <c r="AJ324" s="5">
        <f>[1]Hybrid!AI50</f>
        <v>0.76674960540000003</v>
      </c>
      <c r="AK324" s="5">
        <f>[1]Hybrid!AJ50</f>
        <v>0.77396335969999996</v>
      </c>
      <c r="AL324" s="5">
        <f>[1]Hybrid!AK50</f>
        <v>0.78095314510000002</v>
      </c>
      <c r="AM324" s="5">
        <f>[1]Hybrid!AL50</f>
        <v>0.787683472</v>
      </c>
      <c r="AN324" s="5">
        <f>[1]Hybrid!AM50</f>
        <v>0.79416996049999999</v>
      </c>
      <c r="AO324" s="5">
        <f>[1]Hybrid!AN50</f>
        <v>0.80042611880000003</v>
      </c>
      <c r="AP324" s="5">
        <f>[1]Hybrid!AO50</f>
        <v>0.8064657945</v>
      </c>
      <c r="AQ324" s="5">
        <f>[1]Hybrid!AP50</f>
        <v>0.8123032992</v>
      </c>
      <c r="AR324" s="5">
        <f>[1]Hybrid!AQ50</f>
        <v>0.81795376659999997</v>
      </c>
      <c r="AS324" s="5">
        <f>[1]Hybrid!AR50</f>
        <v>0.82343096920000003</v>
      </c>
      <c r="AT324" s="5">
        <f>[1]Hybrid!AS50</f>
        <v>0.82874714329999999</v>
      </c>
      <c r="AU324" s="5">
        <f>[1]Hybrid!AT50</f>
        <v>0.83391321340000002</v>
      </c>
      <c r="AV324" s="5">
        <f>[1]Hybrid!AU50</f>
        <v>0.83893898889999996</v>
      </c>
      <c r="AW324" s="5">
        <f>[1]Hybrid!AV50</f>
        <v>0.84384091729999999</v>
      </c>
      <c r="AX324" s="5">
        <f>[1]Hybrid!AW50</f>
        <v>0.84862796650000005</v>
      </c>
      <c r="AY324" s="5">
        <f>[1]Hybrid!AX50</f>
        <v>0.85330704690000003</v>
      </c>
      <c r="AZ324" s="5">
        <f>[1]Hybrid!AY50</f>
        <v>0.85788437070000001</v>
      </c>
      <c r="BA324" s="5">
        <f>[1]Hybrid!AZ50</f>
        <v>0.86236610520000001</v>
      </c>
      <c r="BB324" s="5">
        <f>[1]Hybrid!BA50</f>
        <v>0.90839681500000002</v>
      </c>
      <c r="BC324" s="5">
        <f>[1]Hybrid!BB50</f>
        <v>0.91344917969999995</v>
      </c>
      <c r="BD324" s="5">
        <f>[1]Hybrid!BC50</f>
        <v>0.9183529225</v>
      </c>
      <c r="BE324" s="5">
        <f>[1]Hybrid!BD50</f>
        <v>0.92311309210000003</v>
      </c>
      <c r="BF324" s="5">
        <f>[1]Hybrid!BE50</f>
        <v>0.92773529450000003</v>
      </c>
    </row>
    <row r="325" spans="1:58" x14ac:dyDescent="0.35">
      <c r="B325" s="5" t="str">
        <f>[1]Hybrid!A52</f>
        <v>auto_cd_cgas_2</v>
      </c>
      <c r="C325" s="5">
        <f>[1]Hybrid!B52</f>
        <v>0.2495444651</v>
      </c>
      <c r="D325" s="5">
        <f>[1]Hybrid!C52</f>
        <v>0.25219966310000003</v>
      </c>
      <c r="E325" s="5">
        <f>[1]Hybrid!D52</f>
        <v>0.25599337519999998</v>
      </c>
      <c r="F325" s="5">
        <f>[1]Hybrid!E52</f>
        <v>0.26045688379999998</v>
      </c>
      <c r="G325" s="5">
        <f>[1]Hybrid!F52</f>
        <v>0.26528285619999997</v>
      </c>
      <c r="H325" s="5">
        <f>[1]Hybrid!G52</f>
        <v>0.27027519570000003</v>
      </c>
      <c r="I325" s="5">
        <f>[1]Hybrid!H52</f>
        <v>0.27527583249999998</v>
      </c>
      <c r="J325" s="5">
        <f>[1]Hybrid!I52</f>
        <v>0.28020432470000001</v>
      </c>
      <c r="K325" s="5">
        <f>[1]Hybrid!J52</f>
        <v>0.2850070173</v>
      </c>
      <c r="L325" s="5">
        <f>[1]Hybrid!K52</f>
        <v>0.28964648900000001</v>
      </c>
      <c r="M325" s="5">
        <f>[1]Hybrid!L52</f>
        <v>0.29412704109999999</v>
      </c>
      <c r="N325" s="5">
        <f>[1]Hybrid!M52</f>
        <v>0.29839840540000001</v>
      </c>
      <c r="O325" s="5">
        <f>[1]Hybrid!N52</f>
        <v>0.30245403160000001</v>
      </c>
      <c r="P325" s="5">
        <f>[1]Hybrid!O52</f>
        <v>0.30628311390000001</v>
      </c>
      <c r="Q325" s="5">
        <f>[1]Hybrid!P52</f>
        <v>0.30987465609999998</v>
      </c>
      <c r="R325" s="5">
        <f>[1]Hybrid!Q52</f>
        <v>0.31321848819999998</v>
      </c>
      <c r="S325" s="5">
        <f>[1]Hybrid!R52</f>
        <v>0.31630446709999999</v>
      </c>
      <c r="T325" s="5">
        <f>[1]Hybrid!S52</f>
        <v>0.3191243299</v>
      </c>
      <c r="U325" s="5">
        <f>[1]Hybrid!T52</f>
        <v>0.3216716329</v>
      </c>
      <c r="V325" s="5">
        <f>[1]Hybrid!U52</f>
        <v>0.3239415658</v>
      </c>
      <c r="W325" s="5">
        <f>[1]Hybrid!V52</f>
        <v>0.32589573649999998</v>
      </c>
      <c r="X325" s="5">
        <f>[1]Hybrid!W52</f>
        <v>0.3275708718</v>
      </c>
      <c r="Y325" s="5">
        <f>[1]Hybrid!X52</f>
        <v>0.32896748809999998</v>
      </c>
      <c r="Z325" s="5">
        <f>[1]Hybrid!Y52</f>
        <v>0.33008767300000003</v>
      </c>
      <c r="AA325" s="5">
        <f>[1]Hybrid!Z52</f>
        <v>0.33093433490000002</v>
      </c>
      <c r="AB325" s="5">
        <f>[1]Hybrid!AA52</f>
        <v>0.33141963349999998</v>
      </c>
      <c r="AC325" s="5">
        <f>[1]Hybrid!AB52</f>
        <v>0.33160633950000001</v>
      </c>
      <c r="AD325" s="5">
        <f>[1]Hybrid!AC52</f>
        <v>0.33150587790000002</v>
      </c>
      <c r="AE325" s="5">
        <f>[1]Hybrid!AD52</f>
        <v>0.33113116869999998</v>
      </c>
      <c r="AF325" s="5">
        <f>[1]Hybrid!AE52</f>
        <v>0.33049527049999999</v>
      </c>
      <c r="AG325" s="5">
        <f>[1]Hybrid!AF52</f>
        <v>0.32961073629999998</v>
      </c>
      <c r="AH325" s="5">
        <f>[1]Hybrid!AG52</f>
        <v>0.32848956169999999</v>
      </c>
      <c r="AI325" s="5">
        <f>[1]Hybrid!AH52</f>
        <v>0.32714273300000002</v>
      </c>
      <c r="AJ325" s="5">
        <f>[1]Hybrid!AI52</f>
        <v>0.32558032650000002</v>
      </c>
      <c r="AK325" s="5">
        <f>[1]Hybrid!AJ52</f>
        <v>0.32381169650000002</v>
      </c>
      <c r="AL325" s="5">
        <f>[1]Hybrid!AK52</f>
        <v>0.32184562750000001</v>
      </c>
      <c r="AM325" s="5">
        <f>[1]Hybrid!AL52</f>
        <v>0.3196757885</v>
      </c>
      <c r="AN325" s="5">
        <f>[1]Hybrid!AM52</f>
        <v>0.31731296549999999</v>
      </c>
      <c r="AO325" s="5">
        <f>[1]Hybrid!AN52</f>
        <v>0.31476694490000001</v>
      </c>
      <c r="AP325" s="5">
        <f>[1]Hybrid!AO52</f>
        <v>0.312047254</v>
      </c>
      <c r="AQ325" s="5">
        <f>[1]Hybrid!AP52</f>
        <v>0.3091632171</v>
      </c>
      <c r="AR325" s="5">
        <f>[1]Hybrid!AQ52</f>
        <v>0.30612409889999997</v>
      </c>
      <c r="AS325" s="5">
        <f>[1]Hybrid!AR52</f>
        <v>0.3029385081</v>
      </c>
      <c r="AT325" s="5">
        <f>[1]Hybrid!AS52</f>
        <v>0.29961438000000001</v>
      </c>
      <c r="AU325" s="5">
        <f>[1]Hybrid!AT52</f>
        <v>0.29615908689999998</v>
      </c>
      <c r="AV325" s="5">
        <f>[1]Hybrid!AU52</f>
        <v>0.29257953510000001</v>
      </c>
      <c r="AW325" s="5">
        <f>[1]Hybrid!AV52</f>
        <v>0.28888418799999999</v>
      </c>
      <c r="AX325" s="5">
        <f>[1]Hybrid!AW52</f>
        <v>0.28507940510000002</v>
      </c>
      <c r="AY325" s="5">
        <f>[1]Hybrid!AX52</f>
        <v>0.28117086990000001</v>
      </c>
      <c r="AZ325" s="5">
        <f>[1]Hybrid!AY52</f>
        <v>0.27716397129999998</v>
      </c>
      <c r="BA325" s="5">
        <f>[1]Hybrid!AZ52</f>
        <v>0.27306400130000003</v>
      </c>
      <c r="BB325" s="5">
        <f>[1]Hybrid!BA52</f>
        <v>0.27581100089999999</v>
      </c>
      <c r="BC325" s="5">
        <f>[1]Hybrid!BB52</f>
        <v>0.27146094479999999</v>
      </c>
      <c r="BD325" s="5">
        <f>[1]Hybrid!BC52</f>
        <v>0.26701789739999998</v>
      </c>
      <c r="BE325" s="5">
        <f>[1]Hybrid!BD52</f>
        <v>0.26248832030000002</v>
      </c>
      <c r="BF325" s="5">
        <f>[1]Hybrid!BE52</f>
        <v>0.25787865199999999</v>
      </c>
    </row>
    <row r="326" spans="1:58" x14ac:dyDescent="0.35">
      <c r="B326" s="5" t="str">
        <f>[1]Hybrid!A54</f>
        <v>auto_ce_cgas_2</v>
      </c>
      <c r="C326" s="5">
        <f>[1]Hybrid!B54</f>
        <v>0.15020246549999999</v>
      </c>
      <c r="D326" s="5">
        <f>[1]Hybrid!C54</f>
        <v>0.15199563420000001</v>
      </c>
      <c r="E326" s="5">
        <f>[1]Hybrid!D54</f>
        <v>0.15440071650000001</v>
      </c>
      <c r="F326" s="5">
        <f>[1]Hybrid!E54</f>
        <v>0.15711415149999999</v>
      </c>
      <c r="G326" s="5">
        <f>[1]Hybrid!F54</f>
        <v>0.15993894750000001</v>
      </c>
      <c r="H326" s="5">
        <f>[1]Hybrid!G54</f>
        <v>0.16275079670000001</v>
      </c>
      <c r="I326" s="5">
        <f>[1]Hybrid!H54</f>
        <v>0.16545245610000001</v>
      </c>
      <c r="J326" s="5">
        <f>[1]Hybrid!I54</f>
        <v>0.1679958422</v>
      </c>
      <c r="K326" s="5">
        <f>[1]Hybrid!J54</f>
        <v>0.170350687</v>
      </c>
      <c r="L326" s="5">
        <f>[1]Hybrid!K54</f>
        <v>0.17249762769999999</v>
      </c>
      <c r="M326" s="5">
        <f>[1]Hybrid!L54</f>
        <v>0.17444225360000001</v>
      </c>
      <c r="N326" s="5">
        <f>[1]Hybrid!M54</f>
        <v>0.17615968470000001</v>
      </c>
      <c r="O326" s="5">
        <f>[1]Hybrid!N54</f>
        <v>0.17764976569999999</v>
      </c>
      <c r="P326" s="5">
        <f>[1]Hybrid!O54</f>
        <v>0.17891014220000001</v>
      </c>
      <c r="Q326" s="5">
        <f>[1]Hybrid!P54</f>
        <v>0.1799388267</v>
      </c>
      <c r="R326" s="5">
        <f>[1]Hybrid!Q54</f>
        <v>0.18073486529999999</v>
      </c>
      <c r="S326" s="5">
        <f>[1]Hybrid!R54</f>
        <v>0.18129791000000001</v>
      </c>
      <c r="T326" s="5">
        <f>[1]Hybrid!S54</f>
        <v>0.18162912549999999</v>
      </c>
      <c r="U326" s="5">
        <f>[1]Hybrid!T54</f>
        <v>0.18173106389999999</v>
      </c>
      <c r="V326" s="5">
        <f>[1]Hybrid!U54</f>
        <v>0.18160746210000001</v>
      </c>
      <c r="W326" s="5">
        <f>[1]Hybrid!V54</f>
        <v>0.1812458166</v>
      </c>
      <c r="X326" s="5">
        <f>[1]Hybrid!W54</f>
        <v>0.18067123979999999</v>
      </c>
      <c r="Y326" s="5">
        <f>[1]Hybrid!X54</f>
        <v>0.1798906726</v>
      </c>
      <c r="Z326" s="5">
        <f>[1]Hybrid!Y54</f>
        <v>0.1789118062</v>
      </c>
      <c r="AA326" s="5">
        <f>[1]Hybrid!Z54</f>
        <v>0.17774269610000001</v>
      </c>
      <c r="AB326" s="5">
        <f>[1]Hybrid!AA54</f>
        <v>0.1763499825</v>
      </c>
      <c r="AC326" s="5">
        <f>[1]Hybrid!AB54</f>
        <v>0.17477042640000001</v>
      </c>
      <c r="AD326" s="5">
        <f>[1]Hybrid!AC54</f>
        <v>0.17301654550000001</v>
      </c>
      <c r="AE326" s="5">
        <f>[1]Hybrid!AD54</f>
        <v>0.17110114430000001</v>
      </c>
      <c r="AF326" s="5">
        <f>[1]Hybrid!AE54</f>
        <v>0.16903668999999999</v>
      </c>
      <c r="AG326" s="5">
        <f>[1]Hybrid!AF54</f>
        <v>0.16683505200000001</v>
      </c>
      <c r="AH326" s="5">
        <f>[1]Hybrid!AG54</f>
        <v>0.16450750759999999</v>
      </c>
      <c r="AI326" s="5">
        <f>[1]Hybrid!AH54</f>
        <v>0.16206458069999999</v>
      </c>
      <c r="AJ326" s="5">
        <f>[1]Hybrid!AI54</f>
        <v>0.15951611060000001</v>
      </c>
      <c r="AK326" s="5">
        <f>[1]Hybrid!AJ54</f>
        <v>0.15687135760000001</v>
      </c>
      <c r="AL326" s="5">
        <f>[1]Hybrid!AK54</f>
        <v>0.15413909049999999</v>
      </c>
      <c r="AM326" s="5">
        <f>[1]Hybrid!AL54</f>
        <v>0.1513221431</v>
      </c>
      <c r="AN326" s="5">
        <f>[1]Hybrid!AM54</f>
        <v>0.1484298788</v>
      </c>
      <c r="AO326" s="5">
        <f>[1]Hybrid!AN54</f>
        <v>0.14547099899999999</v>
      </c>
      <c r="AP326" s="5">
        <f>[1]Hybrid!AO54</f>
        <v>0.14245381909999999</v>
      </c>
      <c r="AQ326" s="5">
        <f>[1]Hybrid!AP54</f>
        <v>0.13938630599999999</v>
      </c>
      <c r="AR326" s="5">
        <f>[1]Hybrid!AQ54</f>
        <v>0.13627615000000001</v>
      </c>
      <c r="AS326" s="5">
        <f>[1]Hybrid!AR54</f>
        <v>0.1331305773</v>
      </c>
      <c r="AT326" s="5">
        <f>[1]Hybrid!AS54</f>
        <v>0.1299563604</v>
      </c>
      <c r="AU326" s="5">
        <f>[1]Hybrid!AT54</f>
        <v>0.12675987480000001</v>
      </c>
      <c r="AV326" s="5">
        <f>[1]Hybrid!AU54</f>
        <v>0.12354714629999999</v>
      </c>
      <c r="AW326" s="5">
        <f>[1]Hybrid!AV54</f>
        <v>0.12032449100000001</v>
      </c>
      <c r="AX326" s="5">
        <f>[1]Hybrid!AW54</f>
        <v>0.1170973698</v>
      </c>
      <c r="AY326" s="5">
        <f>[1]Hybrid!AX54</f>
        <v>0.11387084629999999</v>
      </c>
      <c r="AZ326" s="5">
        <f>[1]Hybrid!AY54</f>
        <v>0.1106497166</v>
      </c>
      <c r="BA326" s="5">
        <f>[1]Hybrid!AZ54</f>
        <v>0.1074385796</v>
      </c>
      <c r="BB326" s="5">
        <f>[1]Hybrid!BA54</f>
        <v>0.1050646423</v>
      </c>
      <c r="BC326" s="5">
        <f>[1]Hybrid!BB54</f>
        <v>0.1018301482</v>
      </c>
      <c r="BD326" s="5">
        <f>[1]Hybrid!BC54</f>
        <v>9.8617462000000003E-2</v>
      </c>
      <c r="BE326" s="5">
        <f>[1]Hybrid!BD54</f>
        <v>9.5431064800000007E-2</v>
      </c>
      <c r="BF326" s="5">
        <f>[1]Hybrid!BE54</f>
        <v>9.2275199700000005E-2</v>
      </c>
    </row>
    <row r="327" spans="1:58" x14ac:dyDescent="0.35">
      <c r="B327" s="5" t="str">
        <f>[1]Hybrid!A56</f>
        <v>auto_cf_cgas_2</v>
      </c>
      <c r="C327" s="5">
        <f>[1]Hybrid!B56</f>
        <v>7.4609436000000001E-2</v>
      </c>
      <c r="D327" s="5">
        <f>[1]Hybrid!C56</f>
        <v>7.5273424399999997E-2</v>
      </c>
      <c r="E327" s="5">
        <f>[1]Hybrid!D56</f>
        <v>7.61154094E-2</v>
      </c>
      <c r="F327" s="5">
        <f>[1]Hybrid!E56</f>
        <v>7.6966166200000005E-2</v>
      </c>
      <c r="G327" s="5">
        <f>[1]Hybrid!F56</f>
        <v>7.7722054400000004E-2</v>
      </c>
      <c r="H327" s="5">
        <f>[1]Hybrid!G56</f>
        <v>7.83229441E-2</v>
      </c>
      <c r="I327" s="5">
        <f>[1]Hybrid!H56</f>
        <v>7.8728552800000004E-2</v>
      </c>
      <c r="J327" s="5">
        <f>[1]Hybrid!I56</f>
        <v>7.8925003600000002E-2</v>
      </c>
      <c r="K327" s="5">
        <f>[1]Hybrid!J56</f>
        <v>7.8909232800000007E-2</v>
      </c>
      <c r="L327" s="5">
        <f>[1]Hybrid!K56</f>
        <v>7.86847512E-2</v>
      </c>
      <c r="M327" s="5">
        <f>[1]Hybrid!L56</f>
        <v>7.8265822099999993E-2</v>
      </c>
      <c r="N327" s="5">
        <f>[1]Hybrid!M56</f>
        <v>7.7656169499999997E-2</v>
      </c>
      <c r="O327" s="5">
        <f>[1]Hybrid!N56</f>
        <v>7.6868208800000004E-2</v>
      </c>
      <c r="P327" s="5">
        <f>[1]Hybrid!O56</f>
        <v>7.5913578499999995E-2</v>
      </c>
      <c r="Q327" s="5">
        <f>[1]Hybrid!P56</f>
        <v>7.4804255799999997E-2</v>
      </c>
      <c r="R327" s="5">
        <f>[1]Hybrid!Q56</f>
        <v>7.3552763399999999E-2</v>
      </c>
      <c r="S327" s="5">
        <f>[1]Hybrid!R56</f>
        <v>7.2171913399999996E-2</v>
      </c>
      <c r="T327" s="5">
        <f>[1]Hybrid!S56</f>
        <v>7.0674872400000005E-2</v>
      </c>
      <c r="U327" s="5">
        <f>[1]Hybrid!T56</f>
        <v>6.9074939399999993E-2</v>
      </c>
      <c r="V327" s="5">
        <f>[1]Hybrid!U56</f>
        <v>6.7385319700000001E-2</v>
      </c>
      <c r="W327" s="5">
        <f>[1]Hybrid!V56</f>
        <v>6.5615188000000005E-2</v>
      </c>
      <c r="X327" s="5">
        <f>[1]Hybrid!W56</f>
        <v>6.3781641799999997E-2</v>
      </c>
      <c r="Y327" s="5">
        <f>[1]Hybrid!X56</f>
        <v>6.1896758099999998E-2</v>
      </c>
      <c r="Z327" s="5">
        <f>[1]Hybrid!Y56</f>
        <v>5.9971988599999998E-2</v>
      </c>
      <c r="AA327" s="5">
        <f>[1]Hybrid!Z56</f>
        <v>5.8018076299999999E-2</v>
      </c>
      <c r="AB327" s="5">
        <f>[1]Hybrid!AA56</f>
        <v>5.6038129700000001E-2</v>
      </c>
      <c r="AC327" s="5">
        <f>[1]Hybrid!AB56</f>
        <v>5.4046954299999998E-2</v>
      </c>
      <c r="AD327" s="5">
        <f>[1]Hybrid!AC56</f>
        <v>5.2054065500000003E-2</v>
      </c>
      <c r="AE327" s="5">
        <f>[1]Hybrid!AD56</f>
        <v>5.0068083999999999E-2</v>
      </c>
      <c r="AF327" s="5">
        <f>[1]Hybrid!AE56</f>
        <v>4.8096692500000003E-2</v>
      </c>
      <c r="AG327" s="5">
        <f>[1]Hybrid!AF56</f>
        <v>4.61466694E-2</v>
      </c>
      <c r="AH327" s="5">
        <f>[1]Hybrid!AG56</f>
        <v>4.4223960700000002E-2</v>
      </c>
      <c r="AI327" s="5">
        <f>[1]Hybrid!AH56</f>
        <v>4.2333726699999998E-2</v>
      </c>
      <c r="AJ327" s="5">
        <f>[1]Hybrid!AI56</f>
        <v>4.0480412E-2</v>
      </c>
      <c r="AK327" s="5">
        <f>[1]Hybrid!AJ56</f>
        <v>3.8667815899999999E-2</v>
      </c>
      <c r="AL327" s="5">
        <f>[1]Hybrid!AK56</f>
        <v>3.6899154300000001E-2</v>
      </c>
      <c r="AM327" s="5">
        <f>[1]Hybrid!AL56</f>
        <v>3.5176658100000001E-2</v>
      </c>
      <c r="AN327" s="5">
        <f>[1]Hybrid!AM56</f>
        <v>3.3502739500000003E-2</v>
      </c>
      <c r="AO327" s="5">
        <f>[1]Hybrid!AN56</f>
        <v>3.1879311399999999E-2</v>
      </c>
      <c r="AP327" s="5">
        <f>[1]Hybrid!AO56</f>
        <v>3.03078484E-2</v>
      </c>
      <c r="AQ327" s="5">
        <f>[1]Hybrid!AP56</f>
        <v>2.8789430299999998E-2</v>
      </c>
      <c r="AR327" s="5">
        <f>[1]Hybrid!AQ56</f>
        <v>2.7324784899999999E-2</v>
      </c>
      <c r="AS327" s="5">
        <f>[1]Hybrid!AR56</f>
        <v>2.59143121E-2</v>
      </c>
      <c r="AT327" s="5">
        <f>[1]Hybrid!AS56</f>
        <v>2.4558116800000002E-2</v>
      </c>
      <c r="AU327" s="5">
        <f>[1]Hybrid!AT56</f>
        <v>2.3256042599999999E-2</v>
      </c>
      <c r="AV327" s="5">
        <f>[1]Hybrid!AU56</f>
        <v>2.2007701899999999E-2</v>
      </c>
      <c r="AW327" s="5">
        <f>[1]Hybrid!AV56</f>
        <v>2.0812527899999999E-2</v>
      </c>
      <c r="AX327" s="5">
        <f>[1]Hybrid!AW56</f>
        <v>1.9669747800000002E-2</v>
      </c>
      <c r="AY327" s="5">
        <f>[1]Hybrid!AX56</f>
        <v>1.8578425999999999E-2</v>
      </c>
      <c r="AZ327" s="5">
        <f>[1]Hybrid!AY56</f>
        <v>1.7537489699999999E-2</v>
      </c>
      <c r="BA327" s="5">
        <f>[1]Hybrid!AZ56</f>
        <v>1.6545751899999999E-2</v>
      </c>
      <c r="BB327" s="5">
        <f>[1]Hybrid!BA56</f>
        <v>1.5214498E-2</v>
      </c>
      <c r="BC327" s="5">
        <f>[1]Hybrid!BB56</f>
        <v>1.4334256199999999E-2</v>
      </c>
      <c r="BD327" s="5">
        <f>[1]Hybrid!BC56</f>
        <v>1.34989068E-2</v>
      </c>
      <c r="BE327" s="5">
        <f>[1]Hybrid!BD56</f>
        <v>1.27069182E-2</v>
      </c>
      <c r="BF327" s="5">
        <f>[1]Hybrid!BE56</f>
        <v>1.1956719899999999E-2</v>
      </c>
    </row>
    <row r="328" spans="1:58" x14ac:dyDescent="0.35">
      <c r="B328" s="5" t="str">
        <f>[1]Hybrid!A58</f>
        <v>auto_cg_cgas_2</v>
      </c>
      <c r="C328" s="5">
        <f>[1]Hybrid!B58</f>
        <v>0.13435819299999999</v>
      </c>
      <c r="D328" s="5">
        <f>[1]Hybrid!C58</f>
        <v>0.13583202690000001</v>
      </c>
      <c r="E328" s="5">
        <f>[1]Hybrid!D58</f>
        <v>0.1374217864</v>
      </c>
      <c r="F328" s="5">
        <f>[1]Hybrid!E58</f>
        <v>0.13878784850000001</v>
      </c>
      <c r="G328" s="5">
        <f>[1]Hybrid!F58</f>
        <v>0.13973879729999999</v>
      </c>
      <c r="H328" s="5">
        <f>[1]Hybrid!G58</f>
        <v>0.14017929109999999</v>
      </c>
      <c r="I328" s="5">
        <f>[1]Hybrid!H58</f>
        <v>0.1400615268</v>
      </c>
      <c r="J328" s="5">
        <f>[1]Hybrid!I58</f>
        <v>0.1393902635</v>
      </c>
      <c r="K328" s="5">
        <f>[1]Hybrid!J58</f>
        <v>0.13819217640000001</v>
      </c>
      <c r="L328" s="5">
        <f>[1]Hybrid!K58</f>
        <v>0.13650614750000001</v>
      </c>
      <c r="M328" s="5">
        <f>[1]Hybrid!L58</f>
        <v>0.13438734760000001</v>
      </c>
      <c r="N328" s="5">
        <f>[1]Hybrid!M58</f>
        <v>0.1318742953</v>
      </c>
      <c r="O328" s="5">
        <f>[1]Hybrid!N58</f>
        <v>0.12901584629999999</v>
      </c>
      <c r="P328" s="5">
        <f>[1]Hybrid!O58</f>
        <v>0.12585765469999999</v>
      </c>
      <c r="Q328" s="5">
        <f>[1]Hybrid!P58</f>
        <v>0.12244387800000001</v>
      </c>
      <c r="R328" s="5">
        <f>[1]Hybrid!Q58</f>
        <v>0.11881732640000001</v>
      </c>
      <c r="S328" s="5">
        <f>[1]Hybrid!R58</f>
        <v>0.11501892850000001</v>
      </c>
      <c r="T328" s="5">
        <f>[1]Hybrid!S58</f>
        <v>0.11108758069999999</v>
      </c>
      <c r="U328" s="5">
        <f>[1]Hybrid!T58</f>
        <v>0.10705973169999999</v>
      </c>
      <c r="V328" s="5">
        <f>[1]Hybrid!U58</f>
        <v>0.10296904900000001</v>
      </c>
      <c r="W328" s="5">
        <f>[1]Hybrid!V58</f>
        <v>9.8842727000000005E-2</v>
      </c>
      <c r="X328" s="5">
        <f>[1]Hybrid!W58</f>
        <v>9.4712911100000005E-2</v>
      </c>
      <c r="Y328" s="5">
        <f>[1]Hybrid!X58</f>
        <v>9.0604188899999993E-2</v>
      </c>
      <c r="Z328" s="5">
        <f>[1]Hybrid!Y58</f>
        <v>8.6538118799999994E-2</v>
      </c>
      <c r="AA328" s="5">
        <f>[1]Hybrid!Z58</f>
        <v>8.2533355399999994E-2</v>
      </c>
      <c r="AB328" s="5">
        <f>[1]Hybrid!AA58</f>
        <v>7.8600781800000005E-2</v>
      </c>
      <c r="AC328" s="5">
        <f>[1]Hybrid!AB58</f>
        <v>7.4758348700000005E-2</v>
      </c>
      <c r="AD328" s="5">
        <f>[1]Hybrid!AC58</f>
        <v>7.10179596E-2</v>
      </c>
      <c r="AE328" s="5">
        <f>[1]Hybrid!AD58</f>
        <v>6.7389129800000003E-2</v>
      </c>
      <c r="AF328" s="5">
        <f>[1]Hybrid!AE58</f>
        <v>6.3879192599999995E-2</v>
      </c>
      <c r="AG328" s="5">
        <f>[1]Hybrid!AF58</f>
        <v>6.0493550600000001E-2</v>
      </c>
      <c r="AH328" s="5">
        <f>[1]Hybrid!AG58</f>
        <v>5.7235928599999999E-2</v>
      </c>
      <c r="AI328" s="5">
        <f>[1]Hybrid!AH58</f>
        <v>5.4108590499999998E-2</v>
      </c>
      <c r="AJ328" s="5">
        <f>[1]Hybrid!AI58</f>
        <v>5.11125459E-2</v>
      </c>
      <c r="AK328" s="5">
        <f>[1]Hybrid!AJ58</f>
        <v>4.8247739099999999E-2</v>
      </c>
      <c r="AL328" s="5">
        <f>[1]Hybrid!AK58</f>
        <v>4.5513213199999999E-2</v>
      </c>
      <c r="AM328" s="5">
        <f>[1]Hybrid!AL58</f>
        <v>4.2907074000000003E-2</v>
      </c>
      <c r="AN328" s="5">
        <f>[1]Hybrid!AM58</f>
        <v>4.0427088799999997E-2</v>
      </c>
      <c r="AO328" s="5">
        <f>[1]Hybrid!AN58</f>
        <v>3.8070465400000003E-2</v>
      </c>
      <c r="AP328" s="5">
        <f>[1]Hybrid!AO58</f>
        <v>3.5833963500000003E-2</v>
      </c>
      <c r="AQ328" s="5">
        <f>[1]Hybrid!AP58</f>
        <v>3.3713988399999999E-2</v>
      </c>
      <c r="AR328" s="5">
        <f>[1]Hybrid!AQ58</f>
        <v>3.1706675599999998E-2</v>
      </c>
      <c r="AS328" s="5">
        <f>[1]Hybrid!AR58</f>
        <v>2.9807957600000001E-2</v>
      </c>
      <c r="AT328" s="5">
        <f>[1]Hybrid!AS58</f>
        <v>2.8013626400000002E-2</v>
      </c>
      <c r="AU328" s="5">
        <f>[1]Hybrid!AT58</f>
        <v>2.6319387499999999E-2</v>
      </c>
      <c r="AV328" s="5">
        <f>[1]Hybrid!AU58</f>
        <v>2.4720906500000001E-2</v>
      </c>
      <c r="AW328" s="5">
        <f>[1]Hybrid!AV58</f>
        <v>2.3213853400000001E-2</v>
      </c>
      <c r="AX328" s="5">
        <f>[1]Hybrid!AW58</f>
        <v>2.17939243E-2</v>
      </c>
      <c r="AY328" s="5">
        <f>[1]Hybrid!AX58</f>
        <v>2.0456873800000001E-2</v>
      </c>
      <c r="AZ328" s="5">
        <f>[1]Hybrid!AY58</f>
        <v>1.91985395E-2</v>
      </c>
      <c r="BA328" s="5">
        <f>[1]Hybrid!AZ58</f>
        <v>1.8014861399999998E-2</v>
      </c>
      <c r="BB328" s="5">
        <f>[1]Hybrid!BA58</f>
        <v>1.63579495E-2</v>
      </c>
      <c r="BC328" s="5">
        <f>[1]Hybrid!BB58</f>
        <v>1.5344181700000001E-2</v>
      </c>
      <c r="BD328" s="5">
        <f>[1]Hybrid!BC58</f>
        <v>1.4391943900000001E-2</v>
      </c>
      <c r="BE328" s="5">
        <f>[1]Hybrid!BD58</f>
        <v>1.3497753600000001E-2</v>
      </c>
      <c r="BF328" s="5">
        <f>[1]Hybrid!BE58</f>
        <v>1.2658279600000001E-2</v>
      </c>
    </row>
    <row r="330" spans="1:58" x14ac:dyDescent="0.35">
      <c r="A330" s="12" t="s">
        <v>90</v>
      </c>
      <c r="B330" t="s">
        <v>56</v>
      </c>
      <c r="C330" s="2">
        <v>42005</v>
      </c>
      <c r="D330" s="2">
        <v>42370</v>
      </c>
      <c r="E330" s="2">
        <v>42736</v>
      </c>
      <c r="F330" s="2">
        <v>43101</v>
      </c>
      <c r="G330" s="2">
        <v>43466</v>
      </c>
      <c r="H330" s="2">
        <v>43831</v>
      </c>
      <c r="I330" s="2">
        <v>44197</v>
      </c>
      <c r="J330" s="2">
        <v>44562</v>
      </c>
      <c r="K330" s="2">
        <v>44927</v>
      </c>
      <c r="L330" s="2">
        <v>45292</v>
      </c>
      <c r="M330" s="2">
        <v>45658</v>
      </c>
      <c r="N330" s="2">
        <v>46023</v>
      </c>
      <c r="O330" s="2">
        <v>46388</v>
      </c>
      <c r="P330" s="2">
        <v>46753</v>
      </c>
      <c r="Q330" s="2">
        <v>47119</v>
      </c>
      <c r="R330" s="2">
        <v>47484</v>
      </c>
      <c r="S330" s="2">
        <v>47849</v>
      </c>
      <c r="T330" s="2">
        <v>48214</v>
      </c>
      <c r="U330" s="2">
        <v>48580</v>
      </c>
      <c r="V330" s="2">
        <v>48945</v>
      </c>
      <c r="W330" s="2">
        <v>49310</v>
      </c>
      <c r="X330" s="2">
        <v>49675</v>
      </c>
      <c r="Y330" s="2">
        <v>50041</v>
      </c>
      <c r="Z330" s="2">
        <v>50406</v>
      </c>
      <c r="AA330" s="2">
        <v>50771</v>
      </c>
      <c r="AB330" s="2">
        <v>51136</v>
      </c>
      <c r="AC330" s="2">
        <v>51502</v>
      </c>
      <c r="AD330" s="2">
        <v>51867</v>
      </c>
      <c r="AE330" s="2">
        <v>52232</v>
      </c>
      <c r="AF330" s="2">
        <v>52597</v>
      </c>
      <c r="AG330" s="2">
        <v>52963</v>
      </c>
      <c r="AH330" s="2">
        <v>53328</v>
      </c>
      <c r="AI330" s="2">
        <v>53693</v>
      </c>
      <c r="AJ330" s="2">
        <v>54058</v>
      </c>
      <c r="AK330" s="2">
        <v>54424</v>
      </c>
      <c r="AL330" s="2">
        <v>54789</v>
      </c>
      <c r="AM330" s="2">
        <v>54790</v>
      </c>
      <c r="AN330" s="2">
        <v>54791</v>
      </c>
      <c r="AO330" s="2">
        <v>54792</v>
      </c>
      <c r="AP330" s="2">
        <v>54793</v>
      </c>
      <c r="AQ330" s="2">
        <v>54794</v>
      </c>
      <c r="AR330" s="2">
        <v>54795</v>
      </c>
      <c r="AS330" s="2">
        <v>54796</v>
      </c>
      <c r="AT330" s="2">
        <v>54797</v>
      </c>
      <c r="AU330" s="2">
        <v>54798</v>
      </c>
      <c r="AV330" s="2">
        <v>54799</v>
      </c>
      <c r="AW330" s="2">
        <v>54800</v>
      </c>
      <c r="AX330" s="2">
        <v>54801</v>
      </c>
      <c r="AY330" s="2">
        <v>54802</v>
      </c>
      <c r="AZ330" s="2">
        <v>54803</v>
      </c>
      <c r="BA330" s="2">
        <v>54804</v>
      </c>
      <c r="BB330" s="2">
        <v>54805</v>
      </c>
      <c r="BC330" s="2">
        <v>54806</v>
      </c>
      <c r="BD330" s="2">
        <v>54807</v>
      </c>
      <c r="BE330" s="2">
        <v>54808</v>
      </c>
      <c r="BF330" s="2">
        <v>54809</v>
      </c>
    </row>
    <row r="331" spans="1:58" x14ac:dyDescent="0.35">
      <c r="A331" t="s">
        <v>39</v>
      </c>
      <c r="B331" t="s">
        <v>96</v>
      </c>
      <c r="C331" s="6">
        <f t="shared" ref="C331:AL331" si="186">C308+C322+C315</f>
        <v>7105.9689965623002</v>
      </c>
      <c r="D331" s="6">
        <f t="shared" si="186"/>
        <v>7152.656566783</v>
      </c>
      <c r="E331" s="6">
        <f t="shared" si="186"/>
        <v>7245.1857744219997</v>
      </c>
      <c r="F331" s="6">
        <f t="shared" si="186"/>
        <v>7368.9669521082997</v>
      </c>
      <c r="G331" s="6">
        <f t="shared" si="186"/>
        <v>7514.3805586529998</v>
      </c>
      <c r="H331" s="6">
        <f t="shared" si="186"/>
        <v>7675.2943413513003</v>
      </c>
      <c r="I331" s="6">
        <f t="shared" si="186"/>
        <v>7846.6454703872996</v>
      </c>
      <c r="J331" s="6">
        <f t="shared" si="186"/>
        <v>8025.8954015782001</v>
      </c>
      <c r="K331" s="6">
        <f t="shared" si="186"/>
        <v>8211.3256361824006</v>
      </c>
      <c r="L331" s="6">
        <f t="shared" si="186"/>
        <v>8401.7096228792998</v>
      </c>
      <c r="M331" s="6">
        <f t="shared" si="186"/>
        <v>8597.2805355663004</v>
      </c>
      <c r="N331" s="6">
        <f t="shared" si="186"/>
        <v>8796.210720223</v>
      </c>
      <c r="O331" s="6">
        <f t="shared" si="186"/>
        <v>8998.3512771482001</v>
      </c>
      <c r="P331" s="6">
        <f t="shared" si="186"/>
        <v>9203.3933276813987</v>
      </c>
      <c r="Q331" s="6">
        <f t="shared" si="186"/>
        <v>9410.9896990227007</v>
      </c>
      <c r="R331" s="6">
        <f t="shared" si="186"/>
        <v>9620.7777360683995</v>
      </c>
      <c r="S331" s="6">
        <f t="shared" si="186"/>
        <v>9832.3406455211989</v>
      </c>
      <c r="T331" s="6">
        <f t="shared" si="186"/>
        <v>10045.287542170601</v>
      </c>
      <c r="U331" s="6">
        <f t="shared" si="186"/>
        <v>10259.255811227598</v>
      </c>
      <c r="V331" s="6">
        <f t="shared" si="186"/>
        <v>10473.9105112748</v>
      </c>
      <c r="W331" s="6">
        <f t="shared" si="186"/>
        <v>10687.310857352901</v>
      </c>
      <c r="X331" s="6">
        <f t="shared" si="186"/>
        <v>10900.935407555</v>
      </c>
      <c r="Y331" s="6">
        <f t="shared" si="186"/>
        <v>11114.589640834998</v>
      </c>
      <c r="Z331" s="6">
        <f t="shared" si="186"/>
        <v>11328.141854505</v>
      </c>
      <c r="AA331" s="6">
        <f t="shared" si="186"/>
        <v>11541.487573140001</v>
      </c>
      <c r="AB331" s="6">
        <f t="shared" si="186"/>
        <v>11749.734437167001</v>
      </c>
      <c r="AC331" s="6">
        <f t="shared" si="186"/>
        <v>11955.687646374001</v>
      </c>
      <c r="AD331" s="6">
        <f t="shared" si="186"/>
        <v>12159.514119897</v>
      </c>
      <c r="AE331" s="6">
        <f t="shared" si="186"/>
        <v>12361.489107891999</v>
      </c>
      <c r="AF331" s="6">
        <f t="shared" si="186"/>
        <v>12561.927506400001</v>
      </c>
      <c r="AG331" s="6">
        <f t="shared" si="186"/>
        <v>12761.146625731</v>
      </c>
      <c r="AH331" s="6">
        <f t="shared" si="186"/>
        <v>12959.461115878001</v>
      </c>
      <c r="AI331" s="6">
        <f t="shared" si="186"/>
        <v>13157.153163257</v>
      </c>
      <c r="AJ331" s="6">
        <f t="shared" si="186"/>
        <v>13354.47632643</v>
      </c>
      <c r="AK331" s="6">
        <f t="shared" si="186"/>
        <v>13551.664217330001</v>
      </c>
      <c r="AL331" s="6">
        <f t="shared" si="186"/>
        <v>13748.936840826002</v>
      </c>
      <c r="AM331" s="6">
        <f t="shared" ref="AM331:BC331" si="187">AM308+AM322+AM315</f>
        <v>13945.457149094</v>
      </c>
      <c r="AN331" s="6">
        <f t="shared" si="187"/>
        <v>14141.545546218</v>
      </c>
      <c r="AO331" s="6">
        <f t="shared" si="187"/>
        <v>14337.477854238001</v>
      </c>
      <c r="AP331" s="6">
        <f t="shared" si="187"/>
        <v>14533.543449425</v>
      </c>
      <c r="AQ331" s="6">
        <f t="shared" si="187"/>
        <v>14730.047499371001</v>
      </c>
      <c r="AR331" s="6">
        <f t="shared" si="187"/>
        <v>14927.318121961001</v>
      </c>
      <c r="AS331" s="6">
        <f t="shared" si="187"/>
        <v>15125.653121896999</v>
      </c>
      <c r="AT331" s="6">
        <f t="shared" si="187"/>
        <v>15325.315050383</v>
      </c>
      <c r="AU331" s="6">
        <f t="shared" si="187"/>
        <v>15526.535244906001</v>
      </c>
      <c r="AV331" s="6">
        <f t="shared" si="187"/>
        <v>15729.517117804</v>
      </c>
      <c r="AW331" s="6">
        <f t="shared" si="187"/>
        <v>15934.627262553</v>
      </c>
      <c r="AX331" s="6">
        <f t="shared" si="187"/>
        <v>16142.043477401001</v>
      </c>
      <c r="AY331" s="6">
        <f t="shared" si="187"/>
        <v>16351.890083454999</v>
      </c>
      <c r="AZ331" s="6">
        <f t="shared" si="187"/>
        <v>16564.269808508998</v>
      </c>
      <c r="BA331" s="6">
        <f t="shared" si="187"/>
        <v>16779.277443065999</v>
      </c>
      <c r="BB331" s="6">
        <f t="shared" si="187"/>
        <v>18182.57675584</v>
      </c>
      <c r="BC331" s="6">
        <f t="shared" si="187"/>
        <v>18445.878013850001</v>
      </c>
      <c r="BD331" s="6">
        <f t="shared" ref="BD331:BF331" si="188">BD308+BD322+BD315</f>
        <v>18712.095528523001</v>
      </c>
      <c r="BE331" s="6">
        <f t="shared" si="188"/>
        <v>18981.344316728002</v>
      </c>
      <c r="BF331" s="6">
        <f t="shared" si="188"/>
        <v>19253.748624161999</v>
      </c>
    </row>
    <row r="332" spans="1:58" x14ac:dyDescent="0.35">
      <c r="B332" t="s">
        <v>97</v>
      </c>
      <c r="C332" s="6">
        <f t="shared" ref="C332:AL332" si="189">C309+C323+C316</f>
        <v>8263.1971436354015</v>
      </c>
      <c r="D332" s="6">
        <f t="shared" si="189"/>
        <v>8195.3731836303996</v>
      </c>
      <c r="E332" s="6">
        <f t="shared" si="189"/>
        <v>8179.3350389945008</v>
      </c>
      <c r="F332" s="6">
        <f t="shared" si="189"/>
        <v>8200.1744749056998</v>
      </c>
      <c r="G332" s="6">
        <f t="shared" si="189"/>
        <v>8247.8862979641999</v>
      </c>
      <c r="H332" s="6">
        <f t="shared" si="189"/>
        <v>8315.9046774171984</v>
      </c>
      <c r="I332" s="6">
        <f t="shared" si="189"/>
        <v>8398.7740299751986</v>
      </c>
      <c r="J332" s="6">
        <f t="shared" si="189"/>
        <v>8493.5153254294</v>
      </c>
      <c r="K332" s="6">
        <f t="shared" si="189"/>
        <v>8597.9877338413989</v>
      </c>
      <c r="L332" s="6">
        <f t="shared" si="189"/>
        <v>8710.5663304725003</v>
      </c>
      <c r="M332" s="6">
        <f t="shared" si="189"/>
        <v>8831.0465179898001</v>
      </c>
      <c r="N332" s="6">
        <f t="shared" si="189"/>
        <v>8957.3165705518004</v>
      </c>
      <c r="O332" s="6">
        <f t="shared" si="189"/>
        <v>9088.8662873806989</v>
      </c>
      <c r="P332" s="6">
        <f t="shared" si="189"/>
        <v>9225.0585194295982</v>
      </c>
      <c r="Q332" s="6">
        <f t="shared" si="189"/>
        <v>9365.2465215119009</v>
      </c>
      <c r="R332" s="6">
        <f t="shared" si="189"/>
        <v>9508.7961020656003</v>
      </c>
      <c r="S332" s="6">
        <f t="shared" si="189"/>
        <v>9655.0491358233994</v>
      </c>
      <c r="T332" s="6">
        <f t="shared" si="189"/>
        <v>9803.3959588591006</v>
      </c>
      <c r="U332" s="6">
        <f t="shared" si="189"/>
        <v>9953.2755647117992</v>
      </c>
      <c r="V332" s="6">
        <f t="shared" si="189"/>
        <v>10104.1728377953</v>
      </c>
      <c r="W332" s="6">
        <f t="shared" si="189"/>
        <v>10254.131883694699</v>
      </c>
      <c r="X332" s="6">
        <f t="shared" si="189"/>
        <v>10404.331337937301</v>
      </c>
      <c r="Y332" s="6">
        <f t="shared" si="189"/>
        <v>10554.4342758942</v>
      </c>
      <c r="Z332" s="6">
        <f t="shared" si="189"/>
        <v>10704.1722804317</v>
      </c>
      <c r="AA332" s="6">
        <f t="shared" si="189"/>
        <v>10853.312156399001</v>
      </c>
      <c r="AB332" s="6">
        <f t="shared" si="189"/>
        <v>10997.360166313001</v>
      </c>
      <c r="AC332" s="6">
        <f t="shared" si="189"/>
        <v>11138.737413415</v>
      </c>
      <c r="AD332" s="6">
        <f t="shared" si="189"/>
        <v>11277.503832443999</v>
      </c>
      <c r="AE332" s="6">
        <f t="shared" si="189"/>
        <v>11413.817768383</v>
      </c>
      <c r="AF332" s="6">
        <f t="shared" si="189"/>
        <v>11547.873398937998</v>
      </c>
      <c r="AG332" s="6">
        <f t="shared" si="189"/>
        <v>11679.867345944998</v>
      </c>
      <c r="AH332" s="6">
        <f t="shared" si="189"/>
        <v>11809.993733513</v>
      </c>
      <c r="AI332" s="6">
        <f t="shared" si="189"/>
        <v>11938.418048277999</v>
      </c>
      <c r="AJ332" s="6">
        <f t="shared" si="189"/>
        <v>12065.280160066</v>
      </c>
      <c r="AK332" s="6">
        <f t="shared" si="189"/>
        <v>12190.701876544999</v>
      </c>
      <c r="AL332" s="6">
        <f t="shared" si="189"/>
        <v>12314.792329302001</v>
      </c>
      <c r="AM332" s="6">
        <f t="shared" ref="AM332:BC332" si="190">AM309+AM323+AM316</f>
        <v>12436.760446859</v>
      </c>
      <c r="AN332" s="6">
        <f t="shared" si="190"/>
        <v>12556.812383683</v>
      </c>
      <c r="AO332" s="6">
        <f t="shared" si="190"/>
        <v>12675.114096965</v>
      </c>
      <c r="AP332" s="6">
        <f t="shared" si="190"/>
        <v>12791.839764483999</v>
      </c>
      <c r="AQ332" s="6">
        <f t="shared" si="190"/>
        <v>12907.173370718001</v>
      </c>
      <c r="AR332" s="6">
        <f t="shared" si="190"/>
        <v>13021.314848991</v>
      </c>
      <c r="AS332" s="6">
        <f t="shared" si="190"/>
        <v>13134.43585451</v>
      </c>
      <c r="AT332" s="6">
        <f t="shared" si="190"/>
        <v>13246.675783627999</v>
      </c>
      <c r="AU332" s="6">
        <f t="shared" si="190"/>
        <v>13358.145646992001</v>
      </c>
      <c r="AV332" s="6">
        <f t="shared" si="190"/>
        <v>13468.931176864</v>
      </c>
      <c r="AW332" s="6">
        <f t="shared" si="190"/>
        <v>13579.248384401</v>
      </c>
      <c r="AX332" s="6">
        <f t="shared" si="190"/>
        <v>13689.156937543001</v>
      </c>
      <c r="AY332" s="6">
        <f t="shared" si="190"/>
        <v>13798.670586679</v>
      </c>
      <c r="AZ332" s="6">
        <f t="shared" si="190"/>
        <v>13907.783622342</v>
      </c>
      <c r="BA332" s="6">
        <f t="shared" si="190"/>
        <v>14016.482538897999</v>
      </c>
      <c r="BB332" s="6">
        <f t="shared" si="190"/>
        <v>15021.876346300001</v>
      </c>
      <c r="BC332" s="6">
        <f t="shared" si="190"/>
        <v>15156.629626152</v>
      </c>
      <c r="BD332" s="6">
        <f t="shared" ref="BD332:BF332" si="191">BD309+BD323+BD316</f>
        <v>15290.513371906</v>
      </c>
      <c r="BE332" s="6">
        <f t="shared" si="191"/>
        <v>15423.524856576001</v>
      </c>
      <c r="BF332" s="6">
        <f t="shared" si="191"/>
        <v>15555.666014259001</v>
      </c>
    </row>
    <row r="333" spans="1:58" x14ac:dyDescent="0.35">
      <c r="B333" t="s">
        <v>98</v>
      </c>
      <c r="C333" s="6">
        <f t="shared" ref="C333:AL333" si="192">C310+C324+C317</f>
        <v>6787.4105911386005</v>
      </c>
      <c r="D333" s="6">
        <f t="shared" si="192"/>
        <v>6657.0348819893998</v>
      </c>
      <c r="E333" s="6">
        <f t="shared" si="192"/>
        <v>6568.3179759119002</v>
      </c>
      <c r="F333" s="6">
        <f t="shared" si="192"/>
        <v>6510.2889521043999</v>
      </c>
      <c r="G333" s="6">
        <f t="shared" si="192"/>
        <v>6475.465277626</v>
      </c>
      <c r="H333" s="6">
        <f t="shared" si="192"/>
        <v>6458.8114284560997</v>
      </c>
      <c r="I333" s="6">
        <f t="shared" si="192"/>
        <v>6456.1206940024003</v>
      </c>
      <c r="J333" s="6">
        <f t="shared" si="192"/>
        <v>6464.9397223324004</v>
      </c>
      <c r="K333" s="6">
        <f t="shared" si="192"/>
        <v>6483.4326758565003</v>
      </c>
      <c r="L333" s="6">
        <f t="shared" si="192"/>
        <v>6510.1529587238001</v>
      </c>
      <c r="M333" s="6">
        <f t="shared" si="192"/>
        <v>6544.6523917950008</v>
      </c>
      <c r="N333" s="6">
        <f t="shared" si="192"/>
        <v>6585.2131723669008</v>
      </c>
      <c r="O333" s="6">
        <f t="shared" si="192"/>
        <v>6631.2218298882999</v>
      </c>
      <c r="P333" s="6">
        <f t="shared" si="192"/>
        <v>6681.9973639569007</v>
      </c>
      <c r="Q333" s="6">
        <f t="shared" si="192"/>
        <v>6736.8726112589002</v>
      </c>
      <c r="R333" s="6">
        <f t="shared" si="192"/>
        <v>6795.2095302277994</v>
      </c>
      <c r="S333" s="6">
        <f t="shared" si="192"/>
        <v>6856.3741645110003</v>
      </c>
      <c r="T333" s="6">
        <f t="shared" si="192"/>
        <v>6919.7836300178005</v>
      </c>
      <c r="U333" s="6">
        <f t="shared" si="192"/>
        <v>6984.9047334221996</v>
      </c>
      <c r="V333" s="6">
        <f t="shared" si="192"/>
        <v>7051.2504648063004</v>
      </c>
      <c r="W333" s="6">
        <f t="shared" si="192"/>
        <v>7117.4036774874003</v>
      </c>
      <c r="X333" s="6">
        <f t="shared" si="192"/>
        <v>7184.0220973342002</v>
      </c>
      <c r="Y333" s="6">
        <f t="shared" si="192"/>
        <v>7250.7750307732003</v>
      </c>
      <c r="Z333" s="6">
        <f t="shared" si="192"/>
        <v>7317.3859897112998</v>
      </c>
      <c r="AA333" s="6">
        <f t="shared" si="192"/>
        <v>7383.6102481881007</v>
      </c>
      <c r="AB333" s="6">
        <f t="shared" si="192"/>
        <v>7446.4692624191994</v>
      </c>
      <c r="AC333" s="6">
        <f t="shared" si="192"/>
        <v>7507.4678338437998</v>
      </c>
      <c r="AD333" s="6">
        <f t="shared" si="192"/>
        <v>7566.5874635171995</v>
      </c>
      <c r="AE333" s="6">
        <f t="shared" si="192"/>
        <v>7623.8755555566004</v>
      </c>
      <c r="AF333" s="6">
        <f t="shared" si="192"/>
        <v>7679.4043451587004</v>
      </c>
      <c r="AG333" s="6">
        <f t="shared" si="192"/>
        <v>7733.2491740675005</v>
      </c>
      <c r="AH333" s="6">
        <f t="shared" si="192"/>
        <v>7785.4852185862001</v>
      </c>
      <c r="AI333" s="6">
        <f t="shared" si="192"/>
        <v>7836.1707847811995</v>
      </c>
      <c r="AJ333" s="6">
        <f t="shared" si="192"/>
        <v>7885.3491560153998</v>
      </c>
      <c r="AK333" s="6">
        <f t="shared" si="192"/>
        <v>7933.053247049701</v>
      </c>
      <c r="AL333" s="6">
        <f t="shared" si="192"/>
        <v>7979.3090245251005</v>
      </c>
      <c r="AM333" s="6">
        <f t="shared" ref="AM333:BC333" si="193">AM310+AM324+AM317</f>
        <v>8023.5905072019996</v>
      </c>
      <c r="AN333" s="6">
        <f t="shared" si="193"/>
        <v>8065.9932301504996</v>
      </c>
      <c r="AO333" s="6">
        <f t="shared" si="193"/>
        <v>8106.5880757688001</v>
      </c>
      <c r="AP333" s="6">
        <f t="shared" si="193"/>
        <v>8145.4503715145001</v>
      </c>
      <c r="AQ333" s="6">
        <f t="shared" si="193"/>
        <v>8182.6608172492006</v>
      </c>
      <c r="AR333" s="6">
        <f t="shared" si="193"/>
        <v>8218.3092681065991</v>
      </c>
      <c r="AS333" s="6">
        <f t="shared" si="193"/>
        <v>8252.4682756992006</v>
      </c>
      <c r="AT333" s="6">
        <f t="shared" si="193"/>
        <v>8285.1909001732984</v>
      </c>
      <c r="AU333" s="6">
        <f t="shared" si="193"/>
        <v>8316.5132929934007</v>
      </c>
      <c r="AV333" s="6">
        <f t="shared" si="193"/>
        <v>8346.4568832188997</v>
      </c>
      <c r="AW333" s="6">
        <f t="shared" si="193"/>
        <v>8375.1198577572995</v>
      </c>
      <c r="AX333" s="6">
        <f t="shared" si="193"/>
        <v>8402.5086529665004</v>
      </c>
      <c r="AY333" s="6">
        <f t="shared" si="193"/>
        <v>8428.6030751669005</v>
      </c>
      <c r="AZ333" s="6">
        <f t="shared" si="193"/>
        <v>8453.3721798326987</v>
      </c>
      <c r="BA333" s="6">
        <f t="shared" si="193"/>
        <v>8476.7815280752002</v>
      </c>
      <c r="BB333" s="6">
        <f t="shared" si="193"/>
        <v>8987.5710228750013</v>
      </c>
      <c r="BC333" s="6">
        <f t="shared" si="193"/>
        <v>9019.9497071197002</v>
      </c>
      <c r="BD333" s="6">
        <f t="shared" ref="BD333:BF333" si="194">BD310+BD324+BD317</f>
        <v>9050.4682229624996</v>
      </c>
      <c r="BE333" s="6">
        <f t="shared" si="194"/>
        <v>9079.1083501920984</v>
      </c>
      <c r="BF333" s="6">
        <f t="shared" si="194"/>
        <v>9105.8550322254996</v>
      </c>
    </row>
    <row r="334" spans="1:58" x14ac:dyDescent="0.35">
      <c r="B334" t="s">
        <v>99</v>
      </c>
      <c r="C334" s="6">
        <f t="shared" ref="C334:AL334" si="195">C311+C325+C318</f>
        <v>4165.6835237371006</v>
      </c>
      <c r="D334" s="6">
        <f t="shared" si="195"/>
        <v>4061.0003251341</v>
      </c>
      <c r="E334" s="6">
        <f t="shared" si="195"/>
        <v>3980.1958643372</v>
      </c>
      <c r="F334" s="6">
        <f t="shared" si="195"/>
        <v>3916.6382767837999</v>
      </c>
      <c r="G334" s="6">
        <f t="shared" si="195"/>
        <v>3865.7976612962002</v>
      </c>
      <c r="H334" s="6">
        <f t="shared" si="195"/>
        <v>3824.6011314556999</v>
      </c>
      <c r="I334" s="6">
        <f t="shared" si="195"/>
        <v>3790.5235325025001</v>
      </c>
      <c r="J334" s="6">
        <f t="shared" si="195"/>
        <v>3762.0490758147002</v>
      </c>
      <c r="K334" s="6">
        <f t="shared" si="195"/>
        <v>3738.0406466172999</v>
      </c>
      <c r="L334" s="6">
        <f t="shared" si="195"/>
        <v>3717.603843119</v>
      </c>
      <c r="M334" s="6">
        <f t="shared" si="195"/>
        <v>3700.3865646611002</v>
      </c>
      <c r="N334" s="6">
        <f t="shared" si="195"/>
        <v>3685.4117354754003</v>
      </c>
      <c r="O334" s="6">
        <f t="shared" si="195"/>
        <v>3672.2653328416</v>
      </c>
      <c r="P334" s="6">
        <f t="shared" si="195"/>
        <v>3660.5093247738996</v>
      </c>
      <c r="Q334" s="6">
        <f t="shared" si="195"/>
        <v>3649.7291848061</v>
      </c>
      <c r="R334" s="6">
        <f t="shared" si="195"/>
        <v>3639.5441487282001</v>
      </c>
      <c r="S334" s="6">
        <f t="shared" si="195"/>
        <v>3629.5956031971</v>
      </c>
      <c r="T334" s="6">
        <f t="shared" si="195"/>
        <v>3619.5676403599</v>
      </c>
      <c r="U334" s="6">
        <f t="shared" si="195"/>
        <v>3609.1844539028998</v>
      </c>
      <c r="V334" s="6">
        <f t="shared" si="195"/>
        <v>3598.2063740858002</v>
      </c>
      <c r="W334" s="6">
        <f t="shared" si="195"/>
        <v>3586.0055453065002</v>
      </c>
      <c r="X334" s="6">
        <f t="shared" si="195"/>
        <v>3572.8758042318</v>
      </c>
      <c r="Y334" s="6">
        <f t="shared" si="195"/>
        <v>3558.6810183281</v>
      </c>
      <c r="Z334" s="6">
        <f t="shared" si="195"/>
        <v>3543.3148311229997</v>
      </c>
      <c r="AA334" s="6">
        <f t="shared" si="195"/>
        <v>3526.6905156649</v>
      </c>
      <c r="AB334" s="6">
        <f t="shared" si="195"/>
        <v>3507.6414711234997</v>
      </c>
      <c r="AC334" s="6">
        <f t="shared" si="195"/>
        <v>3486.8328317394999</v>
      </c>
      <c r="AD334" s="6">
        <f t="shared" si="195"/>
        <v>3464.3091241179</v>
      </c>
      <c r="AE334" s="6">
        <f t="shared" si="195"/>
        <v>3440.1378790186996</v>
      </c>
      <c r="AF334" s="6">
        <f t="shared" si="195"/>
        <v>3414.3926644604999</v>
      </c>
      <c r="AG334" s="6">
        <f t="shared" si="195"/>
        <v>3387.1449833663</v>
      </c>
      <c r="AH334" s="6">
        <f t="shared" si="195"/>
        <v>3358.4634237016999</v>
      </c>
      <c r="AI334" s="6">
        <f t="shared" si="195"/>
        <v>3328.4080544030003</v>
      </c>
      <c r="AJ334" s="6">
        <f t="shared" si="195"/>
        <v>3297.0314988065002</v>
      </c>
      <c r="AK334" s="6">
        <f t="shared" si="195"/>
        <v>3264.3810941365</v>
      </c>
      <c r="AL334" s="6">
        <f t="shared" si="195"/>
        <v>3230.5005661275</v>
      </c>
      <c r="AM334" s="6">
        <f t="shared" ref="AM334:BC334" si="196">AM311+AM325+AM318</f>
        <v>3195.2558997484998</v>
      </c>
      <c r="AN334" s="6">
        <f t="shared" si="196"/>
        <v>3158.7236260355003</v>
      </c>
      <c r="AO334" s="6">
        <f t="shared" si="196"/>
        <v>3120.9703583449</v>
      </c>
      <c r="AP334" s="6">
        <f t="shared" si="196"/>
        <v>3082.061644854</v>
      </c>
      <c r="AQ334" s="6">
        <f t="shared" si="196"/>
        <v>3042.0625184371002</v>
      </c>
      <c r="AR334" s="6">
        <f t="shared" si="196"/>
        <v>3001.0390970388999</v>
      </c>
      <c r="AS334" s="6">
        <f t="shared" si="196"/>
        <v>2959.0513348480999</v>
      </c>
      <c r="AT334" s="6">
        <f t="shared" si="196"/>
        <v>2916.1528162100003</v>
      </c>
      <c r="AU334" s="6">
        <f t="shared" si="196"/>
        <v>2872.3920672869003</v>
      </c>
      <c r="AV334" s="6">
        <f t="shared" si="196"/>
        <v>2827.8137044850996</v>
      </c>
      <c r="AW334" s="6">
        <f t="shared" si="196"/>
        <v>2782.4824959480002</v>
      </c>
      <c r="AX334" s="6">
        <f t="shared" si="196"/>
        <v>2736.4393769551002</v>
      </c>
      <c r="AY334" s="6">
        <f t="shared" si="196"/>
        <v>2689.7187666599002</v>
      </c>
      <c r="AZ334" s="6">
        <f t="shared" si="196"/>
        <v>2642.3531139112997</v>
      </c>
      <c r="BA334" s="6">
        <f t="shared" si="196"/>
        <v>2594.3752134613001</v>
      </c>
      <c r="BB334" s="6">
        <f t="shared" si="196"/>
        <v>2627.3217814909003</v>
      </c>
      <c r="BC334" s="6">
        <f t="shared" si="196"/>
        <v>2577.8758599247999</v>
      </c>
      <c r="BD334" s="6">
        <f t="shared" ref="BD334:BF334" si="197">BD311+BD325+BD318</f>
        <v>2527.7977910374002</v>
      </c>
      <c r="BE334" s="6">
        <f t="shared" si="197"/>
        <v>2477.1409967202999</v>
      </c>
      <c r="BF334" s="6">
        <f t="shared" si="197"/>
        <v>2425.9593885319996</v>
      </c>
    </row>
    <row r="335" spans="1:58" x14ac:dyDescent="0.35">
      <c r="B335" t="s">
        <v>100</v>
      </c>
      <c r="C335" s="6">
        <f t="shared" ref="C335:AL335" si="198">C312+C326+C319</f>
        <v>2507.3524895615005</v>
      </c>
      <c r="D335" s="6">
        <f t="shared" si="198"/>
        <v>2446.6846414172001</v>
      </c>
      <c r="E335" s="6">
        <f t="shared" si="198"/>
        <v>2399.4722880024997</v>
      </c>
      <c r="F335" s="6">
        <f t="shared" si="198"/>
        <v>2361.4822423535002</v>
      </c>
      <c r="G335" s="6">
        <f t="shared" si="198"/>
        <v>2329.8624877615002</v>
      </c>
      <c r="H335" s="6">
        <f t="shared" si="198"/>
        <v>2302.7075164857001</v>
      </c>
      <c r="I335" s="6">
        <f t="shared" si="198"/>
        <v>2278.4912379901002</v>
      </c>
      <c r="J335" s="6">
        <f t="shared" si="198"/>
        <v>2256.3231801121997</v>
      </c>
      <c r="K335" s="6">
        <f t="shared" si="198"/>
        <v>2235.5596348569998</v>
      </c>
      <c r="L335" s="6">
        <f t="shared" si="198"/>
        <v>2215.7149355176998</v>
      </c>
      <c r="M335" s="6">
        <f t="shared" si="198"/>
        <v>2196.6261748335996</v>
      </c>
      <c r="N335" s="6">
        <f t="shared" si="198"/>
        <v>2177.7812785746996</v>
      </c>
      <c r="O335" s="6">
        <f t="shared" si="198"/>
        <v>2158.9861317257</v>
      </c>
      <c r="P335" s="6">
        <f t="shared" si="198"/>
        <v>2140.0351176521999</v>
      </c>
      <c r="Q335" s="6">
        <f t="shared" si="198"/>
        <v>2120.7411957267</v>
      </c>
      <c r="R335" s="6">
        <f t="shared" si="198"/>
        <v>2100.9427649853001</v>
      </c>
      <c r="S335" s="6">
        <f t="shared" si="198"/>
        <v>2080.4973202200003</v>
      </c>
      <c r="T335" s="6">
        <f t="shared" si="198"/>
        <v>2059.2913317255002</v>
      </c>
      <c r="U335" s="6">
        <f t="shared" si="198"/>
        <v>2037.2376403639</v>
      </c>
      <c r="V335" s="6">
        <f t="shared" si="198"/>
        <v>2014.2720409220999</v>
      </c>
      <c r="W335" s="6">
        <f t="shared" si="198"/>
        <v>1990.1432387565999</v>
      </c>
      <c r="X335" s="6">
        <f t="shared" si="198"/>
        <v>1965.0616507298</v>
      </c>
      <c r="Y335" s="6">
        <f t="shared" si="198"/>
        <v>1939.0221567926001</v>
      </c>
      <c r="Z335" s="6">
        <f t="shared" si="198"/>
        <v>1912.0343101661999</v>
      </c>
      <c r="AA335" s="6">
        <f t="shared" si="198"/>
        <v>1884.1171386361002</v>
      </c>
      <c r="AB335" s="6">
        <f t="shared" si="198"/>
        <v>1854.7975464725</v>
      </c>
      <c r="AC335" s="6">
        <f t="shared" si="198"/>
        <v>1824.4553943363999</v>
      </c>
      <c r="AD335" s="6">
        <f t="shared" si="198"/>
        <v>1793.1778987655</v>
      </c>
      <c r="AE335" s="6">
        <f t="shared" si="198"/>
        <v>1761.0584054843002</v>
      </c>
      <c r="AF335" s="6">
        <f t="shared" si="198"/>
        <v>1728.1886355300001</v>
      </c>
      <c r="AG335" s="6">
        <f t="shared" si="198"/>
        <v>1694.6554301019999</v>
      </c>
      <c r="AH335" s="6">
        <f t="shared" si="198"/>
        <v>1660.5407495876</v>
      </c>
      <c r="AI335" s="6">
        <f t="shared" si="198"/>
        <v>1625.9196796506999</v>
      </c>
      <c r="AJ335" s="6">
        <f t="shared" si="198"/>
        <v>1590.8612243906</v>
      </c>
      <c r="AK335" s="6">
        <f t="shared" si="198"/>
        <v>1555.4295362775999</v>
      </c>
      <c r="AL335" s="6">
        <f t="shared" si="198"/>
        <v>1519.6849048605</v>
      </c>
      <c r="AM335" s="6">
        <f t="shared" ref="AM335:BC335" si="199">AM312+AM326+AM319</f>
        <v>1483.6186349431002</v>
      </c>
      <c r="AN335" s="6">
        <f t="shared" si="199"/>
        <v>1447.3030589788</v>
      </c>
      <c r="AO335" s="6">
        <f t="shared" si="199"/>
        <v>1410.804067329</v>
      </c>
      <c r="AP335" s="6">
        <f t="shared" si="199"/>
        <v>1374.1844103490998</v>
      </c>
      <c r="AQ335" s="6">
        <f t="shared" si="199"/>
        <v>1337.504094376</v>
      </c>
      <c r="AR335" s="6">
        <f t="shared" si="199"/>
        <v>1300.82120164</v>
      </c>
      <c r="AS335" s="6">
        <f t="shared" si="199"/>
        <v>1264.1895989373002</v>
      </c>
      <c r="AT335" s="6">
        <f t="shared" si="199"/>
        <v>1227.6590553704</v>
      </c>
      <c r="AU335" s="6">
        <f t="shared" si="199"/>
        <v>1191.2758942848</v>
      </c>
      <c r="AV335" s="6">
        <f t="shared" si="199"/>
        <v>1155.0835444863001</v>
      </c>
      <c r="AW335" s="6">
        <f t="shared" si="199"/>
        <v>1119.1301198810002</v>
      </c>
      <c r="AX335" s="6">
        <f t="shared" si="199"/>
        <v>1083.4546511997999</v>
      </c>
      <c r="AY335" s="6">
        <f t="shared" si="199"/>
        <v>1048.0926168762999</v>
      </c>
      <c r="AZ335" s="6">
        <f t="shared" si="199"/>
        <v>1013.0774649566</v>
      </c>
      <c r="BA335" s="6">
        <f t="shared" si="199"/>
        <v>978.44141312759984</v>
      </c>
      <c r="BB335" s="6">
        <f t="shared" si="199"/>
        <v>956.35591805230001</v>
      </c>
      <c r="BC335" s="6">
        <f t="shared" si="199"/>
        <v>922.14041754819993</v>
      </c>
      <c r="BD335" s="6">
        <f t="shared" ref="BD335:BF335" si="200">BD312+BD326+BD319</f>
        <v>888.3924872020001</v>
      </c>
      <c r="BE335" s="6">
        <f t="shared" si="200"/>
        <v>855.14612888479996</v>
      </c>
      <c r="BF335" s="6">
        <f t="shared" si="200"/>
        <v>822.4332865097</v>
      </c>
    </row>
    <row r="336" spans="1:58" x14ac:dyDescent="0.35">
      <c r="B336" t="s">
        <v>101</v>
      </c>
      <c r="C336" s="6">
        <f t="shared" ref="C336:AL336" si="201">C313+C327+C320</f>
        <v>1245.466605953</v>
      </c>
      <c r="D336" s="6">
        <f t="shared" si="201"/>
        <v>1212.6081805934</v>
      </c>
      <c r="E336" s="6">
        <f t="shared" si="201"/>
        <v>1184.9616708133999</v>
      </c>
      <c r="F336" s="6">
        <f t="shared" si="201"/>
        <v>1160.2222319352002</v>
      </c>
      <c r="G336" s="6">
        <f t="shared" si="201"/>
        <v>1136.9247599273999</v>
      </c>
      <c r="H336" s="6">
        <f t="shared" si="201"/>
        <v>1114.1626736030998</v>
      </c>
      <c r="I336" s="6">
        <f t="shared" si="201"/>
        <v>1091.2929307667998</v>
      </c>
      <c r="J336" s="6">
        <f t="shared" si="201"/>
        <v>1068.0092641366</v>
      </c>
      <c r="K336" s="6">
        <f t="shared" si="201"/>
        <v>1044.1485963148</v>
      </c>
      <c r="L336" s="6">
        <f t="shared" si="201"/>
        <v>1019.6371776981999</v>
      </c>
      <c r="M336" s="6">
        <f t="shared" si="201"/>
        <v>994.53878458910003</v>
      </c>
      <c r="N336" s="6">
        <f t="shared" si="201"/>
        <v>968.79641374149992</v>
      </c>
      <c r="O336" s="6">
        <f t="shared" si="201"/>
        <v>942.46471491579996</v>
      </c>
      <c r="P336" s="6">
        <f t="shared" si="201"/>
        <v>915.59413960150005</v>
      </c>
      <c r="Q336" s="6">
        <f t="shared" si="201"/>
        <v>888.24408904079996</v>
      </c>
      <c r="R336" s="6">
        <f t="shared" si="201"/>
        <v>860.48496246240006</v>
      </c>
      <c r="S336" s="6">
        <f t="shared" si="201"/>
        <v>832.3946319424</v>
      </c>
      <c r="T336" s="6">
        <f t="shared" si="201"/>
        <v>804.05886771339999</v>
      </c>
      <c r="U336" s="6">
        <f t="shared" si="201"/>
        <v>775.56832208740002</v>
      </c>
      <c r="V336" s="6">
        <f t="shared" si="201"/>
        <v>747.01553787269995</v>
      </c>
      <c r="W336" s="6">
        <f t="shared" si="201"/>
        <v>718.44746678700005</v>
      </c>
      <c r="X336" s="6">
        <f t="shared" si="201"/>
        <v>690.00947317379996</v>
      </c>
      <c r="Y336" s="6">
        <f t="shared" si="201"/>
        <v>661.7882677711001</v>
      </c>
      <c r="Z336" s="6">
        <f t="shared" si="201"/>
        <v>633.86544232459994</v>
      </c>
      <c r="AA336" s="6">
        <f t="shared" si="201"/>
        <v>606.31639490329997</v>
      </c>
      <c r="AB336" s="6">
        <f t="shared" si="201"/>
        <v>579.12718615970005</v>
      </c>
      <c r="AC336" s="6">
        <f t="shared" si="201"/>
        <v>552.42768133029995</v>
      </c>
      <c r="AD336" s="6">
        <f t="shared" si="201"/>
        <v>526.2853389684999</v>
      </c>
      <c r="AE336" s="6">
        <f t="shared" si="201"/>
        <v>500.75882419899995</v>
      </c>
      <c r="AF336" s="6">
        <f t="shared" si="201"/>
        <v>475.89749206649998</v>
      </c>
      <c r="AG336" s="6">
        <f t="shared" si="201"/>
        <v>451.74181314340001</v>
      </c>
      <c r="AH336" s="6">
        <f t="shared" si="201"/>
        <v>428.32424006769998</v>
      </c>
      <c r="AI336" s="6">
        <f t="shared" si="201"/>
        <v>405.66976826070004</v>
      </c>
      <c r="AJ336" s="6">
        <f t="shared" si="201"/>
        <v>383.79676295900003</v>
      </c>
      <c r="AK336" s="6">
        <f t="shared" si="201"/>
        <v>362.71777484090001</v>
      </c>
      <c r="AL336" s="6">
        <f t="shared" si="201"/>
        <v>342.44025216630001</v>
      </c>
      <c r="AM336" s="6">
        <f t="shared" ref="AM336:BC336" si="202">AM313+AM327+AM320</f>
        <v>322.96169694709999</v>
      </c>
      <c r="AN336" s="6">
        <f t="shared" si="202"/>
        <v>304.2836490665</v>
      </c>
      <c r="AO336" s="6">
        <f t="shared" si="202"/>
        <v>286.40336560139997</v>
      </c>
      <c r="AP336" s="6">
        <f t="shared" si="202"/>
        <v>269.31450450739999</v>
      </c>
      <c r="AQ336" s="6">
        <f t="shared" si="202"/>
        <v>253.00759247729999</v>
      </c>
      <c r="AR336" s="6">
        <f t="shared" si="202"/>
        <v>237.47049007089998</v>
      </c>
      <c r="AS336" s="6">
        <f t="shared" si="202"/>
        <v>222.68861744310001</v>
      </c>
      <c r="AT336" s="6">
        <f t="shared" si="202"/>
        <v>208.64529324580002</v>
      </c>
      <c r="AU336" s="6">
        <f t="shared" si="202"/>
        <v>195.32207822059999</v>
      </c>
      <c r="AV336" s="6">
        <f t="shared" si="202"/>
        <v>182.69907907790002</v>
      </c>
      <c r="AW336" s="6">
        <f t="shared" si="202"/>
        <v>170.75550351790002</v>
      </c>
      <c r="AX336" s="6">
        <f t="shared" si="202"/>
        <v>159.46928191880002</v>
      </c>
      <c r="AY336" s="6">
        <f t="shared" si="202"/>
        <v>148.81752169700002</v>
      </c>
      <c r="AZ336" s="6">
        <f t="shared" si="202"/>
        <v>138.77676446770002</v>
      </c>
      <c r="BA336" s="6">
        <f t="shared" si="202"/>
        <v>129.3231908599</v>
      </c>
      <c r="BB336" s="6">
        <f t="shared" si="202"/>
        <v>117.32260427600001</v>
      </c>
      <c r="BC336" s="6">
        <f t="shared" si="202"/>
        <v>109.1460997242</v>
      </c>
      <c r="BD336" s="6">
        <f t="shared" ref="BD336:BF336" si="203">BD313+BD327+BD320</f>
        <v>101.48036503279999</v>
      </c>
      <c r="BE336" s="6">
        <f t="shared" si="203"/>
        <v>94.301090705199996</v>
      </c>
      <c r="BF336" s="6">
        <f t="shared" si="203"/>
        <v>87.58423832790001</v>
      </c>
    </row>
    <row r="337" spans="1:58" x14ac:dyDescent="0.35">
      <c r="B337" t="s">
        <v>102</v>
      </c>
      <c r="C337" s="6">
        <f t="shared" ref="C337:AL337" si="204">C314+C328+C321</f>
        <v>2242.8616504070001</v>
      </c>
      <c r="D337" s="6">
        <f t="shared" si="204"/>
        <v>2187.0300492869001</v>
      </c>
      <c r="E337" s="6">
        <f t="shared" si="204"/>
        <v>2138.0753909984001</v>
      </c>
      <c r="F337" s="6">
        <f t="shared" si="204"/>
        <v>2091.4690055504998</v>
      </c>
      <c r="G337" s="6">
        <f t="shared" si="204"/>
        <v>2044.5592030553</v>
      </c>
      <c r="H337" s="6">
        <f t="shared" si="204"/>
        <v>1995.9103395681</v>
      </c>
      <c r="I337" s="6">
        <f t="shared" si="204"/>
        <v>1944.6974639658001</v>
      </c>
      <c r="J337" s="6">
        <f t="shared" si="204"/>
        <v>1890.7549811854999</v>
      </c>
      <c r="K337" s="6">
        <f t="shared" si="204"/>
        <v>1834.1969199614</v>
      </c>
      <c r="L337" s="6">
        <f t="shared" si="204"/>
        <v>1775.2951362455001</v>
      </c>
      <c r="M337" s="6">
        <f t="shared" si="204"/>
        <v>1714.5253107796</v>
      </c>
      <c r="N337" s="6">
        <f t="shared" si="204"/>
        <v>1652.1677638352999</v>
      </c>
      <c r="O337" s="6">
        <f t="shared" si="204"/>
        <v>1588.6342625563</v>
      </c>
      <c r="P337" s="6">
        <f t="shared" si="204"/>
        <v>1524.3029936947</v>
      </c>
      <c r="Q337" s="6">
        <f t="shared" si="204"/>
        <v>1459.5392425980001</v>
      </c>
      <c r="R337" s="6">
        <f t="shared" si="204"/>
        <v>1394.6970680464001</v>
      </c>
      <c r="S337" s="6">
        <f t="shared" si="204"/>
        <v>1330.1127340584999</v>
      </c>
      <c r="T337" s="6">
        <f t="shared" si="204"/>
        <v>1266.1028671707002</v>
      </c>
      <c r="U337" s="6">
        <f t="shared" si="204"/>
        <v>1202.9594589416999</v>
      </c>
      <c r="V337" s="6">
        <f t="shared" si="204"/>
        <v>1140.945927127</v>
      </c>
      <c r="W337" s="6">
        <f t="shared" si="204"/>
        <v>1080.2529237809997</v>
      </c>
      <c r="X337" s="6">
        <f t="shared" si="204"/>
        <v>1021.1362341191</v>
      </c>
      <c r="Y337" s="6">
        <f t="shared" si="204"/>
        <v>963.76528761889995</v>
      </c>
      <c r="Z337" s="6">
        <f t="shared" si="204"/>
        <v>908.27853050279998</v>
      </c>
      <c r="AA337" s="6">
        <f t="shared" si="204"/>
        <v>854.78505631339999</v>
      </c>
      <c r="AB337" s="6">
        <f t="shared" si="204"/>
        <v>803.30631334880002</v>
      </c>
      <c r="AC337" s="6">
        <f t="shared" si="204"/>
        <v>753.95506852469998</v>
      </c>
      <c r="AD337" s="6">
        <f t="shared" si="204"/>
        <v>706.77629784860005</v>
      </c>
      <c r="AE337" s="6">
        <f t="shared" si="204"/>
        <v>661.79179240879989</v>
      </c>
      <c r="AF337" s="6">
        <f t="shared" si="204"/>
        <v>619.00264060960001</v>
      </c>
      <c r="AG337" s="6">
        <f t="shared" si="204"/>
        <v>578.39220956560007</v>
      </c>
      <c r="AH337" s="6">
        <f t="shared" si="204"/>
        <v>539.92910685459992</v>
      </c>
      <c r="AI337" s="6">
        <f t="shared" si="204"/>
        <v>503.5696600425</v>
      </c>
      <c r="AJ337" s="6">
        <f t="shared" si="204"/>
        <v>469.26026260790002</v>
      </c>
      <c r="AK337" s="6">
        <f t="shared" si="204"/>
        <v>436.93945613610003</v>
      </c>
      <c r="AL337" s="6">
        <f t="shared" si="204"/>
        <v>406.53971991720005</v>
      </c>
      <c r="AM337" s="6">
        <f t="shared" ref="AM337:BC337" si="205">AM314+AM328+AM321</f>
        <v>377.986830123</v>
      </c>
      <c r="AN337" s="6">
        <f t="shared" si="205"/>
        <v>351.20684716480002</v>
      </c>
      <c r="AO337" s="6">
        <f t="shared" si="205"/>
        <v>326.12319543439997</v>
      </c>
      <c r="AP337" s="6">
        <f t="shared" si="205"/>
        <v>302.65778068750001</v>
      </c>
      <c r="AQ337" s="6">
        <f t="shared" si="205"/>
        <v>280.7319022954</v>
      </c>
      <c r="AR337" s="6">
        <f t="shared" si="205"/>
        <v>260.2670383606</v>
      </c>
      <c r="AS337" s="6">
        <f t="shared" si="205"/>
        <v>241.18544045460001</v>
      </c>
      <c r="AT337" s="6">
        <f t="shared" si="205"/>
        <v>223.41066354340001</v>
      </c>
      <c r="AU337" s="6">
        <f t="shared" si="205"/>
        <v>206.8680113625</v>
      </c>
      <c r="AV337" s="6">
        <f t="shared" si="205"/>
        <v>191.48489172550001</v>
      </c>
      <c r="AW337" s="6">
        <f t="shared" si="205"/>
        <v>177.19115511039999</v>
      </c>
      <c r="AX337" s="6">
        <f t="shared" si="205"/>
        <v>163.91916792230001</v>
      </c>
      <c r="AY337" s="6">
        <f t="shared" si="205"/>
        <v>151.60402777979999</v>
      </c>
      <c r="AZ337" s="6">
        <f t="shared" si="205"/>
        <v>140.1836869325</v>
      </c>
      <c r="BA337" s="6">
        <f t="shared" si="205"/>
        <v>129.59902333740001</v>
      </c>
      <c r="BB337" s="6">
        <f t="shared" si="205"/>
        <v>115.76718007650001</v>
      </c>
      <c r="BC337" s="6">
        <f t="shared" si="205"/>
        <v>106.9852440657</v>
      </c>
      <c r="BD337" s="6">
        <f t="shared" ref="BD337:BF337" si="206">BD314+BD328+BD321</f>
        <v>98.859860768900006</v>
      </c>
      <c r="BE337" s="6">
        <f t="shared" si="206"/>
        <v>91.344481884600015</v>
      </c>
      <c r="BF337" s="6">
        <f t="shared" si="206"/>
        <v>84.3953800476</v>
      </c>
    </row>
    <row r="339" spans="1:58" x14ac:dyDescent="0.35">
      <c r="A339" s="12" t="s">
        <v>90</v>
      </c>
      <c r="B339" s="6" t="str">
        <f>[1]Hybrid!A19</f>
        <v>auto_ca_cfut_0</v>
      </c>
      <c r="C339" s="6">
        <f>[1]Hybrid!B19</f>
        <v>7095.7005250000002</v>
      </c>
      <c r="D339" s="6">
        <f>[1]Hybrid!C19</f>
        <v>7145.1881110000004</v>
      </c>
      <c r="E339" s="6">
        <f>[1]Hybrid!D19</f>
        <v>7246.0534690000004</v>
      </c>
      <c r="F339" s="6">
        <f>[1]Hybrid!E19</f>
        <v>7381.6108999999997</v>
      </c>
      <c r="G339" s="6">
        <f>[1]Hybrid!F19</f>
        <v>7540.7730229999997</v>
      </c>
      <c r="H339" s="6">
        <f>[1]Hybrid!G19</f>
        <v>7716.3454899999997</v>
      </c>
      <c r="I339" s="6">
        <f>[1]Hybrid!H19</f>
        <v>7902.5358239999996</v>
      </c>
      <c r="J339" s="6">
        <f>[1]Hybrid!I19</f>
        <v>8096.3143449999998</v>
      </c>
      <c r="K339" s="6">
        <f>[1]Hybrid!J19</f>
        <v>8295.6681840000001</v>
      </c>
      <c r="L339" s="6">
        <f>[1]Hybrid!K19</f>
        <v>8499.2177229999998</v>
      </c>
      <c r="M339" s="6">
        <f>[1]Hybrid!L19</f>
        <v>8708.0686949999999</v>
      </c>
      <c r="N339" s="6">
        <f>[1]Hybrid!M19</f>
        <v>8919.2943840000007</v>
      </c>
      <c r="O339" s="6">
        <f>[1]Hybrid!N19</f>
        <v>9132.2456829999992</v>
      </c>
      <c r="P339" s="6">
        <f>[1]Hybrid!O19</f>
        <v>9346.3567270000003</v>
      </c>
      <c r="Q339" s="6">
        <f>[1]Hybrid!P19</f>
        <v>9561.1642730000003</v>
      </c>
      <c r="R339" s="6">
        <f>[1]Hybrid!Q19</f>
        <v>9776.3003840000001</v>
      </c>
      <c r="S339" s="6">
        <f>[1]Hybrid!R19</f>
        <v>9991.4774689999995</v>
      </c>
      <c r="T339" s="6">
        <f>[1]Hybrid!S19</f>
        <v>10206.472970000001</v>
      </c>
      <c r="U339" s="6">
        <f>[1]Hybrid!T19</f>
        <v>10421.11663</v>
      </c>
      <c r="V339" s="6">
        <f>[1]Hybrid!U19</f>
        <v>10635.2811</v>
      </c>
      <c r="W339" s="6">
        <f>[1]Hybrid!V19</f>
        <v>10847.227699999999</v>
      </c>
      <c r="X339" s="6">
        <f>[1]Hybrid!W19</f>
        <v>11058.634669999999</v>
      </c>
      <c r="Y339" s="6">
        <f>[1]Hybrid!X19</f>
        <v>11269.50849</v>
      </c>
      <c r="Z339" s="6">
        <f>[1]Hybrid!Y19</f>
        <v>11479.89775</v>
      </c>
      <c r="AA339" s="6">
        <f>[1]Hybrid!Z19</f>
        <v>11689.85655</v>
      </c>
      <c r="AB339" s="6">
        <f>[1]Hybrid!AA19</f>
        <v>11894.61527</v>
      </c>
      <c r="AC339" s="6">
        <f>[1]Hybrid!AB19</f>
        <v>12097.0353</v>
      </c>
      <c r="AD339" s="6">
        <f>[1]Hybrid!AC19</f>
        <v>12297.38128</v>
      </c>
      <c r="AE339" s="6">
        <f>[1]Hybrid!AD19</f>
        <v>12496.02024</v>
      </c>
      <c r="AF339" s="6">
        <f>[1]Hybrid!AE19</f>
        <v>12693.3424</v>
      </c>
      <c r="AG339" s="6">
        <f>[1]Hybrid!AF19</f>
        <v>12889.72169</v>
      </c>
      <c r="AH339" s="6">
        <f>[1]Hybrid!AG19</f>
        <v>13085.498310000001</v>
      </c>
      <c r="AI339" s="6">
        <f>[1]Hybrid!AH19</f>
        <v>13280.974389999999</v>
      </c>
      <c r="AJ339" s="6">
        <f>[1]Hybrid!AI19</f>
        <v>13476.416939999999</v>
      </c>
      <c r="AK339" s="6">
        <f>[1]Hybrid!AJ19</f>
        <v>13672.06378</v>
      </c>
      <c r="AL339" s="6">
        <f>[1]Hybrid!AK19</f>
        <v>13868.13</v>
      </c>
      <c r="AM339" s="6">
        <f>[1]Hybrid!AL19</f>
        <v>14063.63242</v>
      </c>
      <c r="AN339" s="6">
        <f>[1]Hybrid!AM19</f>
        <v>14258.81357</v>
      </c>
      <c r="AO339" s="6">
        <f>[1]Hybrid!AN19</f>
        <v>14453.93001</v>
      </c>
      <c r="AP339" s="6">
        <f>[1]Hybrid!AO19</f>
        <v>14649.262919999999</v>
      </c>
      <c r="AQ339" s="6">
        <f>[1]Hybrid!AP19</f>
        <v>14845.103940000001</v>
      </c>
      <c r="AR339" s="6">
        <f>[1]Hybrid!AQ19</f>
        <v>15041.73806</v>
      </c>
      <c r="AS339" s="6">
        <f>[1]Hybrid!AR19</f>
        <v>15239.43059</v>
      </c>
      <c r="AT339" s="6">
        <f>[1]Hybrid!AS19</f>
        <v>15438.41992</v>
      </c>
      <c r="AU339" s="6">
        <f>[1]Hybrid!AT19</f>
        <v>15638.915080000001</v>
      </c>
      <c r="AV339" s="6">
        <f>[1]Hybrid!AU19</f>
        <v>15841.096799999999</v>
      </c>
      <c r="AW339" s="6">
        <f>[1]Hybrid!AV19</f>
        <v>16045.227650000001</v>
      </c>
      <c r="AX339" s="6">
        <f>[1]Hybrid!AW19</f>
        <v>16251.43614</v>
      </c>
      <c r="AY339" s="6">
        <f>[1]Hybrid!AX19</f>
        <v>16459.83063</v>
      </c>
      <c r="AZ339" s="6">
        <f>[1]Hybrid!AY19</f>
        <v>16670.500110000001</v>
      </c>
      <c r="BA339" s="6">
        <f>[1]Hybrid!AZ19</f>
        <v>16883.51772</v>
      </c>
      <c r="BB339" s="6">
        <f>[1]Hybrid!BA19</f>
        <v>18012.62011</v>
      </c>
      <c r="BC339" s="6">
        <f>[1]Hybrid!BB19</f>
        <v>18282.360379999998</v>
      </c>
      <c r="BD339" s="6">
        <f>[1]Hybrid!BC19</f>
        <v>18556.231739999999</v>
      </c>
      <c r="BE339" s="6">
        <f>[1]Hybrid!BD19</f>
        <v>18834.476409999999</v>
      </c>
      <c r="BF339" s="6">
        <f>[1]Hybrid!BE19</f>
        <v>19117.355759999999</v>
      </c>
    </row>
    <row r="340" spans="1:58" x14ac:dyDescent="0.35">
      <c r="A340" t="s">
        <v>38</v>
      </c>
      <c r="B340" s="6" t="str">
        <f>[1]Hybrid!A21</f>
        <v>auto_cb_cfut_0</v>
      </c>
      <c r="C340" s="6">
        <f>[1]Hybrid!B21</f>
        <v>8251.256421</v>
      </c>
      <c r="D340" s="6">
        <f>[1]Hybrid!C21</f>
        <v>8186.1344730000001</v>
      </c>
      <c r="E340" s="6">
        <f>[1]Hybrid!D21</f>
        <v>8177.9674569999997</v>
      </c>
      <c r="F340" s="6">
        <f>[1]Hybrid!E21</f>
        <v>8209.7989539999999</v>
      </c>
      <c r="G340" s="6">
        <f>[1]Hybrid!F21</f>
        <v>8270.2092599999996</v>
      </c>
      <c r="H340" s="6">
        <f>[1]Hybrid!G21</f>
        <v>8351.6250729999992</v>
      </c>
      <c r="I340" s="6">
        <f>[1]Hybrid!H21</f>
        <v>8447.9102989999992</v>
      </c>
      <c r="J340" s="6">
        <f>[1]Hybrid!I21</f>
        <v>8555.6340330000003</v>
      </c>
      <c r="K340" s="6">
        <f>[1]Hybrid!J21</f>
        <v>8672.3901819999992</v>
      </c>
      <c r="L340" s="6">
        <f>[1]Hybrid!K21</f>
        <v>8796.4214229999998</v>
      </c>
      <c r="M340" s="6">
        <f>[1]Hybrid!L21</f>
        <v>8928.3437620000004</v>
      </c>
      <c r="N340" s="6">
        <f>[1]Hybrid!M21</f>
        <v>9065.0211010000003</v>
      </c>
      <c r="O340" s="6">
        <f>[1]Hybrid!N21</f>
        <v>9205.4946629999995</v>
      </c>
      <c r="P340" s="6">
        <f>[1]Hybrid!O21</f>
        <v>9348.9148640000003</v>
      </c>
      <c r="Q340" s="6">
        <f>[1]Hybrid!P21</f>
        <v>9494.5557960000006</v>
      </c>
      <c r="R340" s="6">
        <f>[1]Hybrid!Q21</f>
        <v>9641.8051680000008</v>
      </c>
      <c r="S340" s="6">
        <f>[1]Hybrid!R21</f>
        <v>9790.1476660000008</v>
      </c>
      <c r="T340" s="6">
        <f>[1]Hybrid!S21</f>
        <v>9939.1483759999992</v>
      </c>
      <c r="U340" s="6">
        <f>[1]Hybrid!T21</f>
        <v>10088.43887</v>
      </c>
      <c r="V340" s="6">
        <f>[1]Hybrid!U21</f>
        <v>10237.706630000001</v>
      </c>
      <c r="W340" s="6">
        <f>[1]Hybrid!V21</f>
        <v>10385.192950000001</v>
      </c>
      <c r="X340" s="6">
        <f>[1]Hybrid!W21</f>
        <v>10532.26132</v>
      </c>
      <c r="Y340" s="6">
        <f>[1]Hybrid!X21</f>
        <v>10678.76118</v>
      </c>
      <c r="Z340" s="6">
        <f>[1]Hybrid!Y21</f>
        <v>10824.588680000001</v>
      </c>
      <c r="AA340" s="6">
        <f>[1]Hybrid!Z21</f>
        <v>10969.65294</v>
      </c>
      <c r="AB340" s="6">
        <f>[1]Hybrid!AA21</f>
        <v>11109.57705</v>
      </c>
      <c r="AC340" s="6">
        <f>[1]Hybrid!AB21</f>
        <v>11246.822910000001</v>
      </c>
      <c r="AD340" s="6">
        <f>[1]Hybrid!AC21</f>
        <v>11381.53183</v>
      </c>
      <c r="AE340" s="6">
        <f>[1]Hybrid!AD21</f>
        <v>11513.93694</v>
      </c>
      <c r="AF340" s="6">
        <f>[1]Hybrid!AE21</f>
        <v>11644.291740000001</v>
      </c>
      <c r="AG340" s="6">
        <f>[1]Hybrid!AF21</f>
        <v>11772.83488</v>
      </c>
      <c r="AH340" s="6">
        <f>[1]Hybrid!AG21</f>
        <v>11899.77475</v>
      </c>
      <c r="AI340" s="6">
        <f>[1]Hybrid!AH21</f>
        <v>12025.28579</v>
      </c>
      <c r="AJ340" s="6">
        <f>[1]Hybrid!AI21</f>
        <v>12149.51109</v>
      </c>
      <c r="AK340" s="6">
        <f>[1]Hybrid!AJ21</f>
        <v>12272.567660000001</v>
      </c>
      <c r="AL340" s="6">
        <f>[1]Hybrid!AK21</f>
        <v>12394.55205</v>
      </c>
      <c r="AM340" s="6">
        <f>[1]Hybrid!AL21</f>
        <v>12514.54241</v>
      </c>
      <c r="AN340" s="6">
        <f>[1]Hybrid!AM21</f>
        <v>12632.670609999999</v>
      </c>
      <c r="AO340" s="6">
        <f>[1]Hybrid!AN21</f>
        <v>12749.080169999999</v>
      </c>
      <c r="AP340" s="6">
        <f>[1]Hybrid!AO21</f>
        <v>12863.933639999999</v>
      </c>
      <c r="AQ340" s="6">
        <f>[1]Hybrid!AP21</f>
        <v>12977.399799999999</v>
      </c>
      <c r="AR340" s="6">
        <f>[1]Hybrid!AQ21</f>
        <v>13089.63876</v>
      </c>
      <c r="AS340" s="6">
        <f>[1]Hybrid!AR21</f>
        <v>13200.79118</v>
      </c>
      <c r="AT340" s="6">
        <f>[1]Hybrid!AS21</f>
        <v>13310.972320000001</v>
      </c>
      <c r="AU340" s="6">
        <f>[1]Hybrid!AT21</f>
        <v>13420.27037</v>
      </c>
      <c r="AV340" s="6">
        <f>[1]Hybrid!AU21</f>
        <v>13528.74755</v>
      </c>
      <c r="AW340" s="6">
        <f>[1]Hybrid!AV21</f>
        <v>13636.52931</v>
      </c>
      <c r="AX340" s="6">
        <f>[1]Hybrid!AW21</f>
        <v>13743.629139999999</v>
      </c>
      <c r="AY340" s="6">
        <f>[1]Hybrid!AX21</f>
        <v>13850.04206</v>
      </c>
      <c r="AZ340" s="6">
        <f>[1]Hybrid!AY21</f>
        <v>13955.745650000001</v>
      </c>
      <c r="BA340" s="6">
        <f>[1]Hybrid!AZ21</f>
        <v>14060.703149999999</v>
      </c>
      <c r="BB340" s="6">
        <f>[1]Hybrid!BA21</f>
        <v>14897.27658</v>
      </c>
      <c r="BC340" s="6">
        <f>[1]Hybrid!BB21</f>
        <v>15039.48724</v>
      </c>
      <c r="BD340" s="6">
        <f>[1]Hybrid!BC21</f>
        <v>15181.8681</v>
      </c>
      <c r="BE340" s="6">
        <f>[1]Hybrid!BD21</f>
        <v>15324.50747</v>
      </c>
      <c r="BF340" s="6">
        <f>[1]Hybrid!BE21</f>
        <v>15467.50431</v>
      </c>
    </row>
    <row r="341" spans="1:58" x14ac:dyDescent="0.35">
      <c r="B341" s="6" t="str">
        <f>[1]Hybrid!A23</f>
        <v>auto_cc_cfut_0</v>
      </c>
      <c r="C341" s="6">
        <f>[1]Hybrid!B23</f>
        <v>6777.6024520000001</v>
      </c>
      <c r="D341" s="6">
        <f>[1]Hybrid!C23</f>
        <v>6649.1114449999995</v>
      </c>
      <c r="E341" s="6">
        <f>[1]Hybrid!D23</f>
        <v>6565.7578880000001</v>
      </c>
      <c r="F341" s="6">
        <f>[1]Hybrid!E23</f>
        <v>6515.129516</v>
      </c>
      <c r="G341" s="6">
        <f>[1]Hybrid!F23</f>
        <v>6488.7621529999997</v>
      </c>
      <c r="H341" s="6">
        <f>[1]Hybrid!G23</f>
        <v>6480.9323539999996</v>
      </c>
      <c r="I341" s="6">
        <f>[1]Hybrid!H23</f>
        <v>6486.9770319999998</v>
      </c>
      <c r="J341" s="6">
        <f>[1]Hybrid!I23</f>
        <v>6504.1443859999999</v>
      </c>
      <c r="K341" s="6">
        <f>[1]Hybrid!J23</f>
        <v>6530.4276499999996</v>
      </c>
      <c r="L341" s="6">
        <f>[1]Hybrid!K23</f>
        <v>6564.2992819999999</v>
      </c>
      <c r="M341" s="6">
        <f>[1]Hybrid!L23</f>
        <v>6605.8686900000002</v>
      </c>
      <c r="N341" s="6">
        <f>[1]Hybrid!M23</f>
        <v>6652.730536</v>
      </c>
      <c r="O341" s="6">
        <f>[1]Hybrid!N23</f>
        <v>6703.9825780000001</v>
      </c>
      <c r="P341" s="6">
        <f>[1]Hybrid!O23</f>
        <v>6758.8198869999997</v>
      </c>
      <c r="Q341" s="6">
        <f>[1]Hybrid!P23</f>
        <v>6816.5419830000001</v>
      </c>
      <c r="R341" s="6">
        <f>[1]Hybrid!Q23</f>
        <v>6876.5437389999997</v>
      </c>
      <c r="S341" s="6">
        <f>[1]Hybrid!R23</f>
        <v>6938.302224</v>
      </c>
      <c r="T341" s="6">
        <f>[1]Hybrid!S23</f>
        <v>7001.3638810000002</v>
      </c>
      <c r="U341" s="6">
        <f>[1]Hybrid!T23</f>
        <v>7065.3336879999997</v>
      </c>
      <c r="V341" s="6">
        <f>[1]Hybrid!U23</f>
        <v>7129.8666739999999</v>
      </c>
      <c r="W341" s="6">
        <f>[1]Hybrid!V23</f>
        <v>7193.683779</v>
      </c>
      <c r="X341" s="6">
        <f>[1]Hybrid!W23</f>
        <v>7257.5660699999999</v>
      </c>
      <c r="Y341" s="6">
        <f>[1]Hybrid!X23</f>
        <v>7321.3073109999996</v>
      </c>
      <c r="Z341" s="6">
        <f>[1]Hybrid!Y23</f>
        <v>7384.7393000000002</v>
      </c>
      <c r="AA341" s="6">
        <f>[1]Hybrid!Z23</f>
        <v>7447.7093519999999</v>
      </c>
      <c r="AB341" s="6">
        <f>[1]Hybrid!AA23</f>
        <v>7507.3186560000004</v>
      </c>
      <c r="AC341" s="6">
        <f>[1]Hybrid!AB23</f>
        <v>7565.0922250000003</v>
      </c>
      <c r="AD341" s="6">
        <f>[1]Hybrid!AC23</f>
        <v>7621.0602040000003</v>
      </c>
      <c r="AE341" s="6">
        <f>[1]Hybrid!AD23</f>
        <v>7675.3137509999997</v>
      </c>
      <c r="AF341" s="6">
        <f>[1]Hybrid!AE23</f>
        <v>7727.9584340000001</v>
      </c>
      <c r="AG341" s="6">
        <f>[1]Hybrid!AF23</f>
        <v>7779.0916310000002</v>
      </c>
      <c r="AH341" s="6">
        <f>[1]Hybrid!AG23</f>
        <v>7828.7927419999996</v>
      </c>
      <c r="AI341" s="6">
        <f>[1]Hybrid!AH23</f>
        <v>7877.1208809999998</v>
      </c>
      <c r="AJ341" s="6">
        <f>[1]Hybrid!AI23</f>
        <v>7924.1165879999999</v>
      </c>
      <c r="AK341" s="6">
        <f>[1]Hybrid!AJ23</f>
        <v>7969.805214</v>
      </c>
      <c r="AL341" s="6">
        <f>[1]Hybrid!AK23</f>
        <v>8014.2005220000001</v>
      </c>
      <c r="AM341" s="6">
        <f>[1]Hybrid!AL23</f>
        <v>8056.693021</v>
      </c>
      <c r="AN341" s="6">
        <f>[1]Hybrid!AM23</f>
        <v>8097.3287229999996</v>
      </c>
      <c r="AO341" s="6">
        <f>[1]Hybrid!AN23</f>
        <v>8136.1621169999999</v>
      </c>
      <c r="AP341" s="6">
        <f>[1]Hybrid!AO23</f>
        <v>8173.259881</v>
      </c>
      <c r="AQ341" s="6">
        <f>[1]Hybrid!AP23</f>
        <v>8208.6924720000006</v>
      </c>
      <c r="AR341" s="6">
        <f>[1]Hybrid!AQ23</f>
        <v>8242.5249769999991</v>
      </c>
      <c r="AS341" s="6">
        <f>[1]Hybrid!AR23</f>
        <v>8274.8106040000002</v>
      </c>
      <c r="AT341" s="6">
        <f>[1]Hybrid!AS23</f>
        <v>8305.587313</v>
      </c>
      <c r="AU341" s="6">
        <f>[1]Hybrid!AT23</f>
        <v>8334.8770199999999</v>
      </c>
      <c r="AV341" s="6">
        <f>[1]Hybrid!AU23</f>
        <v>8362.6865400000006</v>
      </c>
      <c r="AW341" s="6">
        <f>[1]Hybrid!AV23</f>
        <v>8389.0597539999999</v>
      </c>
      <c r="AX341" s="6">
        <f>[1]Hybrid!AW23</f>
        <v>8413.9750829999994</v>
      </c>
      <c r="AY341" s="6">
        <f>[1]Hybrid!AX23</f>
        <v>8437.4009330000008</v>
      </c>
      <c r="AZ341" s="6">
        <f>[1]Hybrid!AY23</f>
        <v>8459.2965989999993</v>
      </c>
      <c r="BA341" s="6">
        <f>[1]Hybrid!AZ23</f>
        <v>8479.6143240000001</v>
      </c>
      <c r="BB341" s="6">
        <f>[1]Hybrid!BA23</f>
        <v>8921.7440729999998</v>
      </c>
      <c r="BC341" s="6">
        <f>[1]Hybrid!BB23</f>
        <v>8959.6840950000005</v>
      </c>
      <c r="BD341" s="6">
        <f>[1]Hybrid!BC23</f>
        <v>8996.3812340000004</v>
      </c>
      <c r="BE341" s="6">
        <f>[1]Hybrid!BD23</f>
        <v>9031.8619600000002</v>
      </c>
      <c r="BF341" s="6">
        <f>[1]Hybrid!BE23</f>
        <v>9066.1583840000003</v>
      </c>
    </row>
    <row r="342" spans="1:58" x14ac:dyDescent="0.35">
      <c r="B342" s="6" t="str">
        <f>[1]Hybrid!A25</f>
        <v>auto_cd_cfut_0</v>
      </c>
      <c r="C342" s="6">
        <f>[1]Hybrid!B25</f>
        <v>4159.6639080000004</v>
      </c>
      <c r="D342" s="6">
        <f>[1]Hybrid!C25</f>
        <v>4055.93001</v>
      </c>
      <c r="E342" s="6">
        <f>[1]Hybrid!D25</f>
        <v>3977.7671690000002</v>
      </c>
      <c r="F342" s="6">
        <f>[1]Hybrid!E25</f>
        <v>3917.6933049999998</v>
      </c>
      <c r="G342" s="6">
        <f>[1]Hybrid!F25</f>
        <v>3870.6369629999999</v>
      </c>
      <c r="H342" s="6">
        <f>[1]Hybrid!G25</f>
        <v>3833.1758869999999</v>
      </c>
      <c r="I342" s="6">
        <f>[1]Hybrid!H25</f>
        <v>3802.575394</v>
      </c>
      <c r="J342" s="6">
        <f>[1]Hybrid!I25</f>
        <v>3777.1954850000002</v>
      </c>
      <c r="K342" s="6">
        <f>[1]Hybrid!J25</f>
        <v>3755.840146</v>
      </c>
      <c r="L342" s="6">
        <f>[1]Hybrid!K25</f>
        <v>3737.6000089999998</v>
      </c>
      <c r="M342" s="6">
        <f>[1]Hybrid!L25</f>
        <v>3722.411681</v>
      </c>
      <c r="N342" s="6">
        <f>[1]Hybrid!M25</f>
        <v>3708.9721450000002</v>
      </c>
      <c r="O342" s="6">
        <f>[1]Hybrid!N25</f>
        <v>3696.7601669999999</v>
      </c>
      <c r="P342" s="6">
        <f>[1]Hybrid!O25</f>
        <v>3685.3224169999999</v>
      </c>
      <c r="Q342" s="6">
        <f>[1]Hybrid!P25</f>
        <v>3674.2734369999998</v>
      </c>
      <c r="R342" s="6">
        <f>[1]Hybrid!Q25</f>
        <v>3663.2882119999999</v>
      </c>
      <c r="S342" s="6">
        <f>[1]Hybrid!R25</f>
        <v>3652.0934750000001</v>
      </c>
      <c r="T342" s="6">
        <f>[1]Hybrid!S25</f>
        <v>3640.459703</v>
      </c>
      <c r="U342" s="6">
        <f>[1]Hybrid!T25</f>
        <v>3628.1943799999999</v>
      </c>
      <c r="V342" s="6">
        <f>[1]Hybrid!U25</f>
        <v>3615.1365740000001</v>
      </c>
      <c r="W342" s="6">
        <f>[1]Hybrid!V25</f>
        <v>3600.7336089999999</v>
      </c>
      <c r="X342" s="6">
        <f>[1]Hybrid!W25</f>
        <v>3585.3355419999998</v>
      </c>
      <c r="Y342" s="6">
        <f>[1]Hybrid!X25</f>
        <v>3568.862889</v>
      </c>
      <c r="Z342" s="6">
        <f>[1]Hybrid!Y25</f>
        <v>3551.2553899999998</v>
      </c>
      <c r="AA342" s="6">
        <f>[1]Hybrid!Z25</f>
        <v>3532.462532</v>
      </c>
      <c r="AB342" s="6">
        <f>[1]Hybrid!AA25</f>
        <v>3511.3548930000002</v>
      </c>
      <c r="AC342" s="6">
        <f>[1]Hybrid!AB25</f>
        <v>3488.5944589999999</v>
      </c>
      <c r="AD342" s="6">
        <f>[1]Hybrid!AC25</f>
        <v>3464.2380029999999</v>
      </c>
      <c r="AE342" s="6">
        <f>[1]Hybrid!AD25</f>
        <v>3438.3627350000002</v>
      </c>
      <c r="AF342" s="6">
        <f>[1]Hybrid!AE25</f>
        <v>3411.0476779999999</v>
      </c>
      <c r="AG342" s="6">
        <f>[1]Hybrid!AF25</f>
        <v>3382.3655330000001</v>
      </c>
      <c r="AH342" s="6">
        <f>[1]Hybrid!AG25</f>
        <v>3352.3797639999998</v>
      </c>
      <c r="AI342" s="6">
        <f>[1]Hybrid!AH25</f>
        <v>3321.1444919999999</v>
      </c>
      <c r="AJ342" s="6">
        <f>[1]Hybrid!AI25</f>
        <v>3288.705829</v>
      </c>
      <c r="AK342" s="6">
        <f>[1]Hybrid!AJ25</f>
        <v>3255.1037299999998</v>
      </c>
      <c r="AL342" s="6">
        <f>[1]Hybrid!AK25</f>
        <v>3220.37383</v>
      </c>
      <c r="AM342" s="6">
        <f>[1]Hybrid!AL25</f>
        <v>3184.3526919999999</v>
      </c>
      <c r="AN342" s="6">
        <f>[1]Hybrid!AM25</f>
        <v>3147.09843</v>
      </c>
      <c r="AO342" s="6">
        <f>[1]Hybrid!AN25</f>
        <v>3108.6722829999999</v>
      </c>
      <c r="AP342" s="6">
        <f>[1]Hybrid!AO25</f>
        <v>3069.1387800000002</v>
      </c>
      <c r="AQ342" s="6">
        <f>[1]Hybrid!AP25</f>
        <v>3028.562664</v>
      </c>
      <c r="AR342" s="6">
        <f>[1]Hybrid!AQ25</f>
        <v>2987.0061340000002</v>
      </c>
      <c r="AS342" s="6">
        <f>[1]Hybrid!AR25</f>
        <v>2944.5272199999999</v>
      </c>
      <c r="AT342" s="6">
        <f>[1]Hybrid!AS25</f>
        <v>2901.179251</v>
      </c>
      <c r="AU342" s="6">
        <f>[1]Hybrid!AT25</f>
        <v>2857.011109</v>
      </c>
      <c r="AV342" s="6">
        <f>[1]Hybrid!AU25</f>
        <v>2812.0679500000001</v>
      </c>
      <c r="AW342" s="6">
        <f>[1]Hybrid!AV25</f>
        <v>2766.4048520000001</v>
      </c>
      <c r="AX342" s="6">
        <f>[1]Hybrid!AW25</f>
        <v>2720.0603230000002</v>
      </c>
      <c r="AY342" s="6">
        <f>[1]Hybrid!AX25</f>
        <v>2673.0715879999998</v>
      </c>
      <c r="AZ342" s="6">
        <f>[1]Hybrid!AY25</f>
        <v>2625.4751529999999</v>
      </c>
      <c r="BA342" s="6">
        <f>[1]Hybrid!AZ25</f>
        <v>2577.3075450000001</v>
      </c>
      <c r="BB342" s="6">
        <f>[1]Hybrid!BA25</f>
        <v>2596.5519389999999</v>
      </c>
      <c r="BC342" s="6">
        <f>[1]Hybrid!BB25</f>
        <v>2548.3801870000002</v>
      </c>
      <c r="BD342" s="6">
        <f>[1]Hybrid!BC25</f>
        <v>2499.6340030000001</v>
      </c>
      <c r="BE342" s="6">
        <f>[1]Hybrid!BD25</f>
        <v>2450.3657029999999</v>
      </c>
      <c r="BF342" s="6">
        <f>[1]Hybrid!BE25</f>
        <v>2400.6280200000001</v>
      </c>
    </row>
    <row r="343" spans="1:58" x14ac:dyDescent="0.35">
      <c r="B343" s="6" t="str">
        <f>[1]Hybrid!A27</f>
        <v>auto_ce_cfut_0</v>
      </c>
      <c r="C343" s="6">
        <f>[1]Hybrid!B27</f>
        <v>2503.7292430000002</v>
      </c>
      <c r="D343" s="6">
        <f>[1]Hybrid!C27</f>
        <v>2443.575566</v>
      </c>
      <c r="E343" s="6">
        <f>[1]Hybrid!D27</f>
        <v>2397.7906790000002</v>
      </c>
      <c r="F343" s="6">
        <f>[1]Hybrid!E27</f>
        <v>2361.5943029999999</v>
      </c>
      <c r="G343" s="6">
        <f>[1]Hybrid!F27</f>
        <v>2331.8074649999999</v>
      </c>
      <c r="H343" s="6">
        <f>[1]Hybrid!G27</f>
        <v>2306.3317820000002</v>
      </c>
      <c r="I343" s="6">
        <f>[1]Hybrid!H27</f>
        <v>2283.5399510000002</v>
      </c>
      <c r="J343" s="6">
        <f>[1]Hybrid!I27</f>
        <v>2262.4909210000001</v>
      </c>
      <c r="K343" s="6">
        <f>[1]Hybrid!J27</f>
        <v>2242.5270829999999</v>
      </c>
      <c r="L343" s="6">
        <f>[1]Hybrid!K27</f>
        <v>2223.1721680000001</v>
      </c>
      <c r="M343" s="6">
        <f>[1]Hybrid!L27</f>
        <v>2204.4341869999998</v>
      </c>
      <c r="N343" s="6">
        <f>[1]Hybrid!M27</f>
        <v>2185.6311850000002</v>
      </c>
      <c r="O343" s="6">
        <f>[1]Hybrid!N27</f>
        <v>2166.530514</v>
      </c>
      <c r="P343" s="6">
        <f>[1]Hybrid!O27</f>
        <v>2146.9429230000001</v>
      </c>
      <c r="Q343" s="6">
        <f>[1]Hybrid!P27</f>
        <v>2126.7206919999999</v>
      </c>
      <c r="R343" s="6">
        <f>[1]Hybrid!Q27</f>
        <v>2105.7520549999999</v>
      </c>
      <c r="S343" s="6">
        <f>[1]Hybrid!R27</f>
        <v>2083.9553299999998</v>
      </c>
      <c r="T343" s="6">
        <f>[1]Hybrid!S27</f>
        <v>2061.2737149999998</v>
      </c>
      <c r="U343" s="6">
        <f>[1]Hybrid!T27</f>
        <v>2037.6709390000001</v>
      </c>
      <c r="V343" s="6">
        <f>[1]Hybrid!U27</f>
        <v>2013.127757</v>
      </c>
      <c r="W343" s="6">
        <f>[1]Hybrid!V27</f>
        <v>1987.4347479999999</v>
      </c>
      <c r="X343" s="6">
        <f>[1]Hybrid!W27</f>
        <v>1960.828469</v>
      </c>
      <c r="Y343" s="6">
        <f>[1]Hybrid!X27</f>
        <v>1933.3301289999999</v>
      </c>
      <c r="Z343" s="6">
        <f>[1]Hybrid!Y27</f>
        <v>1904.968777</v>
      </c>
      <c r="AA343" s="6">
        <f>[1]Hybrid!Z27</f>
        <v>1875.7768679999999</v>
      </c>
      <c r="AB343" s="6">
        <f>[1]Hybrid!AA27</f>
        <v>1845.2980910000001</v>
      </c>
      <c r="AC343" s="6">
        <f>[1]Hybrid!AB27</f>
        <v>1813.902844</v>
      </c>
      <c r="AD343" s="6">
        <f>[1]Hybrid!AC27</f>
        <v>1781.6781599999999</v>
      </c>
      <c r="AE343" s="6">
        <f>[1]Hybrid!AD27</f>
        <v>1748.716011</v>
      </c>
      <c r="AF343" s="6">
        <f>[1]Hybrid!AE27</f>
        <v>1715.105024</v>
      </c>
      <c r="AG343" s="6">
        <f>[1]Hybrid!AF27</f>
        <v>1680.9273439999999</v>
      </c>
      <c r="AH343" s="6">
        <f>[1]Hybrid!AG27</f>
        <v>1646.2578599999999</v>
      </c>
      <c r="AI343" s="6">
        <f>[1]Hybrid!AH27</f>
        <v>1611.1646410000001</v>
      </c>
      <c r="AJ343" s="6">
        <f>[1]Hybrid!AI27</f>
        <v>1575.7099020000001</v>
      </c>
      <c r="AK343" s="6">
        <f>[1]Hybrid!AJ27</f>
        <v>1539.951135</v>
      </c>
      <c r="AL343" s="6">
        <f>[1]Hybrid!AK27</f>
        <v>1503.9421589999999</v>
      </c>
      <c r="AM343" s="6">
        <f>[1]Hybrid!AL27</f>
        <v>1467.6606859999999</v>
      </c>
      <c r="AN343" s="6">
        <f>[1]Hybrid!AM27</f>
        <v>1431.1695070000001</v>
      </c>
      <c r="AO343" s="6">
        <f>[1]Hybrid!AN27</f>
        <v>1394.530735</v>
      </c>
      <c r="AP343" s="6">
        <f>[1]Hybrid!AO27</f>
        <v>1357.8055629999999</v>
      </c>
      <c r="AQ343" s="6">
        <f>[1]Hybrid!AP27</f>
        <v>1321.053036</v>
      </c>
      <c r="AR343" s="6">
        <f>[1]Hybrid!AQ27</f>
        <v>1284.329125</v>
      </c>
      <c r="AS343" s="6">
        <f>[1]Hybrid!AR27</f>
        <v>1247.6863060000001</v>
      </c>
      <c r="AT343" s="6">
        <f>[1]Hybrid!AS27</f>
        <v>1211.173548</v>
      </c>
      <c r="AU343" s="6">
        <f>[1]Hybrid!AT27</f>
        <v>1174.8365630000001</v>
      </c>
      <c r="AV343" s="6">
        <f>[1]Hybrid!AU27</f>
        <v>1138.7181860000001</v>
      </c>
      <c r="AW343" s="6">
        <f>[1]Hybrid!AV27</f>
        <v>1102.862627</v>
      </c>
      <c r="AX343" s="6">
        <f>[1]Hybrid!AW27</f>
        <v>1067.307317</v>
      </c>
      <c r="AY343" s="6">
        <f>[1]Hybrid!AX27</f>
        <v>1032.087863</v>
      </c>
      <c r="AZ343" s="6">
        <f>[1]Hybrid!AY27</f>
        <v>997.23826659999997</v>
      </c>
      <c r="BA343" s="6">
        <f>[1]Hybrid!AZ27</f>
        <v>962.7911593</v>
      </c>
      <c r="BB343" s="6">
        <f>[1]Hybrid!BA27</f>
        <v>945.27267259999996</v>
      </c>
      <c r="BC343" s="6">
        <f>[1]Hybrid!BB27</f>
        <v>911.68588090000003</v>
      </c>
      <c r="BD343" s="6">
        <f>[1]Hybrid!BC27</f>
        <v>878.5668349</v>
      </c>
      <c r="BE343" s="6">
        <f>[1]Hybrid!BD27</f>
        <v>845.94794160000004</v>
      </c>
      <c r="BF343" s="6">
        <f>[1]Hybrid!BE27</f>
        <v>813.85963189999995</v>
      </c>
    </row>
    <row r="344" spans="1:58" x14ac:dyDescent="0.35">
      <c r="B344" s="6" t="str">
        <f>[1]Hybrid!A29</f>
        <v>auto_cf_cfut_0</v>
      </c>
      <c r="C344" s="6">
        <f>[1]Hybrid!B29</f>
        <v>1243.6668460000001</v>
      </c>
      <c r="D344" s="6">
        <f>[1]Hybrid!C29</f>
        <v>1210.9488530000001</v>
      </c>
      <c r="E344" s="6">
        <f>[1]Hybrid!D29</f>
        <v>1183.6825670000001</v>
      </c>
      <c r="F344" s="6">
        <f>[1]Hybrid!E29</f>
        <v>1159.2756890000001</v>
      </c>
      <c r="G344" s="6">
        <f>[1]Hybrid!F29</f>
        <v>1136.132953</v>
      </c>
      <c r="H344" s="6">
        <f>[1]Hybrid!G29</f>
        <v>1113.3056999999999</v>
      </c>
      <c r="I344" s="6">
        <f>[1]Hybrid!H29</f>
        <v>1090.158009</v>
      </c>
      <c r="J344" s="6">
        <f>[1]Hybrid!I29</f>
        <v>1066.408351</v>
      </c>
      <c r="K344" s="6">
        <f>[1]Hybrid!J29</f>
        <v>1041.927115</v>
      </c>
      <c r="L344" s="6">
        <f>[1]Hybrid!K29</f>
        <v>1016.676509</v>
      </c>
      <c r="M344" s="6">
        <f>[1]Hybrid!L29</f>
        <v>990.79836650000004</v>
      </c>
      <c r="N344" s="6">
        <f>[1]Hybrid!M29</f>
        <v>964.19775749999997</v>
      </c>
      <c r="O344" s="6">
        <f>[1]Hybrid!N29</f>
        <v>936.94409029999997</v>
      </c>
      <c r="P344" s="6">
        <f>[1]Hybrid!O29</f>
        <v>909.12150569999994</v>
      </c>
      <c r="Q344" s="6">
        <f>[1]Hybrid!P29</f>
        <v>880.82502009999996</v>
      </c>
      <c r="R344" s="6">
        <f>[1]Hybrid!Q29</f>
        <v>852.1562715</v>
      </c>
      <c r="S344" s="6">
        <f>[1]Hybrid!R29</f>
        <v>823.21993580000003</v>
      </c>
      <c r="T344" s="6">
        <f>[1]Hybrid!S29</f>
        <v>794.12089990000004</v>
      </c>
      <c r="U344" s="6">
        <f>[1]Hybrid!T29</f>
        <v>764.96208820000004</v>
      </c>
      <c r="V344" s="6">
        <f>[1]Hybrid!U29</f>
        <v>735.84282480000002</v>
      </c>
      <c r="W344" s="6">
        <f>[1]Hybrid!V29</f>
        <v>706.81445080000003</v>
      </c>
      <c r="X344" s="6">
        <f>[1]Hybrid!W29</f>
        <v>678.0182006</v>
      </c>
      <c r="Y344" s="6">
        <f>[1]Hybrid!X29</f>
        <v>649.53709930000002</v>
      </c>
      <c r="Z344" s="6">
        <f>[1]Hybrid!Y29</f>
        <v>621.44689919999996</v>
      </c>
      <c r="AA344" s="6">
        <f>[1]Hybrid!Z29</f>
        <v>593.81567740000003</v>
      </c>
      <c r="AB344" s="6">
        <f>[1]Hybrid!AA29</f>
        <v>566.6249689</v>
      </c>
      <c r="AC344" s="6">
        <f>[1]Hybrid!AB29</f>
        <v>539.99172160000001</v>
      </c>
      <c r="AD344" s="6">
        <f>[1]Hybrid!AC29</f>
        <v>513.97431970000002</v>
      </c>
      <c r="AE344" s="6">
        <f>[1]Hybrid!AD29</f>
        <v>488.62300370000003</v>
      </c>
      <c r="AF344" s="6">
        <f>[1]Hybrid!AE29</f>
        <v>463.97932969999999</v>
      </c>
      <c r="AG344" s="6">
        <f>[1]Hybrid!AF29</f>
        <v>440.07660199999998</v>
      </c>
      <c r="AH344" s="6">
        <f>[1]Hybrid!AG29</f>
        <v>416.94062029999998</v>
      </c>
      <c r="AI344" s="6">
        <f>[1]Hybrid!AH29</f>
        <v>394.59050430000002</v>
      </c>
      <c r="AJ344" s="6">
        <f>[1]Hybrid!AI29</f>
        <v>373.0394948</v>
      </c>
      <c r="AK344" s="6">
        <f>[1]Hybrid!AJ29</f>
        <v>352.2956848</v>
      </c>
      <c r="AL344" s="6">
        <f>[1]Hybrid!AK29</f>
        <v>332.36266269999999</v>
      </c>
      <c r="AM344" s="6">
        <f>[1]Hybrid!AL29</f>
        <v>313.23410330000002</v>
      </c>
      <c r="AN344" s="6">
        <f>[1]Hybrid!AM29</f>
        <v>294.90834949999999</v>
      </c>
      <c r="AO344" s="6">
        <f>[1]Hybrid!AN29</f>
        <v>277.38045090000003</v>
      </c>
      <c r="AP344" s="6">
        <f>[1]Hybrid!AO29</f>
        <v>260.64240389999998</v>
      </c>
      <c r="AQ344" s="6">
        <f>[1]Hybrid!AP29</f>
        <v>244.68337030000001</v>
      </c>
      <c r="AR344" s="6">
        <f>[1]Hybrid!AQ29</f>
        <v>229.4899503</v>
      </c>
      <c r="AS344" s="6">
        <f>[1]Hybrid!AR29</f>
        <v>215.04648950000001</v>
      </c>
      <c r="AT344" s="6">
        <f>[1]Hybrid!AS29</f>
        <v>201.33539329999999</v>
      </c>
      <c r="AU344" s="6">
        <f>[1]Hybrid!AT29</f>
        <v>188.3374311</v>
      </c>
      <c r="AV344" s="6">
        <f>[1]Hybrid!AU29</f>
        <v>176.03201899999999</v>
      </c>
      <c r="AW344" s="6">
        <f>[1]Hybrid!AV29</f>
        <v>164.3976232</v>
      </c>
      <c r="AX344" s="6">
        <f>[1]Hybrid!AW29</f>
        <v>153.41163589999999</v>
      </c>
      <c r="AY344" s="6">
        <f>[1]Hybrid!AX29</f>
        <v>143.0508002</v>
      </c>
      <c r="AZ344" s="6">
        <f>[1]Hybrid!AY29</f>
        <v>133.29139459999999</v>
      </c>
      <c r="BA344" s="6">
        <f>[1]Hybrid!AZ29</f>
        <v>124.10940069999999</v>
      </c>
      <c r="BB344" s="6">
        <f>[1]Hybrid!BA29</f>
        <v>114.9074565</v>
      </c>
      <c r="BC344" s="6">
        <f>[1]Hybrid!BB29</f>
        <v>106.8293941</v>
      </c>
      <c r="BD344" s="6">
        <f>[1]Hybrid!BC29</f>
        <v>99.257369080000004</v>
      </c>
      <c r="BE344" s="6">
        <f>[1]Hybrid!BD29</f>
        <v>92.167277819999995</v>
      </c>
      <c r="BF344" s="6">
        <f>[1]Hybrid!BE29</f>
        <v>85.535296729999999</v>
      </c>
    </row>
    <row r="345" spans="1:58" x14ac:dyDescent="0.35">
      <c r="B345" s="6" t="str">
        <f>[1]Hybrid!A31</f>
        <v>auto_cg_cfut_0</v>
      </c>
      <c r="C345" s="6">
        <f>[1]Hybrid!B31</f>
        <v>2239.620606</v>
      </c>
      <c r="D345" s="6">
        <f>[1]Hybrid!C31</f>
        <v>2183.8728550000001</v>
      </c>
      <c r="E345" s="6">
        <f>[1]Hybrid!D31</f>
        <v>2135.1571220000001</v>
      </c>
      <c r="F345" s="6">
        <f>[1]Hybrid!E31</f>
        <v>2088.4049450000002</v>
      </c>
      <c r="G345" s="6">
        <f>[1]Hybrid!F31</f>
        <v>2040.797628</v>
      </c>
      <c r="H345" s="6">
        <f>[1]Hybrid!G31</f>
        <v>1990.9240400000001</v>
      </c>
      <c r="I345" s="6">
        <f>[1]Hybrid!H31</f>
        <v>1938.0714009999999</v>
      </c>
      <c r="J345" s="6">
        <f>[1]Hybrid!I31</f>
        <v>1882.198707</v>
      </c>
      <c r="K345" s="6">
        <f>[1]Hybrid!J31</f>
        <v>1823.539168</v>
      </c>
      <c r="L345" s="6">
        <f>[1]Hybrid!K31</f>
        <v>1762.4691640000001</v>
      </c>
      <c r="M345" s="6">
        <f>[1]Hybrid!L31</f>
        <v>1699.6019510000001</v>
      </c>
      <c r="N345" s="6">
        <f>[1]Hybrid!M31</f>
        <v>1635.1895870000001</v>
      </c>
      <c r="O345" s="6">
        <f>[1]Hybrid!N31</f>
        <v>1569.6906140000001</v>
      </c>
      <c r="P345" s="6">
        <f>[1]Hybrid!O31</f>
        <v>1503.549119</v>
      </c>
      <c r="Q345" s="6">
        <f>[1]Hybrid!P31</f>
        <v>1437.1865089999999</v>
      </c>
      <c r="R345" s="6">
        <f>[1]Hybrid!Q31</f>
        <v>1370.9946480000001</v>
      </c>
      <c r="S345" s="6">
        <f>[1]Hybrid!R31</f>
        <v>1305.331383</v>
      </c>
      <c r="T345" s="6">
        <f>[1]Hybrid!S31</f>
        <v>1240.5180720000001</v>
      </c>
      <c r="U345" s="6">
        <f>[1]Hybrid!T31</f>
        <v>1176.8386350000001</v>
      </c>
      <c r="V345" s="6">
        <f>[1]Hybrid!U31</f>
        <v>1114.5397379999999</v>
      </c>
      <c r="W345" s="6">
        <f>[1]Hybrid!V31</f>
        <v>1053.7927090000001</v>
      </c>
      <c r="X345" s="6">
        <f>[1]Hybrid!W31</f>
        <v>994.82360259999996</v>
      </c>
      <c r="Y345" s="6">
        <f>[1]Hybrid!X31</f>
        <v>937.77531290000002</v>
      </c>
      <c r="Z345" s="6">
        <f>[1]Hybrid!Y31</f>
        <v>882.75963890000003</v>
      </c>
      <c r="AA345" s="6">
        <f>[1]Hybrid!Z31</f>
        <v>829.85993489999998</v>
      </c>
      <c r="AB345" s="6">
        <f>[1]Hybrid!AA31</f>
        <v>779.07770370000003</v>
      </c>
      <c r="AC345" s="6">
        <f>[1]Hybrid!AB31</f>
        <v>730.49894359999996</v>
      </c>
      <c r="AD345" s="6">
        <f>[1]Hybrid!AC31</f>
        <v>684.14842929999998</v>
      </c>
      <c r="AE345" s="6">
        <f>[1]Hybrid!AD31</f>
        <v>640.03062950000003</v>
      </c>
      <c r="AF345" s="6">
        <f>[1]Hybrid!AE31</f>
        <v>598.13192779999997</v>
      </c>
      <c r="AG345" s="6">
        <f>[1]Hybrid!AF31</f>
        <v>558.42333510000003</v>
      </c>
      <c r="AH345" s="6">
        <f>[1]Hybrid!AG31</f>
        <v>520.86312109999994</v>
      </c>
      <c r="AI345" s="6">
        <f>[1]Hybrid!AH31</f>
        <v>485.39919939999999</v>
      </c>
      <c r="AJ345" s="6">
        <f>[1]Hybrid!AI31</f>
        <v>451.97123160000001</v>
      </c>
      <c r="AK345" s="6">
        <f>[1]Hybrid!AJ31</f>
        <v>420.51245230000001</v>
      </c>
      <c r="AL345" s="6">
        <f>[1]Hybrid!AK31</f>
        <v>390.95123640000003</v>
      </c>
      <c r="AM345" s="6">
        <f>[1]Hybrid!AL31</f>
        <v>363.21010749999999</v>
      </c>
      <c r="AN345" s="6">
        <f>[1]Hybrid!AM31</f>
        <v>337.21271389999998</v>
      </c>
      <c r="AO345" s="6">
        <f>[1]Hybrid!AN31</f>
        <v>312.8810355</v>
      </c>
      <c r="AP345" s="6">
        <f>[1]Hybrid!AO31</f>
        <v>290.13618279999997</v>
      </c>
      <c r="AQ345" s="6">
        <f>[1]Hybrid!AP31</f>
        <v>268.89910759999998</v>
      </c>
      <c r="AR345" s="6">
        <f>[1]Hybrid!AQ31</f>
        <v>249.09124639999999</v>
      </c>
      <c r="AS345" s="6">
        <f>[1]Hybrid!AR31</f>
        <v>230.63508540000001</v>
      </c>
      <c r="AT345" s="6">
        <f>[1]Hybrid!AS31</f>
        <v>213.4546406</v>
      </c>
      <c r="AU345" s="6">
        <f>[1]Hybrid!AT31</f>
        <v>197.47585419999999</v>
      </c>
      <c r="AV345" s="6">
        <f>[1]Hybrid!AU31</f>
        <v>182.62691359999999</v>
      </c>
      <c r="AW345" s="6">
        <f>[1]Hybrid!AV31</f>
        <v>168.83852899999999</v>
      </c>
      <c r="AX345" s="6">
        <f>[1]Hybrid!AW31</f>
        <v>156.0440447</v>
      </c>
      <c r="AY345" s="6">
        <f>[1]Hybrid!AX31</f>
        <v>144.17962299999999</v>
      </c>
      <c r="AZ345" s="6">
        <f>[1]Hybrid!AY31</f>
        <v>133.18433150000001</v>
      </c>
      <c r="BA345" s="6">
        <f>[1]Hybrid!AZ31</f>
        <v>123.0001898</v>
      </c>
      <c r="BB345" s="6">
        <f>[1]Hybrid!BA31</f>
        <v>112.71163730000001</v>
      </c>
      <c r="BC345" s="6">
        <f>[1]Hybrid!BB31</f>
        <v>104.0471179</v>
      </c>
      <c r="BD345" s="6">
        <f>[1]Hybrid!BC31</f>
        <v>96.034357119999996</v>
      </c>
      <c r="BE345" s="6">
        <f>[1]Hybrid!BD31</f>
        <v>88.627060349999994</v>
      </c>
      <c r="BF345" s="6">
        <f>[1]Hybrid!BE31</f>
        <v>81.781736309999999</v>
      </c>
    </row>
    <row r="346" spans="1:58" x14ac:dyDescent="0.35">
      <c r="B346" s="6" t="str">
        <f>[1]Hybrid!A33</f>
        <v>auto_ca_cele_0</v>
      </c>
      <c r="C346" s="6">
        <f>[1]Hybrid!B33</f>
        <v>9.8427898650000003</v>
      </c>
      <c r="D346" s="6">
        <f>[1]Hybrid!C33</f>
        <v>15.012031589999999</v>
      </c>
      <c r="E346" s="6">
        <f>[1]Hybrid!D33</f>
        <v>20.491657279999998</v>
      </c>
      <c r="F346" s="6">
        <f>[1]Hybrid!E33</f>
        <v>26.157427680000001</v>
      </c>
      <c r="G346" s="6">
        <f>[1]Hybrid!F33</f>
        <v>31.929986750000001</v>
      </c>
      <c r="H346" s="6">
        <f>[1]Hybrid!G33</f>
        <v>37.76055152</v>
      </c>
      <c r="I346" s="6">
        <f>[1]Hybrid!H33</f>
        <v>43.608929519999997</v>
      </c>
      <c r="J346" s="6">
        <f>[1]Hybrid!I33</f>
        <v>49.456913489999998</v>
      </c>
      <c r="K346" s="6">
        <f>[1]Hybrid!J33</f>
        <v>55.293395699999998</v>
      </c>
      <c r="L346" s="6">
        <f>[1]Hybrid!K33</f>
        <v>61.111525749999998</v>
      </c>
      <c r="M346" s="6">
        <f>[1]Hybrid!L33</f>
        <v>66.926891310000002</v>
      </c>
      <c r="N346" s="6">
        <f>[1]Hybrid!M33</f>
        <v>72.716772710000001</v>
      </c>
      <c r="O346" s="6">
        <f>[1]Hybrid!N33</f>
        <v>78.478598820000002</v>
      </c>
      <c r="P346" s="6">
        <f>[1]Hybrid!O33</f>
        <v>84.210217049999997</v>
      </c>
      <c r="Q346" s="6">
        <f>[1]Hybrid!P33</f>
        <v>89.910217939999995</v>
      </c>
      <c r="R346" s="6">
        <f>[1]Hybrid!Q33</f>
        <v>95.577975249999994</v>
      </c>
      <c r="S346" s="6">
        <f>[1]Hybrid!R33</f>
        <v>101.21359390000001</v>
      </c>
      <c r="T346" s="6">
        <f>[1]Hybrid!S33</f>
        <v>106.8178415</v>
      </c>
      <c r="U346" s="6">
        <f>[1]Hybrid!T33</f>
        <v>112.3920938</v>
      </c>
      <c r="V346" s="6">
        <f>[1]Hybrid!U33</f>
        <v>117.938303</v>
      </c>
      <c r="W346" s="6">
        <f>[1]Hybrid!V33</f>
        <v>123.442773</v>
      </c>
      <c r="X346" s="6">
        <f>[1]Hybrid!W33</f>
        <v>128.9250529</v>
      </c>
      <c r="Y346" s="6">
        <f>[1]Hybrid!X33</f>
        <v>134.38933919999999</v>
      </c>
      <c r="Z346" s="6">
        <f>[1]Hybrid!Y33</f>
        <v>139.8405995</v>
      </c>
      <c r="AA346" s="6">
        <f>[1]Hybrid!Z33</f>
        <v>145.2842272</v>
      </c>
      <c r="AB346" s="6">
        <f>[1]Hybrid!AA33</f>
        <v>150.67747679999999</v>
      </c>
      <c r="AC346" s="6">
        <f>[1]Hybrid!AB33</f>
        <v>156.05270959999999</v>
      </c>
      <c r="AD346" s="6">
        <f>[1]Hybrid!AC33</f>
        <v>161.41811949999999</v>
      </c>
      <c r="AE346" s="6">
        <f>[1]Hybrid!AD33</f>
        <v>166.7837044</v>
      </c>
      <c r="AF346" s="6">
        <f>[1]Hybrid!AE33</f>
        <v>172.16050770000001</v>
      </c>
      <c r="AG346" s="6">
        <f>[1]Hybrid!AF33</f>
        <v>177.56023709999999</v>
      </c>
      <c r="AH346" s="6">
        <f>[1]Hybrid!AG33</f>
        <v>182.99509140000001</v>
      </c>
      <c r="AI346" s="6">
        <f>[1]Hybrid!AH33</f>
        <v>188.47771560000001</v>
      </c>
      <c r="AJ346" s="6">
        <f>[1]Hybrid!AI33</f>
        <v>194.02123449999999</v>
      </c>
      <c r="AK346" s="6">
        <f>[1]Hybrid!AJ33</f>
        <v>199.63932790000001</v>
      </c>
      <c r="AL346" s="6">
        <f>[1]Hybrid!AK33</f>
        <v>205.346327</v>
      </c>
      <c r="AM346" s="6">
        <f>[1]Hybrid!AL33</f>
        <v>211.1443319</v>
      </c>
      <c r="AN346" s="6">
        <f>[1]Hybrid!AM33</f>
        <v>217.04915740000001</v>
      </c>
      <c r="AO346" s="6">
        <f>[1]Hybrid!AN33</f>
        <v>223.0779608</v>
      </c>
      <c r="AP346" s="6">
        <f>[1]Hybrid!AO33</f>
        <v>229.2494915</v>
      </c>
      <c r="AQ346" s="6">
        <f>[1]Hybrid!AP33</f>
        <v>235.58406769999999</v>
      </c>
      <c r="AR346" s="6">
        <f>[1]Hybrid!AQ33</f>
        <v>242.10351499999999</v>
      </c>
      <c r="AS346" s="6">
        <f>[1]Hybrid!AR33</f>
        <v>248.83114459999999</v>
      </c>
      <c r="AT346" s="6">
        <f>[1]Hybrid!AS33</f>
        <v>255.7917941</v>
      </c>
      <c r="AU346" s="6">
        <f>[1]Hybrid!AT33</f>
        <v>263.01192850000001</v>
      </c>
      <c r="AV346" s="6">
        <f>[1]Hybrid!AU33</f>
        <v>270.5197943</v>
      </c>
      <c r="AW346" s="6">
        <f>[1]Hybrid!AV33</f>
        <v>278.34700600000002</v>
      </c>
      <c r="AX346" s="6">
        <f>[1]Hybrid!AW33</f>
        <v>286.52603879999998</v>
      </c>
      <c r="AY346" s="6">
        <f>[1]Hybrid!AX33</f>
        <v>295.09179590000002</v>
      </c>
      <c r="AZ346" s="6">
        <f>[1]Hybrid!AY33</f>
        <v>304.0818372</v>
      </c>
      <c r="BA346" s="6">
        <f>[1]Hybrid!AZ33</f>
        <v>313.5366515</v>
      </c>
      <c r="BB346" s="6">
        <f>[1]Hybrid!BA33</f>
        <v>124.0450032</v>
      </c>
      <c r="BC346" s="6">
        <f>[1]Hybrid!BB33</f>
        <v>114.81711970000001</v>
      </c>
      <c r="BD346" s="6">
        <f>[1]Hybrid!BC33</f>
        <v>104.3082737</v>
      </c>
      <c r="BE346" s="6">
        <f>[1]Hybrid!BD33</f>
        <v>92.398095470000001</v>
      </c>
      <c r="BF346" s="6">
        <f>[1]Hybrid!BE33</f>
        <v>78.954133470000002</v>
      </c>
    </row>
    <row r="347" spans="1:58" x14ac:dyDescent="0.35">
      <c r="B347" s="6" t="str">
        <f>[1]Hybrid!A35</f>
        <v>auto_cb_cele_0</v>
      </c>
      <c r="C347" s="6">
        <f>[1]Hybrid!B35</f>
        <v>11.44571741</v>
      </c>
      <c r="D347" s="6">
        <f>[1]Hybrid!C35</f>
        <v>16.322968100000001</v>
      </c>
      <c r="E347" s="6">
        <f>[1]Hybrid!D35</f>
        <v>21.491824130000001</v>
      </c>
      <c r="F347" s="6">
        <f>[1]Hybrid!E35</f>
        <v>26.830588389999999</v>
      </c>
      <c r="G347" s="6">
        <f>[1]Hybrid!F35</f>
        <v>32.261549180000003</v>
      </c>
      <c r="H347" s="6">
        <f>[1]Hybrid!G35</f>
        <v>37.736755459999998</v>
      </c>
      <c r="I347" s="6">
        <f>[1]Hybrid!H35</f>
        <v>43.21676944</v>
      </c>
      <c r="J347" s="6">
        <f>[1]Hybrid!I35</f>
        <v>48.683248089999999</v>
      </c>
      <c r="K347" s="6">
        <f>[1]Hybrid!J35</f>
        <v>54.124671880000001</v>
      </c>
      <c r="L347" s="6">
        <f>[1]Hybrid!K35</f>
        <v>59.533606339999999</v>
      </c>
      <c r="M347" s="6">
        <f>[1]Hybrid!L35</f>
        <v>64.923754459999998</v>
      </c>
      <c r="N347" s="6">
        <f>[1]Hybrid!M35</f>
        <v>70.272755709999998</v>
      </c>
      <c r="O347" s="6">
        <f>[1]Hybrid!N35</f>
        <v>75.577303150000006</v>
      </c>
      <c r="P347" s="6">
        <f>[1]Hybrid!O35</f>
        <v>80.834538199999997</v>
      </c>
      <c r="Q347" s="6">
        <f>[1]Hybrid!P35</f>
        <v>86.042349689999995</v>
      </c>
      <c r="R347" s="6">
        <f>[1]Hybrid!Q35</f>
        <v>91.199403869999998</v>
      </c>
      <c r="S347" s="6">
        <f>[1]Hybrid!R35</f>
        <v>96.305089010000003</v>
      </c>
      <c r="T347" s="6">
        <f>[1]Hybrid!S35</f>
        <v>101.35944550000001</v>
      </c>
      <c r="U347" s="6">
        <f>[1]Hybrid!T35</f>
        <v>106.36310899999999</v>
      </c>
      <c r="V347" s="6">
        <f>[1]Hybrid!U35</f>
        <v>111.31727429999999</v>
      </c>
      <c r="W347" s="6">
        <f>[1]Hybrid!V35</f>
        <v>116.2088791</v>
      </c>
      <c r="X347" s="6">
        <f>[1]Hybrid!W35</f>
        <v>121.0553238</v>
      </c>
      <c r="Y347" s="6">
        <f>[1]Hybrid!X35</f>
        <v>125.85991970000001</v>
      </c>
      <c r="Z347" s="6">
        <f>[1]Hybrid!Y35</f>
        <v>130.62666060000001</v>
      </c>
      <c r="AA347" s="6">
        <f>[1]Hybrid!Z35</f>
        <v>135.3599025</v>
      </c>
      <c r="AB347" s="6">
        <f>[1]Hybrid!AA35</f>
        <v>140.02076289999999</v>
      </c>
      <c r="AC347" s="6">
        <f>[1]Hybrid!AB35</f>
        <v>144.6381456</v>
      </c>
      <c r="AD347" s="6">
        <f>[1]Hybrid!AC35</f>
        <v>149.2191105</v>
      </c>
      <c r="AE347" s="6">
        <f>[1]Hybrid!AD35</f>
        <v>153.7722651</v>
      </c>
      <c r="AF347" s="6">
        <f>[1]Hybrid!AE35</f>
        <v>158.30706240000001</v>
      </c>
      <c r="AG347" s="6">
        <f>[1]Hybrid!AF35</f>
        <v>162.83344600000001</v>
      </c>
      <c r="AH347" s="6">
        <f>[1]Hybrid!AG35</f>
        <v>167.36168420000001</v>
      </c>
      <c r="AI347" s="6">
        <f>[1]Hybrid!AH35</f>
        <v>171.9023167</v>
      </c>
      <c r="AJ347" s="6">
        <f>[1]Hybrid!AI35</f>
        <v>176.466171</v>
      </c>
      <c r="AK347" s="6">
        <f>[1]Hybrid!AJ35</f>
        <v>181.06441409999999</v>
      </c>
      <c r="AL347" s="6">
        <f>[1]Hybrid!AK35</f>
        <v>185.70862220000001</v>
      </c>
      <c r="AM347" s="6">
        <f>[1]Hybrid!AL35</f>
        <v>190.39964689999999</v>
      </c>
      <c r="AN347" s="6">
        <f>[1]Hybrid!AM35</f>
        <v>195.15013200000001</v>
      </c>
      <c r="AO347" s="6">
        <f>[1]Hybrid!AN35</f>
        <v>199.9737011</v>
      </c>
      <c r="AP347" s="6">
        <f>[1]Hybrid!AO35</f>
        <v>204.88513589999999</v>
      </c>
      <c r="AQ347" s="6">
        <f>[1]Hybrid!AP35</f>
        <v>209.90032160000001</v>
      </c>
      <c r="AR347" s="6">
        <f>[1]Hybrid!AQ35</f>
        <v>215.0361618</v>
      </c>
      <c r="AS347" s="6">
        <f>[1]Hybrid!AR35</f>
        <v>220.31052740000001</v>
      </c>
      <c r="AT347" s="6">
        <f>[1]Hybrid!AS35</f>
        <v>225.7422559</v>
      </c>
      <c r="AU347" s="6">
        <f>[1]Hybrid!AT35</f>
        <v>231.35120040000001</v>
      </c>
      <c r="AV347" s="6">
        <f>[1]Hybrid!AU35</f>
        <v>237.15831650000001</v>
      </c>
      <c r="AW347" s="6">
        <f>[1]Hybrid!AV35</f>
        <v>243.1869355</v>
      </c>
      <c r="AX347" s="6">
        <f>[1]Hybrid!AW35</f>
        <v>249.46061570000001</v>
      </c>
      <c r="AY347" s="6">
        <f>[1]Hybrid!AX35</f>
        <v>256.0044001</v>
      </c>
      <c r="AZ347" s="6">
        <f>[1]Hybrid!AY35</f>
        <v>262.84494139999998</v>
      </c>
      <c r="BA347" s="6">
        <f>[1]Hybrid!AZ35</f>
        <v>270.01065510000001</v>
      </c>
      <c r="BB347" s="6">
        <f>[1]Hybrid!BA35</f>
        <v>97.441447859999997</v>
      </c>
      <c r="BC347" s="6">
        <f>[1]Hybrid!BB35</f>
        <v>88.643995919999995</v>
      </c>
      <c r="BD347" s="6">
        <f>[1]Hybrid!BC35</f>
        <v>78.802633589999999</v>
      </c>
      <c r="BE347" s="6">
        <f>[1]Hybrid!BD35</f>
        <v>67.831831030000004</v>
      </c>
      <c r="BF347" s="6">
        <f>[1]Hybrid!BE35</f>
        <v>55.638347830000001</v>
      </c>
    </row>
    <row r="348" spans="1:58" x14ac:dyDescent="0.35">
      <c r="B348" s="6" t="str">
        <f>[1]Hybrid!A37</f>
        <v>auto_cc_cele_0</v>
      </c>
      <c r="C348" s="6">
        <f>[1]Hybrid!B37</f>
        <v>9.4015406210000005</v>
      </c>
      <c r="D348" s="6">
        <f>[1]Hybrid!C37</f>
        <v>12.71448285</v>
      </c>
      <c r="E348" s="6">
        <f>[1]Hybrid!D37</f>
        <v>16.225058390000001</v>
      </c>
      <c r="F348" s="6">
        <f>[1]Hybrid!E37</f>
        <v>19.84738432</v>
      </c>
      <c r="G348" s="6">
        <f>[1]Hybrid!F37</f>
        <v>23.52664944</v>
      </c>
      <c r="H348" s="6">
        <f>[1]Hybrid!G37</f>
        <v>27.228931729999999</v>
      </c>
      <c r="I348" s="6">
        <f>[1]Hybrid!H37</f>
        <v>30.926391800000001</v>
      </c>
      <c r="J348" s="6">
        <f>[1]Hybrid!I37</f>
        <v>34.605790689999999</v>
      </c>
      <c r="K348" s="6">
        <f>[1]Hybrid!J37</f>
        <v>38.258624750000003</v>
      </c>
      <c r="L348" s="6">
        <f>[1]Hybrid!K37</f>
        <v>41.879223189999998</v>
      </c>
      <c r="M348" s="6">
        <f>[1]Hybrid!L37</f>
        <v>45.47627988</v>
      </c>
      <c r="N348" s="6">
        <f>[1]Hybrid!M37</f>
        <v>49.034016350000002</v>
      </c>
      <c r="O348" s="6">
        <f>[1]Hybrid!N37</f>
        <v>52.549652770000002</v>
      </c>
      <c r="P348" s="6">
        <f>[1]Hybrid!O37</f>
        <v>56.020757260000003</v>
      </c>
      <c r="Q348" s="6">
        <f>[1]Hybrid!P37</f>
        <v>59.445444420000001</v>
      </c>
      <c r="R348" s="6">
        <f>[1]Hybrid!Q37</f>
        <v>62.822390120000001</v>
      </c>
      <c r="S348" s="6">
        <f>[1]Hybrid!R37</f>
        <v>66.150789520000004</v>
      </c>
      <c r="T348" s="6">
        <f>[1]Hybrid!S37</f>
        <v>69.430305720000007</v>
      </c>
      <c r="U348" s="6">
        <f>[1]Hybrid!T37</f>
        <v>72.661027340000004</v>
      </c>
      <c r="V348" s="6">
        <f>[1]Hybrid!U37</f>
        <v>75.843439239999995</v>
      </c>
      <c r="W348" s="6">
        <f>[1]Hybrid!V37</f>
        <v>78.968666760000005</v>
      </c>
      <c r="X348" s="6">
        <f>[1]Hybrid!W37</f>
        <v>82.047966950000003</v>
      </c>
      <c r="Y348" s="6">
        <f>[1]Hybrid!X37</f>
        <v>85.083279180000005</v>
      </c>
      <c r="Z348" s="6">
        <f>[1]Hybrid!Y37</f>
        <v>88.076983650000003</v>
      </c>
      <c r="AA348" s="6">
        <f>[1]Hybrid!Z37</f>
        <v>91.031686980000003</v>
      </c>
      <c r="AB348" s="6">
        <f>[1]Hybrid!AA37</f>
        <v>93.922000999999995</v>
      </c>
      <c r="AC348" s="6">
        <f>[1]Hybrid!AB37</f>
        <v>96.766647770000006</v>
      </c>
      <c r="AD348" s="6">
        <f>[1]Hybrid!AC37</f>
        <v>99.570117449999998</v>
      </c>
      <c r="AE348" s="6">
        <f>[1]Hybrid!AD37</f>
        <v>102.33785709999999</v>
      </c>
      <c r="AF348" s="6">
        <f>[1]Hybrid!AE37</f>
        <v>105.0758034</v>
      </c>
      <c r="AG348" s="6">
        <f>[1]Hybrid!AF37</f>
        <v>107.7901458</v>
      </c>
      <c r="AH348" s="6">
        <f>[1]Hybrid!AG37</f>
        <v>110.48721260000001</v>
      </c>
      <c r="AI348" s="6">
        <f>[1]Hybrid!AH37</f>
        <v>113.17343</v>
      </c>
      <c r="AJ348" s="6">
        <f>[1]Hybrid!AI37</f>
        <v>115.8553244</v>
      </c>
      <c r="AK348" s="6">
        <f>[1]Hybrid!AJ37</f>
        <v>118.53954760000001</v>
      </c>
      <c r="AL348" s="6">
        <f>[1]Hybrid!AK37</f>
        <v>121.2329124</v>
      </c>
      <c r="AM348" s="6">
        <f>[1]Hybrid!AL37</f>
        <v>123.935462</v>
      </c>
      <c r="AN348" s="6">
        <f>[1]Hybrid!AM37</f>
        <v>126.6545496</v>
      </c>
      <c r="AO348" s="6">
        <f>[1]Hybrid!AN37</f>
        <v>129.39803090000001</v>
      </c>
      <c r="AP348" s="6">
        <f>[1]Hybrid!AO37</f>
        <v>132.17435380000001</v>
      </c>
      <c r="AQ348" s="6">
        <f>[1]Hybrid!AP37</f>
        <v>134.99250509999999</v>
      </c>
      <c r="AR348" s="6">
        <f>[1]Hybrid!AQ37</f>
        <v>137.86194019999999</v>
      </c>
      <c r="AS348" s="6">
        <f>[1]Hybrid!AR37</f>
        <v>140.79253420000001</v>
      </c>
      <c r="AT348" s="6">
        <f>[1]Hybrid!AS37</f>
        <v>143.79456390000001</v>
      </c>
      <c r="AU348" s="6">
        <f>[1]Hybrid!AT37</f>
        <v>146.87871820000001</v>
      </c>
      <c r="AV348" s="6">
        <f>[1]Hybrid!AU37</f>
        <v>150.0561295</v>
      </c>
      <c r="AW348" s="6">
        <f>[1]Hybrid!AV37</f>
        <v>153.33911209999999</v>
      </c>
      <c r="AX348" s="6">
        <f>[1]Hybrid!AW37</f>
        <v>156.7398441</v>
      </c>
      <c r="AY348" s="6">
        <f>[1]Hybrid!AX37</f>
        <v>160.27109849999999</v>
      </c>
      <c r="AZ348" s="6">
        <f>[1]Hybrid!AY37</f>
        <v>163.94628760000001</v>
      </c>
      <c r="BA348" s="6">
        <f>[1]Hybrid!AZ37</f>
        <v>167.77951899999999</v>
      </c>
      <c r="BB348" s="6">
        <f>[1]Hybrid!BA37</f>
        <v>55.764968279999998</v>
      </c>
      <c r="BC348" s="6">
        <f>[1]Hybrid!BB37</f>
        <v>49.894204240000001</v>
      </c>
      <c r="BD348" s="6">
        <f>[1]Hybrid!BC37</f>
        <v>43.422705530000002</v>
      </c>
      <c r="BE348" s="6">
        <f>[1]Hybrid!BD37</f>
        <v>36.308326579999999</v>
      </c>
      <c r="BF348" s="6">
        <f>[1]Hybrid!BE37</f>
        <v>28.50554975</v>
      </c>
    </row>
    <row r="349" spans="1:58" x14ac:dyDescent="0.35">
      <c r="B349" s="6" t="str">
        <f>[1]Hybrid!A39</f>
        <v>auto_cd_cele_0</v>
      </c>
      <c r="C349" s="6">
        <f>[1]Hybrid!B39</f>
        <v>5.770071272</v>
      </c>
      <c r="D349" s="6">
        <f>[1]Hybrid!C39</f>
        <v>7.5724919240000004</v>
      </c>
      <c r="E349" s="6">
        <f>[1]Hybrid!D39</f>
        <v>9.4657033009999996</v>
      </c>
      <c r="F349" s="6">
        <f>[1]Hybrid!E39</f>
        <v>11.396266410000001</v>
      </c>
      <c r="G349" s="6">
        <f>[1]Hybrid!F39</f>
        <v>13.32976826</v>
      </c>
      <c r="H349" s="6">
        <f>[1]Hybrid!G39</f>
        <v>15.2446132</v>
      </c>
      <c r="I349" s="6">
        <f>[1]Hybrid!H39</f>
        <v>17.12371873</v>
      </c>
      <c r="J349" s="6">
        <f>[1]Hybrid!I39</f>
        <v>18.95862954</v>
      </c>
      <c r="K349" s="6">
        <f>[1]Hybrid!J39</f>
        <v>20.743983839999999</v>
      </c>
      <c r="L349" s="6">
        <f>[1]Hybrid!K39</f>
        <v>22.476309050000001</v>
      </c>
      <c r="M349" s="6">
        <f>[1]Hybrid!L39</f>
        <v>24.1594585</v>
      </c>
      <c r="N349" s="6">
        <f>[1]Hybrid!M39</f>
        <v>25.785429839999999</v>
      </c>
      <c r="O349" s="6">
        <f>[1]Hybrid!N39</f>
        <v>27.352873979999998</v>
      </c>
      <c r="P349" s="6">
        <f>[1]Hybrid!O39</f>
        <v>28.860749030000001</v>
      </c>
      <c r="Q349" s="6">
        <f>[1]Hybrid!P39</f>
        <v>30.30837159</v>
      </c>
      <c r="R349" s="6">
        <f>[1]Hybrid!Q39</f>
        <v>31.69539009</v>
      </c>
      <c r="S349" s="6">
        <f>[1]Hybrid!R39</f>
        <v>33.021739050000001</v>
      </c>
      <c r="T349" s="6">
        <f>[1]Hybrid!S39</f>
        <v>34.287593919999999</v>
      </c>
      <c r="U349" s="6">
        <f>[1]Hybrid!T39</f>
        <v>35.49333292</v>
      </c>
      <c r="V349" s="6">
        <f>[1]Hybrid!U39</f>
        <v>36.639506969999999</v>
      </c>
      <c r="W349" s="6">
        <f>[1]Hybrid!V39</f>
        <v>37.722811299999996</v>
      </c>
      <c r="X349" s="6">
        <f>[1]Hybrid!W39</f>
        <v>38.74831476</v>
      </c>
      <c r="Y349" s="6">
        <f>[1]Hybrid!X39</f>
        <v>39.717090259999999</v>
      </c>
      <c r="Z349" s="6">
        <f>[1]Hybrid!Y39</f>
        <v>40.630325169999999</v>
      </c>
      <c r="AA349" s="6">
        <f>[1]Hybrid!Z39</f>
        <v>41.489236200000001</v>
      </c>
      <c r="AB349" s="6">
        <f>[1]Hybrid!AA39</f>
        <v>42.28453287</v>
      </c>
      <c r="AC349" s="6">
        <f>[1]Hybrid!AB39</f>
        <v>43.023770429999999</v>
      </c>
      <c r="AD349" s="6">
        <f>[1]Hybrid!AC39</f>
        <v>43.708911829999998</v>
      </c>
      <c r="AE349" s="6">
        <f>[1]Hybrid!AD39</f>
        <v>44.342125060000001</v>
      </c>
      <c r="AF349" s="6">
        <f>[1]Hybrid!AE39</f>
        <v>44.925604399999997</v>
      </c>
      <c r="AG349" s="6">
        <f>[1]Hybrid!AF39</f>
        <v>45.461487009999999</v>
      </c>
      <c r="AH349" s="6">
        <f>[1]Hybrid!AG39</f>
        <v>45.9518171</v>
      </c>
      <c r="AI349" s="6">
        <f>[1]Hybrid!AH39</f>
        <v>46.398536800000002</v>
      </c>
      <c r="AJ349" s="6">
        <f>[1]Hybrid!AI39</f>
        <v>46.803491360000002</v>
      </c>
      <c r="AK349" s="6">
        <f>[1]Hybrid!AJ39</f>
        <v>47.168441039999998</v>
      </c>
      <c r="AL349" s="6">
        <f>[1]Hybrid!AK39</f>
        <v>47.495074639999999</v>
      </c>
      <c r="AM349" s="6">
        <f>[1]Hybrid!AL39</f>
        <v>47.783018910000003</v>
      </c>
      <c r="AN349" s="6">
        <f>[1]Hybrid!AM39</f>
        <v>48.034025720000002</v>
      </c>
      <c r="AO349" s="6">
        <f>[1]Hybrid!AN39</f>
        <v>48.24986655</v>
      </c>
      <c r="AP349" s="6">
        <f>[1]Hybrid!AO39</f>
        <v>48.432337560000001</v>
      </c>
      <c r="AQ349" s="6">
        <f>[1]Hybrid!AP39</f>
        <v>48.583229729999999</v>
      </c>
      <c r="AR349" s="6">
        <f>[1]Hybrid!AQ39</f>
        <v>48.704299820000003</v>
      </c>
      <c r="AS349" s="6">
        <f>[1]Hybrid!AR39</f>
        <v>48.797250920000003</v>
      </c>
      <c r="AT349" s="6">
        <f>[1]Hybrid!AS39</f>
        <v>48.863722930000002</v>
      </c>
      <c r="AU349" s="6">
        <f>[1]Hybrid!AT39</f>
        <v>48.905290809999997</v>
      </c>
      <c r="AV349" s="6">
        <f>[1]Hybrid!AU39</f>
        <v>48.923467770000002</v>
      </c>
      <c r="AW349" s="6">
        <f>[1]Hybrid!AV39</f>
        <v>48.91985493</v>
      </c>
      <c r="AX349" s="6">
        <f>[1]Hybrid!AW39</f>
        <v>48.895848049999998</v>
      </c>
      <c r="AY349" s="6">
        <f>[1]Hybrid!AX39</f>
        <v>48.852796410000003</v>
      </c>
      <c r="AZ349" s="6">
        <f>[1]Hybrid!AY39</f>
        <v>48.792005959999997</v>
      </c>
      <c r="BA349" s="6">
        <f>[1]Hybrid!AZ39</f>
        <v>48.714744269999997</v>
      </c>
      <c r="BB349" s="6">
        <f>[1]Hybrid!BA39</f>
        <v>35.485589879999999</v>
      </c>
      <c r="BC349" s="6">
        <f>[1]Hybrid!BB39</f>
        <v>34.573697099999997</v>
      </c>
      <c r="BD349" s="6">
        <f>[1]Hybrid!BC39</f>
        <v>33.613691600000003</v>
      </c>
      <c r="BE349" s="6">
        <f>[1]Hybrid!BD39</f>
        <v>32.606383600000001</v>
      </c>
      <c r="BF349" s="6">
        <f>[1]Hybrid!BE39</f>
        <v>31.552621970000001</v>
      </c>
    </row>
    <row r="350" spans="1:58" x14ac:dyDescent="0.35">
      <c r="B350" s="6" t="str">
        <f>[1]Hybrid!A41</f>
        <v>auto_ce_cele_0</v>
      </c>
      <c r="C350" s="6">
        <f>[1]Hybrid!B41</f>
        <v>3.4730440960000002</v>
      </c>
      <c r="D350" s="6">
        <f>[1]Hybrid!C41</f>
        <v>4.5791175470000001</v>
      </c>
      <c r="E350" s="6">
        <f>[1]Hybrid!D41</f>
        <v>5.7313470759999996</v>
      </c>
      <c r="F350" s="6">
        <f>[1]Hybrid!E41</f>
        <v>6.8947231550000003</v>
      </c>
      <c r="G350" s="6">
        <f>[1]Hybrid!F41</f>
        <v>8.0469703910000003</v>
      </c>
      <c r="H350" s="6">
        <f>[1]Hybrid!G41</f>
        <v>9.1742723730000009</v>
      </c>
      <c r="I350" s="6">
        <f>[1]Hybrid!H41</f>
        <v>10.266017059999999</v>
      </c>
      <c r="J350" s="6">
        <f>[1]Hybrid!I41</f>
        <v>11.31702948</v>
      </c>
      <c r="K350" s="6">
        <f>[1]Hybrid!J41</f>
        <v>12.32415733</v>
      </c>
      <c r="L350" s="6">
        <f>[1]Hybrid!K41</f>
        <v>13.285492720000001</v>
      </c>
      <c r="M350" s="6">
        <f>[1]Hybrid!L41</f>
        <v>14.203348739999999</v>
      </c>
      <c r="N350" s="6">
        <f>[1]Hybrid!M41</f>
        <v>15.073436709999999</v>
      </c>
      <c r="O350" s="6">
        <f>[1]Hybrid!N41</f>
        <v>15.89533307</v>
      </c>
      <c r="P350" s="6">
        <f>[1]Hybrid!O41</f>
        <v>16.668865780000001</v>
      </c>
      <c r="Q350" s="6">
        <f>[1]Hybrid!P41</f>
        <v>17.39412823</v>
      </c>
      <c r="R350" s="6">
        <f>[1]Hybrid!Q41</f>
        <v>18.071451459999999</v>
      </c>
      <c r="S350" s="6">
        <f>[1]Hybrid!R41</f>
        <v>18.701368599999999</v>
      </c>
      <c r="T350" s="6">
        <f>[1]Hybrid!S41</f>
        <v>19.284581490000001</v>
      </c>
      <c r="U350" s="6">
        <f>[1]Hybrid!T41</f>
        <v>19.821932239999999</v>
      </c>
      <c r="V350" s="6">
        <f>[1]Hybrid!U41</f>
        <v>20.314379899999999</v>
      </c>
      <c r="W350" s="6">
        <f>[1]Hybrid!V41</f>
        <v>20.761014209999999</v>
      </c>
      <c r="X350" s="6">
        <f>[1]Hybrid!W41</f>
        <v>21.165106689999998</v>
      </c>
      <c r="Y350" s="6">
        <f>[1]Hybrid!X41</f>
        <v>21.527926839999999</v>
      </c>
      <c r="Z350" s="6">
        <f>[1]Hybrid!Y41</f>
        <v>21.850796679999998</v>
      </c>
      <c r="AA350" s="6">
        <f>[1]Hybrid!Z41</f>
        <v>22.135048189999999</v>
      </c>
      <c r="AB350" s="6">
        <f>[1]Hybrid!AA41</f>
        <v>22.37721329</v>
      </c>
      <c r="AC350" s="6">
        <f>[1]Hybrid!AB41</f>
        <v>22.58167662</v>
      </c>
      <c r="AD350" s="6">
        <f>[1]Hybrid!AC41</f>
        <v>22.750188730000001</v>
      </c>
      <c r="AE350" s="6">
        <f>[1]Hybrid!AD41</f>
        <v>22.884556740000001</v>
      </c>
      <c r="AF350" s="6">
        <f>[1]Hybrid!AE41</f>
        <v>22.986560399999998</v>
      </c>
      <c r="AG350" s="6">
        <f>[1]Hybrid!AF41</f>
        <v>23.057915950000002</v>
      </c>
      <c r="AH350" s="6">
        <f>[1]Hybrid!AG41</f>
        <v>23.10026255</v>
      </c>
      <c r="AI350" s="6">
        <f>[1]Hybrid!AH41</f>
        <v>23.11516048</v>
      </c>
      <c r="AJ350" s="6">
        <f>[1]Hybrid!AI41</f>
        <v>23.104095510000001</v>
      </c>
      <c r="AK350" s="6">
        <f>[1]Hybrid!AJ41</f>
        <v>23.06848591</v>
      </c>
      <c r="AL350" s="6">
        <f>[1]Hybrid!AK41</f>
        <v>23.009689890000001</v>
      </c>
      <c r="AM350" s="6">
        <f>[1]Hybrid!AL41</f>
        <v>22.92825011</v>
      </c>
      <c r="AN350" s="6">
        <f>[1]Hybrid!AM41</f>
        <v>22.82552785</v>
      </c>
      <c r="AO350" s="6">
        <f>[1]Hybrid!AN41</f>
        <v>22.702862289999999</v>
      </c>
      <c r="AP350" s="6">
        <f>[1]Hybrid!AO41</f>
        <v>22.561568690000001</v>
      </c>
      <c r="AQ350" s="6">
        <f>[1]Hybrid!AP41</f>
        <v>22.402925530000001</v>
      </c>
      <c r="AR350" s="6">
        <f>[1]Hybrid!AQ41</f>
        <v>22.2281637</v>
      </c>
      <c r="AS350" s="6">
        <f>[1]Hybrid!AR41</f>
        <v>22.038460400000002</v>
      </c>
      <c r="AT350" s="6">
        <f>[1]Hybrid!AS41</f>
        <v>21.834937069999999</v>
      </c>
      <c r="AU350" s="6">
        <f>[1]Hybrid!AT41</f>
        <v>21.618660160000001</v>
      </c>
      <c r="AV350" s="6">
        <f>[1]Hybrid!AU41</f>
        <v>21.390643659999999</v>
      </c>
      <c r="AW350" s="6">
        <f>[1]Hybrid!AV41</f>
        <v>21.151897229999999</v>
      </c>
      <c r="AX350" s="6">
        <f>[1]Hybrid!AW41</f>
        <v>20.903332979999998</v>
      </c>
      <c r="AY350" s="6">
        <f>[1]Hybrid!AX41</f>
        <v>20.645819110000001</v>
      </c>
      <c r="AZ350" s="6">
        <f>[1]Hybrid!AY41</f>
        <v>20.380182019999999</v>
      </c>
      <c r="BA350" s="6">
        <f>[1]Hybrid!AZ41</f>
        <v>20.107208839999998</v>
      </c>
      <c r="BB350" s="6">
        <f>[1]Hybrid!BA41</f>
        <v>14.46660228</v>
      </c>
      <c r="BC350" s="6">
        <f>[1]Hybrid!BB41</f>
        <v>13.96919132</v>
      </c>
      <c r="BD350" s="6">
        <f>[1]Hybrid!BC41</f>
        <v>13.465731549999999</v>
      </c>
      <c r="BE350" s="6">
        <f>[1]Hybrid!BD41</f>
        <v>12.95742368</v>
      </c>
      <c r="BF350" s="6">
        <f>[1]Hybrid!BE41</f>
        <v>12.44545143</v>
      </c>
    </row>
    <row r="351" spans="1:58" x14ac:dyDescent="0.35">
      <c r="B351" s="6" t="str">
        <f>[1]Hybrid!A43</f>
        <v>auto_cf_cele_0</v>
      </c>
      <c r="C351" s="6">
        <f>[1]Hybrid!B43</f>
        <v>1.7251505170000001</v>
      </c>
      <c r="D351" s="6">
        <f>[1]Hybrid!C43</f>
        <v>2.2482443000000001</v>
      </c>
      <c r="E351" s="6">
        <f>[1]Hybrid!D43</f>
        <v>2.7774998630000001</v>
      </c>
      <c r="F351" s="6">
        <f>[1]Hybrid!E43</f>
        <v>3.2928145170000001</v>
      </c>
      <c r="G351" s="6">
        <f>[1]Hybrid!F43</f>
        <v>3.7822145599999999</v>
      </c>
      <c r="H351" s="6">
        <f>[1]Hybrid!G43</f>
        <v>4.2389796039999998</v>
      </c>
      <c r="I351" s="6">
        <f>[1]Hybrid!H43</f>
        <v>4.6588005929999996</v>
      </c>
      <c r="J351" s="6">
        <f>[1]Hybrid!I43</f>
        <v>5.0403092750000003</v>
      </c>
      <c r="K351" s="6">
        <f>[1]Hybrid!J43</f>
        <v>5.38335937</v>
      </c>
      <c r="L351" s="6">
        <f>[1]Hybrid!K43</f>
        <v>5.6885469540000004</v>
      </c>
      <c r="M351" s="6">
        <f>[1]Hybrid!L43</f>
        <v>5.9580836599999998</v>
      </c>
      <c r="N351" s="6">
        <f>[1]Hybrid!M43</f>
        <v>6.1919811569999998</v>
      </c>
      <c r="O351" s="6">
        <f>[1]Hybrid!N43</f>
        <v>6.3917140200000002</v>
      </c>
      <c r="P351" s="6">
        <f>[1]Hybrid!O43</f>
        <v>6.5588898220000003</v>
      </c>
      <c r="Q351" s="6">
        <f>[1]Hybrid!P43</f>
        <v>6.6952202390000002</v>
      </c>
      <c r="R351" s="6">
        <f>[1]Hybrid!Q43</f>
        <v>6.802485495</v>
      </c>
      <c r="S351" s="6">
        <f>[1]Hybrid!R43</f>
        <v>6.8825028130000003</v>
      </c>
      <c r="T351" s="6">
        <f>[1]Hybrid!S43</f>
        <v>6.9371003760000001</v>
      </c>
      <c r="U351" s="6">
        <f>[1]Hybrid!T43</f>
        <v>6.9680962439999998</v>
      </c>
      <c r="V351" s="6">
        <f>[1]Hybrid!U43</f>
        <v>6.9772814839999997</v>
      </c>
      <c r="W351" s="6">
        <f>[1]Hybrid!V43</f>
        <v>6.9659966180000001</v>
      </c>
      <c r="X351" s="6">
        <f>[1]Hybrid!W43</f>
        <v>6.93642235</v>
      </c>
      <c r="Y351" s="6">
        <f>[1]Hybrid!X43</f>
        <v>6.8902084859999997</v>
      </c>
      <c r="Z351" s="6">
        <f>[1]Hybrid!Y43</f>
        <v>6.8289334750000004</v>
      </c>
      <c r="AA351" s="6">
        <f>[1]Hybrid!Z43</f>
        <v>6.7540974560000002</v>
      </c>
      <c r="AB351" s="6">
        <f>[1]Hybrid!AA43</f>
        <v>6.6663617930000001</v>
      </c>
      <c r="AC351" s="6">
        <f>[1]Hybrid!AB43</f>
        <v>6.5676462029999998</v>
      </c>
      <c r="AD351" s="6">
        <f>[1]Hybrid!AC43</f>
        <v>6.4593235260000004</v>
      </c>
      <c r="AE351" s="6">
        <f>[1]Hybrid!AD43</f>
        <v>6.3426796230000004</v>
      </c>
      <c r="AF351" s="6">
        <f>[1]Hybrid!AE43</f>
        <v>6.2189050359999998</v>
      </c>
      <c r="AG351" s="6">
        <f>[1]Hybrid!AF43</f>
        <v>6.0890960769999998</v>
      </c>
      <c r="AH351" s="6">
        <f>[1]Hybrid!AG43</f>
        <v>5.9542593410000002</v>
      </c>
      <c r="AI351" s="6">
        <f>[1]Hybrid!AH43</f>
        <v>5.8153174380000001</v>
      </c>
      <c r="AJ351" s="6">
        <f>[1]Hybrid!AI43</f>
        <v>5.6731149759999999</v>
      </c>
      <c r="AK351" s="6">
        <f>[1]Hybrid!AJ43</f>
        <v>5.5284243200000001</v>
      </c>
      <c r="AL351" s="6">
        <f>[1]Hybrid!AK43</f>
        <v>5.3819508850000002</v>
      </c>
      <c r="AM351" s="6">
        <f>[1]Hybrid!AL43</f>
        <v>5.2342779699999999</v>
      </c>
      <c r="AN351" s="6">
        <f>[1]Hybrid!AM43</f>
        <v>5.0860097949999998</v>
      </c>
      <c r="AO351" s="6">
        <f>[1]Hybrid!AN43</f>
        <v>4.9376954609999997</v>
      </c>
      <c r="AP351" s="6">
        <f>[1]Hybrid!AO43</f>
        <v>4.7898310439999996</v>
      </c>
      <c r="AQ351" s="6">
        <f>[1]Hybrid!AP43</f>
        <v>4.6428615190000002</v>
      </c>
      <c r="AR351" s="6">
        <f>[1]Hybrid!AQ43</f>
        <v>4.4971832640000002</v>
      </c>
      <c r="AS351" s="6">
        <f>[1]Hybrid!AR43</f>
        <v>4.3531470089999997</v>
      </c>
      <c r="AT351" s="6">
        <f>[1]Hybrid!AS43</f>
        <v>4.2110609800000001</v>
      </c>
      <c r="AU351" s="6">
        <f>[1]Hybrid!AT43</f>
        <v>4.0711940469999996</v>
      </c>
      <c r="AV351" s="6">
        <f>[1]Hybrid!AU43</f>
        <v>3.9337787729999998</v>
      </c>
      <c r="AW351" s="6">
        <f>[1]Hybrid!AV43</f>
        <v>3.7990159129999999</v>
      </c>
      <c r="AX351" s="6">
        <f>[1]Hybrid!AW43</f>
        <v>3.66707333</v>
      </c>
      <c r="AY351" s="6">
        <f>[1]Hybrid!AX43</f>
        <v>3.5380907659999998</v>
      </c>
      <c r="AZ351" s="6">
        <f>[1]Hybrid!AY43</f>
        <v>3.4121822119999998</v>
      </c>
      <c r="BA351" s="6">
        <f>[1]Hybrid!AZ43</f>
        <v>3.289438133</v>
      </c>
      <c r="BB351" s="6">
        <f>[1]Hybrid!BA43</f>
        <v>2.9073723610000002</v>
      </c>
      <c r="BC351" s="6">
        <f>[1]Hybrid!BB43</f>
        <v>2.7952765500000001</v>
      </c>
      <c r="BD351" s="6">
        <f>[1]Hybrid!BC43</f>
        <v>2.686812464</v>
      </c>
      <c r="BE351" s="6">
        <f>[1]Hybrid!BD43</f>
        <v>2.581966531</v>
      </c>
      <c r="BF351" s="6">
        <f>[1]Hybrid!BE43</f>
        <v>2.480710094</v>
      </c>
    </row>
    <row r="352" spans="1:58" x14ac:dyDescent="0.35">
      <c r="B352" s="6" t="str">
        <f>[1]Hybrid!A45</f>
        <v>auto_cg_cele_0</v>
      </c>
      <c r="C352" s="6">
        <f>[1]Hybrid!B45</f>
        <v>3.1066862139999998</v>
      </c>
      <c r="D352" s="6">
        <f>[1]Hybrid!C45</f>
        <v>4.0780346420000004</v>
      </c>
      <c r="E352" s="6">
        <f>[1]Hybrid!D45</f>
        <v>5.035935769</v>
      </c>
      <c r="F352" s="6">
        <f>[1]Hybrid!E45</f>
        <v>5.9395011249999996</v>
      </c>
      <c r="G352" s="6">
        <f>[1]Hybrid!F45</f>
        <v>6.7665365719999997</v>
      </c>
      <c r="H352" s="6">
        <f>[1]Hybrid!G45</f>
        <v>7.5065763949999997</v>
      </c>
      <c r="I352" s="6">
        <f>[1]Hybrid!H45</f>
        <v>8.1548645450000006</v>
      </c>
      <c r="J352" s="6">
        <f>[1]Hybrid!I45</f>
        <v>8.7124313359999999</v>
      </c>
      <c r="K352" s="6">
        <f>[1]Hybrid!J45</f>
        <v>9.1827119790000005</v>
      </c>
      <c r="L352" s="6">
        <f>[1]Hybrid!K45</f>
        <v>9.5704729410000002</v>
      </c>
      <c r="M352" s="6">
        <f>[1]Hybrid!L45</f>
        <v>9.8827749760000003</v>
      </c>
      <c r="N352" s="6">
        <f>[1]Hybrid!M45</f>
        <v>10.123471159999999</v>
      </c>
      <c r="O352" s="6">
        <f>[1]Hybrid!N45</f>
        <v>10.29838837</v>
      </c>
      <c r="P352" s="6">
        <f>[1]Hybrid!O45</f>
        <v>10.413340870000001</v>
      </c>
      <c r="Q352" s="6">
        <f>[1]Hybrid!P45</f>
        <v>10.474044729999999</v>
      </c>
      <c r="R352" s="6">
        <f>[1]Hybrid!Q45</f>
        <v>10.48603997</v>
      </c>
      <c r="S352" s="6">
        <f>[1]Hybrid!R45</f>
        <v>10.454632269999999</v>
      </c>
      <c r="T352" s="6">
        <f>[1]Hybrid!S45</f>
        <v>10.38485225</v>
      </c>
      <c r="U352" s="6">
        <f>[1]Hybrid!T45</f>
        <v>10.28142875</v>
      </c>
      <c r="V352" s="6">
        <f>[1]Hybrid!U45</f>
        <v>10.148773220000001</v>
      </c>
      <c r="W352" s="6">
        <f>[1]Hybrid!V45</f>
        <v>9.9905993859999995</v>
      </c>
      <c r="X352" s="6">
        <f>[1]Hybrid!W45</f>
        <v>9.8111346469999994</v>
      </c>
      <c r="Y352" s="6">
        <f>[1]Hybrid!X45</f>
        <v>9.6138252949999998</v>
      </c>
      <c r="Z352" s="6">
        <f>[1]Hybrid!Y45</f>
        <v>9.4017994270000003</v>
      </c>
      <c r="AA352" s="6">
        <f>[1]Hybrid!Z45</f>
        <v>9.1778804770000004</v>
      </c>
      <c r="AB352" s="6">
        <f>[1]Hybrid!AA45</f>
        <v>8.9440600769999996</v>
      </c>
      <c r="AC352" s="6">
        <f>[1]Hybrid!AB45</f>
        <v>8.7030757960000003</v>
      </c>
      <c r="AD352" s="6">
        <f>[1]Hybrid!AC45</f>
        <v>8.4570401680000007</v>
      </c>
      <c r="AE352" s="6">
        <f>[1]Hybrid!AD45</f>
        <v>8.2078124250000002</v>
      </c>
      <c r="AF352" s="6">
        <f>[1]Hybrid!AE45</f>
        <v>7.9570136180000004</v>
      </c>
      <c r="AG352" s="6">
        <f>[1]Hybrid!AF45</f>
        <v>7.7060478330000004</v>
      </c>
      <c r="AH352" s="6">
        <f>[1]Hybrid!AG45</f>
        <v>7.4561239940000004</v>
      </c>
      <c r="AI352" s="6">
        <f>[1]Hybrid!AH45</f>
        <v>7.2082765579999997</v>
      </c>
      <c r="AJ352" s="6">
        <f>[1]Hybrid!AI45</f>
        <v>6.9633845460000003</v>
      </c>
      <c r="AK352" s="6">
        <f>[1]Hybrid!AJ45</f>
        <v>6.7221887980000004</v>
      </c>
      <c r="AL352" s="6">
        <f>[1]Hybrid!AK45</f>
        <v>6.4853074739999998</v>
      </c>
      <c r="AM352" s="6">
        <f>[1]Hybrid!AL45</f>
        <v>6.2532261580000004</v>
      </c>
      <c r="AN352" s="6">
        <f>[1]Hybrid!AM45</f>
        <v>6.0263686280000002</v>
      </c>
      <c r="AO352" s="6">
        <f>[1]Hybrid!AN45</f>
        <v>5.8050715290000001</v>
      </c>
      <c r="AP352" s="6">
        <f>[1]Hybrid!AO45</f>
        <v>5.589593947</v>
      </c>
      <c r="AQ352" s="6">
        <f>[1]Hybrid!AP45</f>
        <v>5.3801263390000003</v>
      </c>
      <c r="AR352" s="6">
        <f>[1]Hybrid!AQ45</f>
        <v>5.1767990250000002</v>
      </c>
      <c r="AS352" s="6">
        <f>[1]Hybrid!AR45</f>
        <v>4.9796900920000002</v>
      </c>
      <c r="AT352" s="6">
        <f>[1]Hybrid!AS45</f>
        <v>4.7888326240000003</v>
      </c>
      <c r="AU352" s="6">
        <f>[1]Hybrid!AT45</f>
        <v>4.6042212180000002</v>
      </c>
      <c r="AV352" s="6">
        <f>[1]Hybrid!AU45</f>
        <v>4.425817812</v>
      </c>
      <c r="AW352" s="6">
        <f>[1]Hybrid!AV45</f>
        <v>4.2535571900000004</v>
      </c>
      <c r="AX352" s="6">
        <f>[1]Hybrid!AW45</f>
        <v>4.0873507330000001</v>
      </c>
      <c r="AY352" s="6">
        <f>[1]Hybrid!AX45</f>
        <v>3.9270909999999999</v>
      </c>
      <c r="AZ352" s="6">
        <f>[1]Hybrid!AY45</f>
        <v>3.7726552789999999</v>
      </c>
      <c r="BA352" s="6">
        <f>[1]Hybrid!AZ45</f>
        <v>3.623908691</v>
      </c>
      <c r="BB352" s="6">
        <f>[1]Hybrid!BA45</f>
        <v>3.2957326619999998</v>
      </c>
      <c r="BC352" s="6">
        <f>[1]Hybrid!BB45</f>
        <v>3.16432365</v>
      </c>
      <c r="BD352" s="6">
        <f>[1]Hybrid!BC45</f>
        <v>3.0380470530000001</v>
      </c>
      <c r="BE352" s="6">
        <f>[1]Hybrid!BD45</f>
        <v>2.9167280400000002</v>
      </c>
      <c r="BF352" s="6">
        <f>[1]Hybrid!BE45</f>
        <v>2.8001923290000001</v>
      </c>
    </row>
    <row r="353" spans="1:58" x14ac:dyDescent="0.35">
      <c r="B353" s="6" t="str">
        <f>[1]Hybrid!A47</f>
        <v>auto_ca_cgas_0</v>
      </c>
      <c r="C353" s="6">
        <f>[1]Hybrid!B47</f>
        <v>0.42568169729999999</v>
      </c>
      <c r="D353" s="6">
        <f>[1]Hybrid!C47</f>
        <v>0.44962450999999998</v>
      </c>
      <c r="E353" s="6">
        <f>[1]Hybrid!D47</f>
        <v>0.47671073549999998</v>
      </c>
      <c r="F353" s="6">
        <f>[1]Hybrid!E47</f>
        <v>0.50567802719999999</v>
      </c>
      <c r="G353" s="6">
        <f>[1]Hybrid!F47</f>
        <v>0.53570416700000001</v>
      </c>
      <c r="H353" s="6">
        <f>[1]Hybrid!G47</f>
        <v>0.56627289579999995</v>
      </c>
      <c r="I353" s="6">
        <f>[1]Hybrid!H47</f>
        <v>0.59697095789999999</v>
      </c>
      <c r="J353" s="6">
        <f>[1]Hybrid!I47</f>
        <v>0.62760516129999999</v>
      </c>
      <c r="K353" s="6">
        <f>[1]Hybrid!J47</f>
        <v>0.65806000419999999</v>
      </c>
      <c r="L353" s="6">
        <f>[1]Hybrid!K47</f>
        <v>0.68826724399999994</v>
      </c>
      <c r="M353" s="6">
        <f>[1]Hybrid!L47</f>
        <v>0.71836268039999995</v>
      </c>
      <c r="N353" s="6">
        <f>[1]Hybrid!M47</f>
        <v>0.74814208449999997</v>
      </c>
      <c r="O353" s="6">
        <f>[1]Hybrid!N47</f>
        <v>0.77758620170000003</v>
      </c>
      <c r="P353" s="6">
        <f>[1]Hybrid!O47</f>
        <v>0.80667973039999996</v>
      </c>
      <c r="Q353" s="6">
        <f>[1]Hybrid!P47</f>
        <v>0.83541324699999997</v>
      </c>
      <c r="R353" s="6">
        <f>[1]Hybrid!Q47</f>
        <v>0.86378289490000004</v>
      </c>
      <c r="S353" s="6">
        <f>[1]Hybrid!R47</f>
        <v>0.89178940350000002</v>
      </c>
      <c r="T353" s="6">
        <f>[1]Hybrid!S47</f>
        <v>0.91943703970000001</v>
      </c>
      <c r="U353" s="6">
        <f>[1]Hybrid!T47</f>
        <v>0.94673274149999997</v>
      </c>
      <c r="V353" s="6">
        <f>[1]Hybrid!U47</f>
        <v>0.97368550679999999</v>
      </c>
      <c r="W353" s="6">
        <f>[1]Hybrid!V47</f>
        <v>1.000167568</v>
      </c>
      <c r="X353" s="6">
        <f>[1]Hybrid!W47</f>
        <v>1.026334834</v>
      </c>
      <c r="Y353" s="6">
        <f>[1]Hybrid!X47</f>
        <v>1.052203996</v>
      </c>
      <c r="Z353" s="6">
        <f>[1]Hybrid!Y47</f>
        <v>1.077794283</v>
      </c>
      <c r="AA353" s="6">
        <f>[1]Hybrid!Z47</f>
        <v>1.1031245009999999</v>
      </c>
      <c r="AB353" s="6">
        <f>[1]Hybrid!AA47</f>
        <v>1.1278073879999999</v>
      </c>
      <c r="AC353" s="6">
        <f>[1]Hybrid!AB47</f>
        <v>1.1520897969999999</v>
      </c>
      <c r="AD353" s="6">
        <f>[1]Hybrid!AC47</f>
        <v>1.176003696</v>
      </c>
      <c r="AE353" s="6">
        <f>[1]Hybrid!AD47</f>
        <v>1.1995893950000001</v>
      </c>
      <c r="AF353" s="6">
        <f>[1]Hybrid!AE47</f>
        <v>1.222889028</v>
      </c>
      <c r="AG353" s="6">
        <f>[1]Hybrid!AF47</f>
        <v>1.2459432800000001</v>
      </c>
      <c r="AH353" s="6">
        <f>[1]Hybrid!AG47</f>
        <v>1.268789902</v>
      </c>
      <c r="AI353" s="6">
        <f>[1]Hybrid!AH47</f>
        <v>1.291463314</v>
      </c>
      <c r="AJ353" s="6">
        <f>[1]Hybrid!AI47</f>
        <v>1.3139948079999999</v>
      </c>
      <c r="AK353" s="6">
        <f>[1]Hybrid!AJ47</f>
        <v>1.3364130160000001</v>
      </c>
      <c r="AL353" s="6">
        <f>[1]Hybrid!AK47</f>
        <v>1.3587444209999999</v>
      </c>
      <c r="AM353" s="6">
        <f>[1]Hybrid!AL47</f>
        <v>1.3809145940000001</v>
      </c>
      <c r="AN353" s="6">
        <f>[1]Hybrid!AM47</f>
        <v>1.402950302</v>
      </c>
      <c r="AO353" s="6">
        <f>[1]Hybrid!AN47</f>
        <v>1.4248793989999999</v>
      </c>
      <c r="AP353" s="6">
        <f>[1]Hybrid!AO47</f>
        <v>1.446731751</v>
      </c>
      <c r="AQ353" s="6">
        <f>[1]Hybrid!AP47</f>
        <v>1.4685380699999999</v>
      </c>
      <c r="AR353" s="6">
        <f>[1]Hybrid!AQ47</f>
        <v>1.490328495</v>
      </c>
      <c r="AS353" s="6">
        <f>[1]Hybrid!AR47</f>
        <v>1.5121314960000001</v>
      </c>
      <c r="AT353" s="6">
        <f>[1]Hybrid!AS47</f>
        <v>1.533973233</v>
      </c>
      <c r="AU353" s="6">
        <f>[1]Hybrid!AT47</f>
        <v>1.555877325</v>
      </c>
      <c r="AV353" s="6">
        <f>[1]Hybrid!AU47</f>
        <v>1.5778649010000001</v>
      </c>
      <c r="AW353" s="6">
        <f>[1]Hybrid!AV47</f>
        <v>1.5999638300000001</v>
      </c>
      <c r="AX353" s="6">
        <f>[1]Hybrid!AW47</f>
        <v>1.622190692</v>
      </c>
      <c r="AY353" s="6">
        <f>[1]Hybrid!AX47</f>
        <v>1.644560177</v>
      </c>
      <c r="AZ353" s="6">
        <f>[1]Hybrid!AY47</f>
        <v>1.6670851390000001</v>
      </c>
      <c r="BA353" s="6">
        <f>[1]Hybrid!AZ47</f>
        <v>1.6897768790000001</v>
      </c>
      <c r="BB353" s="6">
        <f>[1]Hybrid!BA47</f>
        <v>1.797599926</v>
      </c>
      <c r="BC353" s="6">
        <f>[1]Hybrid!BB47</f>
        <v>1.825674359</v>
      </c>
      <c r="BD353" s="6">
        <f>[1]Hybrid!BC47</f>
        <v>1.8541047100000001</v>
      </c>
      <c r="BE353" s="6">
        <f>[1]Hybrid!BD47</f>
        <v>1.8829160920000001</v>
      </c>
      <c r="BF353" s="6">
        <f>[1]Hybrid!BE47</f>
        <v>1.9121352410000001</v>
      </c>
    </row>
    <row r="354" spans="1:58" x14ac:dyDescent="0.35">
      <c r="B354" s="6" t="str">
        <f>[1]Hybrid!A49</f>
        <v>auto_cb_cgas_0</v>
      </c>
      <c r="C354" s="6">
        <f>[1]Hybrid!B49</f>
        <v>0.49500522540000003</v>
      </c>
      <c r="D354" s="6">
        <f>[1]Hybrid!C49</f>
        <v>0.51254167380000004</v>
      </c>
      <c r="E354" s="6">
        <f>[1]Hybrid!D49</f>
        <v>0.53334117889999999</v>
      </c>
      <c r="F354" s="6">
        <f>[1]Hybrid!E49</f>
        <v>0.55614763550000001</v>
      </c>
      <c r="G354" s="6">
        <f>[1]Hybrid!F49</f>
        <v>0.58013773130000001</v>
      </c>
      <c r="H354" s="6">
        <f>[1]Hybrid!G49</f>
        <v>0.60478809140000001</v>
      </c>
      <c r="I354" s="6">
        <f>[1]Hybrid!H49</f>
        <v>0.62967928019999997</v>
      </c>
      <c r="J354" s="6">
        <f>[1]Hybrid!I49</f>
        <v>0.65460522560000001</v>
      </c>
      <c r="K354" s="6">
        <f>[1]Hybrid!J49</f>
        <v>0.67943640009999995</v>
      </c>
      <c r="L354" s="6">
        <f>[1]Hybrid!K49</f>
        <v>0.70409014459999997</v>
      </c>
      <c r="M354" s="6">
        <f>[1]Hybrid!L49</f>
        <v>0.72867686310000002</v>
      </c>
      <c r="N354" s="6">
        <f>[1]Hybrid!M49</f>
        <v>0.75298886860000003</v>
      </c>
      <c r="O354" s="6">
        <f>[1]Hybrid!N49</f>
        <v>0.77699387019999999</v>
      </c>
      <c r="P354" s="6">
        <f>[1]Hybrid!O49</f>
        <v>0.80066450020000002</v>
      </c>
      <c r="Q354" s="6">
        <f>[1]Hybrid!P49</f>
        <v>0.82397993719999996</v>
      </c>
      <c r="R354" s="6">
        <f>[1]Hybrid!Q49</f>
        <v>0.84692546030000004</v>
      </c>
      <c r="S354" s="6">
        <f>[1]Hybrid!R49</f>
        <v>0.86949141279999997</v>
      </c>
      <c r="T354" s="6">
        <f>[1]Hybrid!S49</f>
        <v>0.89167212699999998</v>
      </c>
      <c r="U354" s="6">
        <f>[1]Hybrid!T49</f>
        <v>0.91346503189999995</v>
      </c>
      <c r="V354" s="6">
        <f>[1]Hybrid!U49</f>
        <v>0.93487000440000001</v>
      </c>
      <c r="W354" s="6">
        <f>[1]Hybrid!V49</f>
        <v>0.95576339089999995</v>
      </c>
      <c r="X354" s="6">
        <f>[1]Hybrid!W49</f>
        <v>0.976280068</v>
      </c>
      <c r="Y354" s="6">
        <f>[1]Hybrid!X49</f>
        <v>0.99642819839999996</v>
      </c>
      <c r="Z354" s="6">
        <f>[1]Hybrid!Y49</f>
        <v>1.016218375</v>
      </c>
      <c r="AA354" s="6">
        <f>[1]Hybrid!Z49</f>
        <v>1.0356609379999999</v>
      </c>
      <c r="AB354" s="6">
        <f>[1]Hybrid!AA49</f>
        <v>1.0544049170000001</v>
      </c>
      <c r="AC354" s="6">
        <f>[1]Hybrid!AB49</f>
        <v>1.0726671940000001</v>
      </c>
      <c r="AD354" s="6">
        <f>[1]Hybrid!AC49</f>
        <v>1.090472235</v>
      </c>
      <c r="AE354" s="6">
        <f>[1]Hybrid!AD49</f>
        <v>1.1078516190000001</v>
      </c>
      <c r="AF354" s="6">
        <f>[1]Hybrid!AE49</f>
        <v>1.1248381839999999</v>
      </c>
      <c r="AG354" s="6">
        <f>[1]Hybrid!AF49</f>
        <v>1.1414631260000001</v>
      </c>
      <c r="AH354" s="6">
        <f>[1]Hybrid!AG49</f>
        <v>1.1577547079999999</v>
      </c>
      <c r="AI354" s="6">
        <f>[1]Hybrid!AH49</f>
        <v>1.173737939</v>
      </c>
      <c r="AJ354" s="6">
        <f>[1]Hybrid!AI49</f>
        <v>1.1894347709999999</v>
      </c>
      <c r="AK354" s="6">
        <f>[1]Hybrid!AJ49</f>
        <v>1.204864527</v>
      </c>
      <c r="AL354" s="6">
        <f>[1]Hybrid!AK49</f>
        <v>1.2200443700000001</v>
      </c>
      <c r="AM354" s="6">
        <f>[1]Hybrid!AL49</f>
        <v>1.2349054639999999</v>
      </c>
      <c r="AN354" s="6">
        <f>[1]Hybrid!AM49</f>
        <v>1.249465775</v>
      </c>
      <c r="AO354" s="6">
        <f>[1]Hybrid!AN49</f>
        <v>1.263743981</v>
      </c>
      <c r="AP354" s="6">
        <f>[1]Hybrid!AO49</f>
        <v>1.277760137</v>
      </c>
      <c r="AQ354" s="6">
        <f>[1]Hybrid!AP49</f>
        <v>1.2915346240000001</v>
      </c>
      <c r="AR354" s="6">
        <f>[1]Hybrid!AQ49</f>
        <v>1.305086929</v>
      </c>
      <c r="AS354" s="6">
        <f>[1]Hybrid!AR49</f>
        <v>1.3184347320000001</v>
      </c>
      <c r="AT354" s="6">
        <f>[1]Hybrid!AS49</f>
        <v>1.331593394</v>
      </c>
      <c r="AU354" s="6">
        <f>[1]Hybrid!AT49</f>
        <v>1.344575794</v>
      </c>
      <c r="AV354" s="6">
        <f>[1]Hybrid!AU49</f>
        <v>1.357392403</v>
      </c>
      <c r="AW354" s="6">
        <f>[1]Hybrid!AV49</f>
        <v>1.3700587559999999</v>
      </c>
      <c r="AX354" s="6">
        <f>[1]Hybrid!AW49</f>
        <v>1.38258083</v>
      </c>
      <c r="AY354" s="6">
        <f>[1]Hybrid!AX49</f>
        <v>1.3949627659999999</v>
      </c>
      <c r="AZ354" s="6">
        <f>[1]Hybrid!AY49</f>
        <v>1.4072069469999999</v>
      </c>
      <c r="BA354" s="6">
        <f>[1]Hybrid!AZ49</f>
        <v>1.4193142590000001</v>
      </c>
      <c r="BB354" s="6">
        <f>[1]Hybrid!BA49</f>
        <v>1.49953493</v>
      </c>
      <c r="BC354" s="6">
        <f>[1]Hybrid!BB49</f>
        <v>1.515156978</v>
      </c>
      <c r="BD354" s="6">
        <f>[1]Hybrid!BC49</f>
        <v>1.5307466949999999</v>
      </c>
      <c r="BE354" s="6">
        <f>[1]Hybrid!BD49</f>
        <v>1.5463146320000001</v>
      </c>
      <c r="BF354" s="6">
        <f>[1]Hybrid!BE49</f>
        <v>1.561872156</v>
      </c>
    </row>
    <row r="355" spans="1:58" x14ac:dyDescent="0.35">
      <c r="B355" s="6" t="str">
        <f>[1]Hybrid!A51</f>
        <v>auto_cc_cgas_0</v>
      </c>
      <c r="C355" s="6">
        <f>[1]Hybrid!B51</f>
        <v>0.40659851759999999</v>
      </c>
      <c r="D355" s="6">
        <f>[1]Hybrid!C51</f>
        <v>0.41470220209999997</v>
      </c>
      <c r="E355" s="6">
        <f>[1]Hybrid!D51</f>
        <v>0.4252513973</v>
      </c>
      <c r="F355" s="6">
        <f>[1]Hybrid!E51</f>
        <v>0.43734559249999999</v>
      </c>
      <c r="G355" s="6">
        <f>[1]Hybrid!F51</f>
        <v>0.4503910928</v>
      </c>
      <c r="H355" s="6">
        <f>[1]Hybrid!G51</f>
        <v>0.46400622349999998</v>
      </c>
      <c r="I355" s="6">
        <f>[1]Hybrid!H51</f>
        <v>0.47788482729999998</v>
      </c>
      <c r="J355" s="6">
        <f>[1]Hybrid!I51</f>
        <v>0.49186996440000003</v>
      </c>
      <c r="K355" s="6">
        <f>[1]Hybrid!J51</f>
        <v>0.50585910420000002</v>
      </c>
      <c r="L355" s="6">
        <f>[1]Hybrid!K51</f>
        <v>0.5197832644</v>
      </c>
      <c r="M355" s="6">
        <f>[1]Hybrid!L51</f>
        <v>0.53370530910000002</v>
      </c>
      <c r="N355" s="6">
        <f>[1]Hybrid!M51</f>
        <v>0.54747362229999996</v>
      </c>
      <c r="O355" s="6">
        <f>[1]Hybrid!N51</f>
        <v>0.56105661500000004</v>
      </c>
      <c r="P355" s="6">
        <f>[1]Hybrid!O51</f>
        <v>0.57442694910000003</v>
      </c>
      <c r="Q355" s="6">
        <f>[1]Hybrid!P51</f>
        <v>0.58756250769999996</v>
      </c>
      <c r="R355" s="6">
        <f>[1]Hybrid!Q51</f>
        <v>0.60044598719999998</v>
      </c>
      <c r="S355" s="6">
        <f>[1]Hybrid!R51</f>
        <v>0.61306411439999997</v>
      </c>
      <c r="T355" s="6">
        <f>[1]Hybrid!S51</f>
        <v>0.62540685529999995</v>
      </c>
      <c r="U355" s="6">
        <f>[1]Hybrid!T51</f>
        <v>0.63746675529999997</v>
      </c>
      <c r="V355" s="6">
        <f>[1]Hybrid!U51</f>
        <v>0.64923844789999996</v>
      </c>
      <c r="W355" s="6">
        <f>[1]Hybrid!V51</f>
        <v>0.66063617289999998</v>
      </c>
      <c r="X355" s="6">
        <f>[1]Hybrid!W51</f>
        <v>0.67174424129999999</v>
      </c>
      <c r="Y355" s="6">
        <f>[1]Hybrid!X51</f>
        <v>0.68256385659999996</v>
      </c>
      <c r="Z355" s="6">
        <f>[1]Hybrid!Y51</f>
        <v>0.69309799419999996</v>
      </c>
      <c r="AA355" s="6">
        <f>[1]Hybrid!Z51</f>
        <v>0.70334964730000005</v>
      </c>
      <c r="AB355" s="6">
        <f>[1]Hybrid!AA51</f>
        <v>0.71308991929999999</v>
      </c>
      <c r="AC355" s="6">
        <f>[1]Hybrid!AB51</f>
        <v>0.72245691720000005</v>
      </c>
      <c r="AD355" s="6">
        <f>[1]Hybrid!AC51</f>
        <v>0.73146450169999999</v>
      </c>
      <c r="AE355" s="6">
        <f>[1]Hybrid!AD51</f>
        <v>0.7401309895</v>
      </c>
      <c r="AF355" s="6">
        <f>[1]Hybrid!AE51</f>
        <v>0.7484753596</v>
      </c>
      <c r="AG355" s="6">
        <f>[1]Hybrid!AF51</f>
        <v>0.75651540660000005</v>
      </c>
      <c r="AH355" s="6">
        <f>[1]Hybrid!AG51</f>
        <v>0.7642669393</v>
      </c>
      <c r="AI355" s="6">
        <f>[1]Hybrid!AH51</f>
        <v>0.77174359339999998</v>
      </c>
      <c r="AJ355" s="6">
        <f>[1]Hybrid!AI51</f>
        <v>0.77895697850000001</v>
      </c>
      <c r="AK355" s="6">
        <f>[1]Hybrid!AJ51</f>
        <v>0.78591696730000005</v>
      </c>
      <c r="AL355" s="6">
        <f>[1]Hybrid!AK51</f>
        <v>0.79263200789999999</v>
      </c>
      <c r="AM355" s="6">
        <f>[1]Hybrid!AL51</f>
        <v>0.79905775010000002</v>
      </c>
      <c r="AN355" s="6">
        <f>[1]Hybrid!AM51</f>
        <v>0.80520370050000001</v>
      </c>
      <c r="AO355" s="6">
        <f>[1]Hybrid!AN51</f>
        <v>0.81107978420000004</v>
      </c>
      <c r="AP355" s="6">
        <f>[1]Hybrid!AO51</f>
        <v>0.81669668640000004</v>
      </c>
      <c r="AQ355" s="6">
        <f>[1]Hybrid!AP51</f>
        <v>0.8220651779</v>
      </c>
      <c r="AR355" s="6">
        <f>[1]Hybrid!AQ51</f>
        <v>0.82719536579999997</v>
      </c>
      <c r="AS355" s="6">
        <f>[1]Hybrid!AR51</f>
        <v>0.83209615309999996</v>
      </c>
      <c r="AT355" s="6">
        <f>[1]Hybrid!AS51</f>
        <v>0.83677495300000004</v>
      </c>
      <c r="AU355" s="6">
        <f>[1]Hybrid!AT51</f>
        <v>0.84123761610000003</v>
      </c>
      <c r="AV355" s="6">
        <f>[1]Hybrid!AU51</f>
        <v>0.8454885016</v>
      </c>
      <c r="AW355" s="6">
        <f>[1]Hybrid!AV51</f>
        <v>0.84953485490000002</v>
      </c>
      <c r="AX355" s="6">
        <f>[1]Hybrid!AW51</f>
        <v>0.85337825609999995</v>
      </c>
      <c r="AY355" s="6">
        <f>[1]Hybrid!AX51</f>
        <v>0.85701920399999998</v>
      </c>
      <c r="AZ355" s="6">
        <f>[1]Hybrid!AY51</f>
        <v>0.86045719450000002</v>
      </c>
      <c r="BA355" s="6">
        <f>[1]Hybrid!AZ51</f>
        <v>0.86369089610000005</v>
      </c>
      <c r="BB355" s="6">
        <f>[1]Hybrid!BA51</f>
        <v>0.90626562889999995</v>
      </c>
      <c r="BC355" s="6">
        <f>[1]Hybrid!BB51</f>
        <v>0.91114016870000003</v>
      </c>
      <c r="BD355" s="6">
        <f>[1]Hybrid!BC51</f>
        <v>0.91585367900000003</v>
      </c>
      <c r="BE355" s="6">
        <f>[1]Hybrid!BD51</f>
        <v>0.92041032209999996</v>
      </c>
      <c r="BF355" s="6">
        <f>[1]Hybrid!BE51</f>
        <v>0.92481464719999995</v>
      </c>
    </row>
    <row r="356" spans="1:58" x14ac:dyDescent="0.35">
      <c r="B356" s="6" t="str">
        <f>[1]Hybrid!A53</f>
        <v>auto_cd_cgas_0</v>
      </c>
      <c r="C356" s="6">
        <f>[1]Hybrid!B53</f>
        <v>0.2495444651</v>
      </c>
      <c r="D356" s="6">
        <f>[1]Hybrid!C53</f>
        <v>0.25242828470000001</v>
      </c>
      <c r="E356" s="6">
        <f>[1]Hybrid!D53</f>
        <v>0.25660192180000002</v>
      </c>
      <c r="F356" s="6">
        <f>[1]Hybrid!E53</f>
        <v>0.2615233649</v>
      </c>
      <c r="G356" s="6">
        <f>[1]Hybrid!F53</f>
        <v>0.26683808060000003</v>
      </c>
      <c r="H356" s="6">
        <f>[1]Hybrid!G53</f>
        <v>0.27231908849999997</v>
      </c>
      <c r="I356" s="6">
        <f>[1]Hybrid!H53</f>
        <v>0.27778898410000002</v>
      </c>
      <c r="J356" s="6">
        <f>[1]Hybrid!I53</f>
        <v>0.28315553710000002</v>
      </c>
      <c r="K356" s="6">
        <f>[1]Hybrid!J53</f>
        <v>0.28835885929999999</v>
      </c>
      <c r="L356" s="6">
        <f>[1]Hybrid!K53</f>
        <v>0.29335906779999998</v>
      </c>
      <c r="M356" s="6">
        <f>[1]Hybrid!L53</f>
        <v>0.298183898</v>
      </c>
      <c r="N356" s="6">
        <f>[1]Hybrid!M53</f>
        <v>0.30275479550000001</v>
      </c>
      <c r="O356" s="6">
        <f>[1]Hybrid!N53</f>
        <v>0.30705527510000002</v>
      </c>
      <c r="P356" s="6">
        <f>[1]Hybrid!O53</f>
        <v>0.31107217850000002</v>
      </c>
      <c r="Q356" s="6">
        <f>[1]Hybrid!P53</f>
        <v>0.31479590860000001</v>
      </c>
      <c r="R356" s="6">
        <f>[1]Hybrid!Q53</f>
        <v>0.31822002529999999</v>
      </c>
      <c r="S356" s="6">
        <f>[1]Hybrid!R53</f>
        <v>0.32134071400000003</v>
      </c>
      <c r="T356" s="6">
        <f>[1]Hybrid!S53</f>
        <v>0.32415628680000003</v>
      </c>
      <c r="U356" s="6">
        <f>[1]Hybrid!T53</f>
        <v>0.3266667694</v>
      </c>
      <c r="V356" s="6">
        <f>[1]Hybrid!U53</f>
        <v>0.32887358109999998</v>
      </c>
      <c r="W356" s="6">
        <f>[1]Hybrid!V53</f>
        <v>0.3307440894</v>
      </c>
      <c r="X356" s="6">
        <f>[1]Hybrid!W53</f>
        <v>0.33231992739999999</v>
      </c>
      <c r="Y356" s="6">
        <f>[1]Hybrid!X53</f>
        <v>0.33360632870000001</v>
      </c>
      <c r="Z356" s="6">
        <f>[1]Hybrid!Y53</f>
        <v>0.33460929509999998</v>
      </c>
      <c r="AA356" s="6">
        <f>[1]Hybrid!Z53</f>
        <v>0.33533487830000003</v>
      </c>
      <c r="AB356" s="6">
        <f>[1]Hybrid!AA53</f>
        <v>0.33569778109999998</v>
      </c>
      <c r="AC356" s="6">
        <f>[1]Hybrid!AB53</f>
        <v>0.33576115159999997</v>
      </c>
      <c r="AD356" s="6">
        <f>[1]Hybrid!AC53</f>
        <v>0.33553767439999999</v>
      </c>
      <c r="AE356" s="6">
        <f>[1]Hybrid!AD53</f>
        <v>0.33504132949999998</v>
      </c>
      <c r="AF356" s="6">
        <f>[1]Hybrid!AE53</f>
        <v>0.33428587999999998</v>
      </c>
      <c r="AG356" s="6">
        <f>[1]Hybrid!AF53</f>
        <v>0.33328421499999999</v>
      </c>
      <c r="AH356" s="6">
        <f>[1]Hybrid!AG53</f>
        <v>0.33204811639999998</v>
      </c>
      <c r="AI356" s="6">
        <f>[1]Hybrid!AH53</f>
        <v>0.33058826050000001</v>
      </c>
      <c r="AJ356" s="6">
        <f>[1]Hybrid!AI53</f>
        <v>0.32891433689999999</v>
      </c>
      <c r="AK356" s="6">
        <f>[1]Hybrid!AJ53</f>
        <v>0.32703521390000001</v>
      </c>
      <c r="AL356" s="6">
        <f>[1]Hybrid!AK53</f>
        <v>0.324959104</v>
      </c>
      <c r="AM356" s="6">
        <f>[1]Hybrid!AL53</f>
        <v>0.3226772148</v>
      </c>
      <c r="AN356" s="6">
        <f>[1]Hybrid!AM53</f>
        <v>0.32019884799999998</v>
      </c>
      <c r="AO356" s="6">
        <f>[1]Hybrid!AN53</f>
        <v>0.3175333662</v>
      </c>
      <c r="AP356" s="6">
        <f>[1]Hybrid!AO53</f>
        <v>0.31469022369999999</v>
      </c>
      <c r="AQ356" s="6">
        <f>[1]Hybrid!AP53</f>
        <v>0.31167872369999999</v>
      </c>
      <c r="AR356" s="6">
        <f>[1]Hybrid!AQ53</f>
        <v>0.30850779750000001</v>
      </c>
      <c r="AS356" s="6">
        <f>[1]Hybrid!AR53</f>
        <v>0.30518587470000003</v>
      </c>
      <c r="AT356" s="6">
        <f>[1]Hybrid!AS53</f>
        <v>0.30172084240000002</v>
      </c>
      <c r="AU356" s="6">
        <f>[1]Hybrid!AT53</f>
        <v>0.2981200698</v>
      </c>
      <c r="AV356" s="6">
        <f>[1]Hybrid!AU53</f>
        <v>0.29439047210000002</v>
      </c>
      <c r="AW356" s="6">
        <f>[1]Hybrid!AV53</f>
        <v>0.29053966120000002</v>
      </c>
      <c r="AX356" s="6">
        <f>[1]Hybrid!AW53</f>
        <v>0.2865737411</v>
      </c>
      <c r="AY356" s="6">
        <f>[1]Hybrid!AX53</f>
        <v>0.28249857839999998</v>
      </c>
      <c r="AZ356" s="6">
        <f>[1]Hybrid!AY53</f>
        <v>0.27831985599999998</v>
      </c>
      <c r="BA356" s="6">
        <f>[1]Hybrid!AZ53</f>
        <v>0.27404314200000002</v>
      </c>
      <c r="BB356" s="6">
        <f>[1]Hybrid!BA53</f>
        <v>0.27612346450000003</v>
      </c>
      <c r="BC356" s="6">
        <f>[1]Hybrid!BB53</f>
        <v>0.2717945819</v>
      </c>
      <c r="BD356" s="6">
        <f>[1]Hybrid!BC53</f>
        <v>0.26737305779999998</v>
      </c>
      <c r="BE356" s="6">
        <f>[1]Hybrid!BD53</f>
        <v>0.26286532150000003</v>
      </c>
      <c r="BF356" s="6">
        <f>[1]Hybrid!BE53</f>
        <v>0.25827777819999997</v>
      </c>
    </row>
    <row r="357" spans="1:58" x14ac:dyDescent="0.35">
      <c r="B357" s="6" t="str">
        <f>[1]Hybrid!A55</f>
        <v>auto_ce_cgas_0</v>
      </c>
      <c r="C357" s="6">
        <f>[1]Hybrid!B55</f>
        <v>0.15020246549999999</v>
      </c>
      <c r="D357" s="6">
        <f>[1]Hybrid!C55</f>
        <v>0.1521301739</v>
      </c>
      <c r="E357" s="6">
        <f>[1]Hybrid!D55</f>
        <v>0.15475126289999999</v>
      </c>
      <c r="F357" s="6">
        <f>[1]Hybrid!E55</f>
        <v>0.1577147408</v>
      </c>
      <c r="G357" s="6">
        <f>[1]Hybrid!F55</f>
        <v>0.1607948276</v>
      </c>
      <c r="H357" s="6">
        <f>[1]Hybrid!G55</f>
        <v>0.1638498524</v>
      </c>
      <c r="I357" s="6">
        <f>[1]Hybrid!H55</f>
        <v>0.1667728557</v>
      </c>
      <c r="J357" s="6">
        <f>[1]Hybrid!I55</f>
        <v>0.16951057689999999</v>
      </c>
      <c r="K357" s="6">
        <f>[1]Hybrid!J55</f>
        <v>0.1720307438</v>
      </c>
      <c r="L357" s="6">
        <f>[1]Hybrid!K55</f>
        <v>0.17431403649999999</v>
      </c>
      <c r="M357" s="6">
        <f>[1]Hybrid!L55</f>
        <v>0.17637991359999999</v>
      </c>
      <c r="N357" s="6">
        <f>[1]Hybrid!M55</f>
        <v>0.17818870549999999</v>
      </c>
      <c r="O357" s="6">
        <f>[1]Hybrid!N55</f>
        <v>0.17973650969999999</v>
      </c>
      <c r="P357" s="6">
        <f>[1]Hybrid!O55</f>
        <v>0.18102179269999999</v>
      </c>
      <c r="Q357" s="6">
        <f>[1]Hybrid!P55</f>
        <v>0.18204536869999999</v>
      </c>
      <c r="R357" s="6">
        <f>[1]Hybrid!Q55</f>
        <v>0.18281005550000001</v>
      </c>
      <c r="S357" s="6">
        <f>[1]Hybrid!R55</f>
        <v>0.18332029180000001</v>
      </c>
      <c r="T357" s="6">
        <f>[1]Hybrid!S55</f>
        <v>0.18358179459999999</v>
      </c>
      <c r="U357" s="6">
        <f>[1]Hybrid!T55</f>
        <v>0.1836012776</v>
      </c>
      <c r="V357" s="6">
        <f>[1]Hybrid!U55</f>
        <v>0.1833862278</v>
      </c>
      <c r="W357" s="6">
        <f>[1]Hybrid!V55</f>
        <v>0.1829275615</v>
      </c>
      <c r="X357" s="6">
        <f>[1]Hybrid!W55</f>
        <v>0.1822528608</v>
      </c>
      <c r="Y357" s="6">
        <f>[1]Hybrid!X55</f>
        <v>0.18137143889999999</v>
      </c>
      <c r="Z357" s="6">
        <f>[1]Hybrid!Y55</f>
        <v>0.18029282429999999</v>
      </c>
      <c r="AA357" s="6">
        <f>[1]Hybrid!Z55</f>
        <v>0.17902642560000001</v>
      </c>
      <c r="AB357" s="6">
        <f>[1]Hybrid!AA55</f>
        <v>0.17754021440000001</v>
      </c>
      <c r="AC357" s="6">
        <f>[1]Hybrid!AB55</f>
        <v>0.17587063289999999</v>
      </c>
      <c r="AD357" s="6">
        <f>[1]Hybrid!AC55</f>
        <v>0.17403046210000001</v>
      </c>
      <c r="AE357" s="6">
        <f>[1]Hybrid!AD55</f>
        <v>0.17203266750000001</v>
      </c>
      <c r="AF357" s="6">
        <f>[1]Hybrid!AE55</f>
        <v>0.16988972499999999</v>
      </c>
      <c r="AG357" s="6">
        <f>[1]Hybrid!AF55</f>
        <v>0.1676133652</v>
      </c>
      <c r="AH357" s="6">
        <f>[1]Hybrid!AG55</f>
        <v>0.1652145136</v>
      </c>
      <c r="AI357" s="6">
        <f>[1]Hybrid!AH55</f>
        <v>0.16270332879999999</v>
      </c>
      <c r="AJ357" s="6">
        <f>[1]Hybrid!AI55</f>
        <v>0.16008928829999999</v>
      </c>
      <c r="AK357" s="6">
        <f>[1]Hybrid!AJ55</f>
        <v>0.1573812869</v>
      </c>
      <c r="AL357" s="6">
        <f>[1]Hybrid!AK55</f>
        <v>0.1545877309</v>
      </c>
      <c r="AM357" s="6">
        <f>[1]Hybrid!AL55</f>
        <v>0.1517104591</v>
      </c>
      <c r="AN357" s="6">
        <f>[1]Hybrid!AM55</f>
        <v>0.14875819749999999</v>
      </c>
      <c r="AO357" s="6">
        <f>[1]Hybrid!AN55</f>
        <v>0.14573948</v>
      </c>
      <c r="AP357" s="6">
        <f>[1]Hybrid!AO55</f>
        <v>0.14266263609999999</v>
      </c>
      <c r="AQ357" s="6">
        <f>[1]Hybrid!AP55</f>
        <v>0.1395356942</v>
      </c>
      <c r="AR357" s="6">
        <f>[1]Hybrid!AQ55</f>
        <v>0.1363663088</v>
      </c>
      <c r="AS357" s="6">
        <f>[1]Hybrid!AR55</f>
        <v>0.1331617283</v>
      </c>
      <c r="AT357" s="6">
        <f>[1]Hybrid!AS55</f>
        <v>0.12992879639999999</v>
      </c>
      <c r="AU357" s="6">
        <f>[1]Hybrid!AT55</f>
        <v>0.1266739758</v>
      </c>
      <c r="AV357" s="6">
        <f>[1]Hybrid!AU55</f>
        <v>0.1234033823</v>
      </c>
      <c r="AW357" s="6">
        <f>[1]Hybrid!AV55</f>
        <v>0.12012314490000001</v>
      </c>
      <c r="AX357" s="6">
        <f>[1]Hybrid!AW55</f>
        <v>0.11683872939999999</v>
      </c>
      <c r="AY357" s="6">
        <f>[1]Hybrid!AX55</f>
        <v>0.1135553513</v>
      </c>
      <c r="AZ357" s="6">
        <f>[1]Hybrid!AY55</f>
        <v>0.11027799789999999</v>
      </c>
      <c r="BA357" s="6">
        <f>[1]Hybrid!AZ55</f>
        <v>0.1070114522</v>
      </c>
      <c r="BB357" s="6">
        <f>[1]Hybrid!BA55</f>
        <v>0.1053358968</v>
      </c>
      <c r="BC357" s="6">
        <f>[1]Hybrid!BB55</f>
        <v>0.1021107666</v>
      </c>
      <c r="BD357" s="6">
        <f>[1]Hybrid!BC55</f>
        <v>9.8906918499999996E-2</v>
      </c>
      <c r="BE357" s="6">
        <f>[1]Hybrid!BD55</f>
        <v>9.5728802700000004E-2</v>
      </c>
      <c r="BF357" s="6">
        <f>[1]Hybrid!BE55</f>
        <v>9.2580637699999996E-2</v>
      </c>
    </row>
    <row r="358" spans="1:58" x14ac:dyDescent="0.35">
      <c r="B358" s="6" t="str">
        <f>[1]Hybrid!A57</f>
        <v>auto_cf_cgas_0</v>
      </c>
      <c r="C358" s="6">
        <f>[1]Hybrid!B57</f>
        <v>7.4609436000000001E-2</v>
      </c>
      <c r="D358" s="6">
        <f>[1]Hybrid!C57</f>
        <v>7.5328545799999994E-2</v>
      </c>
      <c r="E358" s="6">
        <f>[1]Hybrid!D57</f>
        <v>7.6246810299999995E-2</v>
      </c>
      <c r="F358" s="6">
        <f>[1]Hybrid!E57</f>
        <v>7.7169642799999993E-2</v>
      </c>
      <c r="G358" s="6">
        <f>[1]Hybrid!F57</f>
        <v>7.7981432399999995E-2</v>
      </c>
      <c r="H358" s="6">
        <f>[1]Hybrid!G57</f>
        <v>7.86176861E-2</v>
      </c>
      <c r="I358" s="6">
        <f>[1]Hybrid!H57</f>
        <v>7.9038013200000007E-2</v>
      </c>
      <c r="J358" s="6">
        <f>[1]Hybrid!I57</f>
        <v>7.9230162500000006E-2</v>
      </c>
      <c r="K358" s="6">
        <f>[1]Hybrid!J57</f>
        <v>7.9193570899999996E-2</v>
      </c>
      <c r="L358" s="6">
        <f>[1]Hybrid!K57</f>
        <v>7.8934576699999995E-2</v>
      </c>
      <c r="M358" s="6">
        <f>[1]Hybrid!L57</f>
        <v>7.8473965899999998E-2</v>
      </c>
      <c r="N358" s="6">
        <f>[1]Hybrid!M57</f>
        <v>7.7812261399999999E-2</v>
      </c>
      <c r="O358" s="6">
        <f>[1]Hybrid!N57</f>
        <v>7.6963139299999997E-2</v>
      </c>
      <c r="P358" s="6">
        <f>[1]Hybrid!O57</f>
        <v>7.5941112500000005E-2</v>
      </c>
      <c r="Q358" s="6">
        <f>[1]Hybrid!P57</f>
        <v>7.4761250400000007E-2</v>
      </c>
      <c r="R358" s="6">
        <f>[1]Hybrid!Q57</f>
        <v>7.3438858199999998E-2</v>
      </c>
      <c r="S358" s="6">
        <f>[1]Hybrid!R57</f>
        <v>7.1989204000000001E-2</v>
      </c>
      <c r="T358" s="6">
        <f>[1]Hybrid!S57</f>
        <v>7.0427304100000004E-2</v>
      </c>
      <c r="U358" s="6">
        <f>[1]Hybrid!T57</f>
        <v>6.8767756799999996E-2</v>
      </c>
      <c r="V358" s="6">
        <f>[1]Hybrid!U57</f>
        <v>6.7024618600000002E-2</v>
      </c>
      <c r="W358" s="6">
        <f>[1]Hybrid!V57</f>
        <v>6.5207685799999998E-2</v>
      </c>
      <c r="X358" s="6">
        <f>[1]Hybrid!W57</f>
        <v>6.3334029900000005E-2</v>
      </c>
      <c r="Y358" s="6">
        <f>[1]Hybrid!X57</f>
        <v>6.14156888E-2</v>
      </c>
      <c r="Z358" s="6">
        <f>[1]Hybrid!Y57</f>
        <v>5.9463879599999998E-2</v>
      </c>
      <c r="AA358" s="6">
        <f>[1]Hybrid!Z57</f>
        <v>5.7488969000000001E-2</v>
      </c>
      <c r="AB358" s="6">
        <f>[1]Hybrid!AA57</f>
        <v>5.5493850400000003E-2</v>
      </c>
      <c r="AC358" s="6">
        <f>[1]Hybrid!AB57</f>
        <v>5.3492491500000003E-2</v>
      </c>
      <c r="AD358" s="6">
        <f>[1]Hybrid!AC57</f>
        <v>5.1493832000000003E-2</v>
      </c>
      <c r="AE358" s="6">
        <f>[1]Hybrid!AD57</f>
        <v>4.9505950100000001E-2</v>
      </c>
      <c r="AF358" s="6">
        <f>[1]Hybrid!AE57</f>
        <v>4.7536018200000002E-2</v>
      </c>
      <c r="AG358" s="6">
        <f>[1]Hybrid!AF57</f>
        <v>4.5590338799999998E-2</v>
      </c>
      <c r="AH358" s="6">
        <f>[1]Hybrid!AG57</f>
        <v>4.3674407700000001E-2</v>
      </c>
      <c r="AI358" s="6">
        <f>[1]Hybrid!AH57</f>
        <v>4.1792984700000001E-2</v>
      </c>
      <c r="AJ358" s="6">
        <f>[1]Hybrid!AI57</f>
        <v>3.9950163300000001E-2</v>
      </c>
      <c r="AK358" s="6">
        <f>[1]Hybrid!AJ57</f>
        <v>3.8149435299999999E-2</v>
      </c>
      <c r="AL358" s="6">
        <f>[1]Hybrid!AK57</f>
        <v>3.6393748599999998E-2</v>
      </c>
      <c r="AM358" s="6">
        <f>[1]Hybrid!AL57</f>
        <v>3.4685057499999998E-2</v>
      </c>
      <c r="AN358" s="6">
        <f>[1]Hybrid!AM57</f>
        <v>3.3025544900000002E-2</v>
      </c>
      <c r="AO358" s="6">
        <f>[1]Hybrid!AN57</f>
        <v>3.1416970099999997E-2</v>
      </c>
      <c r="AP358" s="6">
        <f>[1]Hybrid!AO57</f>
        <v>2.9860693099999999E-2</v>
      </c>
      <c r="AQ358" s="6">
        <f>[1]Hybrid!AP57</f>
        <v>2.8357698800000001E-2</v>
      </c>
      <c r="AR358" s="6">
        <f>[1]Hybrid!AQ57</f>
        <v>2.6908624200000002E-2</v>
      </c>
      <c r="AS358" s="6">
        <f>[1]Hybrid!AR57</f>
        <v>2.5513789799999999E-2</v>
      </c>
      <c r="AT358" s="6">
        <f>[1]Hybrid!AS57</f>
        <v>2.41732305E-2</v>
      </c>
      <c r="AU358" s="6">
        <f>[1]Hybrid!AT57</f>
        <v>2.2886726600000001E-2</v>
      </c>
      <c r="AV358" s="6">
        <f>[1]Hybrid!AU57</f>
        <v>2.1653832599999999E-2</v>
      </c>
      <c r="AW358" s="6">
        <f>[1]Hybrid!AV57</f>
        <v>2.0473916599999999E-2</v>
      </c>
      <c r="AX358" s="6">
        <f>[1]Hybrid!AW57</f>
        <v>1.9346155300000001E-2</v>
      </c>
      <c r="AY358" s="6">
        <f>[1]Hybrid!AX57</f>
        <v>1.8269574199999999E-2</v>
      </c>
      <c r="AZ358" s="6">
        <f>[1]Hybrid!AY57</f>
        <v>1.7243068899999998E-2</v>
      </c>
      <c r="BA358" s="6">
        <f>[1]Hybrid!AZ57</f>
        <v>1.6265423899999999E-2</v>
      </c>
      <c r="BB358" s="6">
        <f>[1]Hybrid!BA57</f>
        <v>1.52630786E-2</v>
      </c>
      <c r="BC358" s="6">
        <f>[1]Hybrid!BB57</f>
        <v>1.43817345E-2</v>
      </c>
      <c r="BD358" s="6">
        <f>[1]Hybrid!BC57</f>
        <v>1.35451741E-2</v>
      </c>
      <c r="BE358" s="6">
        <f>[1]Hybrid!BD57</f>
        <v>1.2751882000000001E-2</v>
      </c>
      <c r="BF358" s="6">
        <f>[1]Hybrid!BE57</f>
        <v>1.20003032E-2</v>
      </c>
    </row>
    <row r="359" spans="1:58" x14ac:dyDescent="0.35">
      <c r="B359" s="6" t="str">
        <f>[1]Hybrid!A59</f>
        <v>auto_cg_cgas_0</v>
      </c>
      <c r="C359" s="6">
        <f>[1]Hybrid!B59</f>
        <v>0.13435819299999999</v>
      </c>
      <c r="D359" s="6">
        <f>[1]Hybrid!C59</f>
        <v>0.1359196198</v>
      </c>
      <c r="E359" s="6">
        <f>[1]Hybrid!D59</f>
        <v>0.1376097553</v>
      </c>
      <c r="F359" s="6">
        <f>[1]Hybrid!E59</f>
        <v>0.139040723</v>
      </c>
      <c r="G359" s="6">
        <f>[1]Hybrid!F59</f>
        <v>0.14000475670000001</v>
      </c>
      <c r="H359" s="6">
        <f>[1]Hybrid!G59</f>
        <v>0.14040689849999999</v>
      </c>
      <c r="I359" s="6">
        <f>[1]Hybrid!H59</f>
        <v>0.14020756879999999</v>
      </c>
      <c r="J359" s="6">
        <f>[1]Hybrid!I59</f>
        <v>0.13942143839999999</v>
      </c>
      <c r="K359" s="6">
        <f>[1]Hybrid!J59</f>
        <v>0.13808502980000001</v>
      </c>
      <c r="L359" s="6">
        <f>[1]Hybrid!K59</f>
        <v>0.13624613560000001</v>
      </c>
      <c r="M359" s="6">
        <f>[1]Hybrid!L59</f>
        <v>0.13397192229999999</v>
      </c>
      <c r="N359" s="6">
        <f>[1]Hybrid!M59</f>
        <v>0.13129902299999999</v>
      </c>
      <c r="O359" s="6">
        <f>[1]Hybrid!N59</f>
        <v>0.12828077639999999</v>
      </c>
      <c r="P359" s="6">
        <f>[1]Hybrid!O59</f>
        <v>0.1249689708</v>
      </c>
      <c r="Q359" s="6">
        <f>[1]Hybrid!P59</f>
        <v>0.1214131557</v>
      </c>
      <c r="R359" s="6">
        <f>[1]Hybrid!Q59</f>
        <v>0.117660057</v>
      </c>
      <c r="S359" s="6">
        <f>[1]Hybrid!R59</f>
        <v>0.1137531842</v>
      </c>
      <c r="T359" s="6">
        <f>[1]Hybrid!S59</f>
        <v>0.1097326019</v>
      </c>
      <c r="U359" s="6">
        <f>[1]Hybrid!T59</f>
        <v>0.1056348261</v>
      </c>
      <c r="V359" s="6">
        <f>[1]Hybrid!U59</f>
        <v>0.101492817</v>
      </c>
      <c r="W359" s="6">
        <f>[1]Hybrid!V59</f>
        <v>9.7332758500000005E-2</v>
      </c>
      <c r="X359" s="6">
        <f>[1]Hybrid!W59</f>
        <v>9.3184915500000007E-2</v>
      </c>
      <c r="Y359" s="6">
        <f>[1]Hybrid!X59</f>
        <v>8.9072153000000001E-2</v>
      </c>
      <c r="Z359" s="6">
        <f>[1]Hybrid!Y59</f>
        <v>8.50142287E-2</v>
      </c>
      <c r="AA359" s="6">
        <f>[1]Hybrid!Z59</f>
        <v>8.1028006799999996E-2</v>
      </c>
      <c r="AB359" s="6">
        <f>[1]Hybrid!AA59</f>
        <v>7.7122966000000001E-2</v>
      </c>
      <c r="AC359" s="6">
        <f>[1]Hybrid!AB59</f>
        <v>7.3315100999999994E-2</v>
      </c>
      <c r="AD359" s="6">
        <f>[1]Hybrid!AC59</f>
        <v>6.9614825399999997E-2</v>
      </c>
      <c r="AE359" s="6">
        <f>[1]Hybrid!AD59</f>
        <v>6.60303582E-2</v>
      </c>
      <c r="AF359" s="6">
        <f>[1]Hybrid!AE59</f>
        <v>6.2567914700000005E-2</v>
      </c>
      <c r="AG359" s="6">
        <f>[1]Hybrid!AF59</f>
        <v>5.9231940900000002E-2</v>
      </c>
      <c r="AH359" s="6">
        <f>[1]Hybrid!AG59</f>
        <v>5.60253452E-2</v>
      </c>
      <c r="AI359" s="6">
        <f>[1]Hybrid!AH59</f>
        <v>5.2949711500000003E-2</v>
      </c>
      <c r="AJ359" s="6">
        <f>[1]Hybrid!AI59</f>
        <v>5.0005490600000001E-2</v>
      </c>
      <c r="AK359" s="6">
        <f>[1]Hybrid!AJ59</f>
        <v>4.7192170899999997E-2</v>
      </c>
      <c r="AL359" s="6">
        <f>[1]Hybrid!AK59</f>
        <v>4.4508428000000003E-2</v>
      </c>
      <c r="AM359" s="6">
        <f>[1]Hybrid!AL59</f>
        <v>4.1952060499999999E-2</v>
      </c>
      <c r="AN359" s="6">
        <f>[1]Hybrid!AM59</f>
        <v>3.9520592299999997E-2</v>
      </c>
      <c r="AO359" s="6">
        <f>[1]Hybrid!AN59</f>
        <v>3.7211063000000003E-2</v>
      </c>
      <c r="AP359" s="6">
        <f>[1]Hybrid!AO59</f>
        <v>3.5020113999999998E-2</v>
      </c>
      <c r="AQ359" s="6">
        <f>[1]Hybrid!AP59</f>
        <v>3.2944067399999999E-2</v>
      </c>
      <c r="AR359" s="6">
        <f>[1]Hybrid!AQ59</f>
        <v>3.0978999199999999E-2</v>
      </c>
      <c r="AS359" s="6">
        <f>[1]Hybrid!AR59</f>
        <v>2.9120805100000001E-2</v>
      </c>
      <c r="AT359" s="6">
        <f>[1]Hybrid!AS59</f>
        <v>2.7365259400000001E-2</v>
      </c>
      <c r="AU359" s="6">
        <f>[1]Hybrid!AT59</f>
        <v>2.57080651E-2</v>
      </c>
      <c r="AV359" s="6">
        <f>[1]Hybrid!AU59</f>
        <v>2.41448984E-2</v>
      </c>
      <c r="AW359" s="6">
        <f>[1]Hybrid!AV59</f>
        <v>2.2671448399999999E-2</v>
      </c>
      <c r="AX359" s="6">
        <f>[1]Hybrid!AW59</f>
        <v>2.12834415E-2</v>
      </c>
      <c r="AY359" s="6">
        <f>[1]Hybrid!AX59</f>
        <v>1.9976672500000001E-2</v>
      </c>
      <c r="AZ359" s="6">
        <f>[1]Hybrid!AY59</f>
        <v>1.8747025600000002E-2</v>
      </c>
      <c r="BA359" s="6">
        <f>[1]Hybrid!AZ59</f>
        <v>1.7590491900000001E-2</v>
      </c>
      <c r="BB359" s="6">
        <f>[1]Hybrid!BA59</f>
        <v>1.6384401199999999E-2</v>
      </c>
      <c r="BC359" s="6">
        <f>[1]Hybrid!BB59</f>
        <v>1.53693497E-2</v>
      </c>
      <c r="BD359" s="6">
        <f>[1]Hybrid!BC59</f>
        <v>1.44158467E-2</v>
      </c>
      <c r="BE359" s="6">
        <f>[1]Hybrid!BD59</f>
        <v>1.35204174E-2</v>
      </c>
      <c r="BF359" s="6">
        <f>[1]Hybrid!BE59</f>
        <v>1.26797366E-2</v>
      </c>
    </row>
    <row r="361" spans="1:58" x14ac:dyDescent="0.35">
      <c r="A361" s="12" t="s">
        <v>90</v>
      </c>
      <c r="B361" t="s">
        <v>56</v>
      </c>
      <c r="C361" s="2">
        <v>42005</v>
      </c>
      <c r="D361" s="2">
        <v>42370</v>
      </c>
      <c r="E361" s="2">
        <v>42736</v>
      </c>
      <c r="F361" s="2">
        <v>43101</v>
      </c>
      <c r="G361" s="2">
        <v>43466</v>
      </c>
      <c r="H361" s="2">
        <v>43831</v>
      </c>
      <c r="I361" s="2">
        <v>44197</v>
      </c>
      <c r="J361" s="2">
        <v>44562</v>
      </c>
      <c r="K361" s="2">
        <v>44927</v>
      </c>
      <c r="L361" s="2">
        <v>45292</v>
      </c>
      <c r="M361" s="2">
        <v>45658</v>
      </c>
      <c r="N361" s="2">
        <v>46023</v>
      </c>
      <c r="O361" s="2">
        <v>46388</v>
      </c>
      <c r="P361" s="2">
        <v>46753</v>
      </c>
      <c r="Q361" s="2">
        <v>47119</v>
      </c>
      <c r="R361" s="2">
        <v>47484</v>
      </c>
      <c r="S361" s="2">
        <v>47849</v>
      </c>
      <c r="T361" s="2">
        <v>48214</v>
      </c>
      <c r="U361" s="2">
        <v>48580</v>
      </c>
      <c r="V361" s="2">
        <v>48945</v>
      </c>
      <c r="W361" s="2">
        <v>49310</v>
      </c>
      <c r="X361" s="2">
        <v>49675</v>
      </c>
      <c r="Y361" s="2">
        <v>50041</v>
      </c>
      <c r="Z361" s="2">
        <v>50406</v>
      </c>
      <c r="AA361" s="2">
        <v>50771</v>
      </c>
      <c r="AB361" s="2">
        <v>51136</v>
      </c>
      <c r="AC361" s="2">
        <v>51502</v>
      </c>
      <c r="AD361" s="2">
        <v>51867</v>
      </c>
      <c r="AE361" s="2">
        <v>52232</v>
      </c>
      <c r="AF361" s="2">
        <v>52597</v>
      </c>
      <c r="AG361" s="2">
        <v>52963</v>
      </c>
      <c r="AH361" s="2">
        <v>53328</v>
      </c>
      <c r="AI361" s="2">
        <v>53693</v>
      </c>
      <c r="AJ361" s="2">
        <v>54058</v>
      </c>
      <c r="AK361" s="2">
        <v>54424</v>
      </c>
      <c r="AL361" s="2">
        <v>54789</v>
      </c>
      <c r="AM361" s="2">
        <v>54790</v>
      </c>
      <c r="AN361" s="2">
        <v>54791</v>
      </c>
      <c r="AO361" s="2">
        <v>54792</v>
      </c>
      <c r="AP361" s="2">
        <v>54793</v>
      </c>
      <c r="AQ361" s="2">
        <v>54794</v>
      </c>
      <c r="AR361" s="2">
        <v>54795</v>
      </c>
      <c r="AS361" s="2">
        <v>54796</v>
      </c>
      <c r="AT361" s="2">
        <v>54797</v>
      </c>
      <c r="AU361" s="2">
        <v>54798</v>
      </c>
      <c r="AV361" s="2">
        <v>54799</v>
      </c>
      <c r="AW361" s="2">
        <v>54800</v>
      </c>
      <c r="AX361" s="2">
        <v>54801</v>
      </c>
      <c r="AY361" s="2">
        <v>54802</v>
      </c>
      <c r="AZ361" s="2">
        <v>54803</v>
      </c>
      <c r="BA361" s="2">
        <v>54804</v>
      </c>
      <c r="BB361" s="2">
        <v>54805</v>
      </c>
      <c r="BC361" s="2">
        <v>54806</v>
      </c>
      <c r="BD361" s="2">
        <v>54807</v>
      </c>
      <c r="BE361" s="2">
        <v>54808</v>
      </c>
      <c r="BF361" s="2">
        <v>54809</v>
      </c>
    </row>
    <row r="362" spans="1:58" x14ac:dyDescent="0.35">
      <c r="A362" t="s">
        <v>38</v>
      </c>
      <c r="B362" t="s">
        <v>96</v>
      </c>
      <c r="C362" s="6">
        <f>C339+C346+C353</f>
        <v>7105.9689965623002</v>
      </c>
      <c r="D362" s="6">
        <f t="shared" ref="D362:AL362" si="207">D339+D346+D353</f>
        <v>7160.6497671000006</v>
      </c>
      <c r="E362" s="6">
        <f t="shared" si="207"/>
        <v>7267.0218370155008</v>
      </c>
      <c r="F362" s="6">
        <f t="shared" si="207"/>
        <v>7408.2740057071996</v>
      </c>
      <c r="G362" s="6">
        <f t="shared" si="207"/>
        <v>7573.2387139170005</v>
      </c>
      <c r="H362" s="6">
        <f t="shared" si="207"/>
        <v>7754.6723144157995</v>
      </c>
      <c r="I362" s="6">
        <f t="shared" si="207"/>
        <v>7946.7417244778999</v>
      </c>
      <c r="J362" s="6">
        <f t="shared" si="207"/>
        <v>8146.3988636513004</v>
      </c>
      <c r="K362" s="6">
        <f t="shared" si="207"/>
        <v>8351.6196397042004</v>
      </c>
      <c r="L362" s="6">
        <f t="shared" si="207"/>
        <v>8561.0175159940009</v>
      </c>
      <c r="M362" s="6">
        <f t="shared" si="207"/>
        <v>8775.7139489904002</v>
      </c>
      <c r="N362" s="6">
        <f t="shared" si="207"/>
        <v>8992.7592987945009</v>
      </c>
      <c r="O362" s="6">
        <f t="shared" si="207"/>
        <v>9211.5018680216999</v>
      </c>
      <c r="P362" s="6">
        <f t="shared" si="207"/>
        <v>9431.3736237804005</v>
      </c>
      <c r="Q362" s="6">
        <f t="shared" si="207"/>
        <v>9651.9099041869995</v>
      </c>
      <c r="R362" s="6">
        <f t="shared" si="207"/>
        <v>9872.7421421448998</v>
      </c>
      <c r="S362" s="6">
        <f t="shared" si="207"/>
        <v>10093.5828523035</v>
      </c>
      <c r="T362" s="6">
        <f t="shared" si="207"/>
        <v>10314.210248539701</v>
      </c>
      <c r="U362" s="6">
        <f t="shared" si="207"/>
        <v>10534.4554565415</v>
      </c>
      <c r="V362" s="6">
        <f t="shared" si="207"/>
        <v>10754.193088506801</v>
      </c>
      <c r="W362" s="6">
        <f t="shared" si="207"/>
        <v>10971.670640568</v>
      </c>
      <c r="X362" s="6">
        <f t="shared" si="207"/>
        <v>11188.586057733999</v>
      </c>
      <c r="Y362" s="6">
        <f t="shared" si="207"/>
        <v>11404.950033195999</v>
      </c>
      <c r="Z362" s="6">
        <f t="shared" si="207"/>
        <v>11620.816143782999</v>
      </c>
      <c r="AA362" s="6">
        <f t="shared" si="207"/>
        <v>11836.243901701</v>
      </c>
      <c r="AB362" s="6">
        <f t="shared" si="207"/>
        <v>12046.420554188</v>
      </c>
      <c r="AC362" s="6">
        <f t="shared" si="207"/>
        <v>12254.240099397</v>
      </c>
      <c r="AD362" s="6">
        <f t="shared" si="207"/>
        <v>12459.975403196</v>
      </c>
      <c r="AE362" s="6">
        <f t="shared" si="207"/>
        <v>12664.003533795001</v>
      </c>
      <c r="AF362" s="6">
        <f t="shared" si="207"/>
        <v>12866.725796728</v>
      </c>
      <c r="AG362" s="6">
        <f t="shared" si="207"/>
        <v>13068.527870380001</v>
      </c>
      <c r="AH362" s="6">
        <f t="shared" si="207"/>
        <v>13269.762191302001</v>
      </c>
      <c r="AI362" s="6">
        <f t="shared" si="207"/>
        <v>13470.743568914</v>
      </c>
      <c r="AJ362" s="6">
        <f t="shared" si="207"/>
        <v>13671.752169308</v>
      </c>
      <c r="AK362" s="6">
        <f t="shared" si="207"/>
        <v>13873.039520916001</v>
      </c>
      <c r="AL362" s="6">
        <f t="shared" si="207"/>
        <v>14074.835071420999</v>
      </c>
      <c r="AM362" s="6">
        <f t="shared" ref="AM362:BC362" si="208">AM339+AM346+AM353</f>
        <v>14276.157666494</v>
      </c>
      <c r="AN362" s="6">
        <f t="shared" si="208"/>
        <v>14477.265677702</v>
      </c>
      <c r="AO362" s="6">
        <f t="shared" si="208"/>
        <v>14678.432850198998</v>
      </c>
      <c r="AP362" s="6">
        <f t="shared" si="208"/>
        <v>14879.959143251001</v>
      </c>
      <c r="AQ362" s="6">
        <f t="shared" si="208"/>
        <v>15082.15654577</v>
      </c>
      <c r="AR362" s="6">
        <f t="shared" si="208"/>
        <v>15285.331903495</v>
      </c>
      <c r="AS362" s="6">
        <f t="shared" si="208"/>
        <v>15489.773866096</v>
      </c>
      <c r="AT362" s="6">
        <f t="shared" si="208"/>
        <v>15695.745687332999</v>
      </c>
      <c r="AU362" s="6">
        <f t="shared" si="208"/>
        <v>15903.482885825</v>
      </c>
      <c r="AV362" s="6">
        <f t="shared" si="208"/>
        <v>16113.194459201</v>
      </c>
      <c r="AW362" s="6">
        <f t="shared" si="208"/>
        <v>16325.174619830001</v>
      </c>
      <c r="AX362" s="6">
        <f t="shared" si="208"/>
        <v>16539.584369492</v>
      </c>
      <c r="AY362" s="6">
        <f t="shared" si="208"/>
        <v>16756.566986076999</v>
      </c>
      <c r="AZ362" s="6">
        <f t="shared" si="208"/>
        <v>16976.249032339001</v>
      </c>
      <c r="BA362" s="6">
        <f t="shared" si="208"/>
        <v>17198.744148378999</v>
      </c>
      <c r="BB362" s="6">
        <f t="shared" si="208"/>
        <v>18138.462713126002</v>
      </c>
      <c r="BC362" s="6">
        <f t="shared" si="208"/>
        <v>18399.003174058998</v>
      </c>
      <c r="BD362" s="6">
        <f t="shared" ref="BD362:BF362" si="209">BD339+BD346+BD353</f>
        <v>18662.39411841</v>
      </c>
      <c r="BE362" s="6">
        <f t="shared" si="209"/>
        <v>18928.757421561997</v>
      </c>
      <c r="BF362" s="6">
        <f t="shared" si="209"/>
        <v>19198.222028710999</v>
      </c>
    </row>
    <row r="363" spans="1:58" x14ac:dyDescent="0.35">
      <c r="B363" t="s">
        <v>97</v>
      </c>
      <c r="C363" s="6">
        <f t="shared" ref="C363:AL363" si="210">C340+C347+C354</f>
        <v>8263.1971436354015</v>
      </c>
      <c r="D363" s="6">
        <f t="shared" si="210"/>
        <v>8202.9699827737986</v>
      </c>
      <c r="E363" s="6">
        <f t="shared" si="210"/>
        <v>8199.9926223088987</v>
      </c>
      <c r="F363" s="6">
        <f t="shared" si="210"/>
        <v>8237.1856900254988</v>
      </c>
      <c r="G363" s="6">
        <f t="shared" si="210"/>
        <v>8303.0509469113003</v>
      </c>
      <c r="H363" s="6">
        <f t="shared" si="210"/>
        <v>8389.9666165513991</v>
      </c>
      <c r="I363" s="6">
        <f t="shared" si="210"/>
        <v>8491.7567477201992</v>
      </c>
      <c r="J363" s="6">
        <f t="shared" si="210"/>
        <v>8604.9718863155995</v>
      </c>
      <c r="K363" s="6">
        <f t="shared" si="210"/>
        <v>8727.1942902800984</v>
      </c>
      <c r="L363" s="6">
        <f t="shared" si="210"/>
        <v>8856.6591194845987</v>
      </c>
      <c r="M363" s="6">
        <f t="shared" si="210"/>
        <v>8993.9961933231007</v>
      </c>
      <c r="N363" s="6">
        <f t="shared" si="210"/>
        <v>9136.0468455786013</v>
      </c>
      <c r="O363" s="6">
        <f t="shared" si="210"/>
        <v>9281.8489600201992</v>
      </c>
      <c r="P363" s="6">
        <f t="shared" si="210"/>
        <v>9430.5500667002016</v>
      </c>
      <c r="Q363" s="6">
        <f t="shared" si="210"/>
        <v>9581.4221256272012</v>
      </c>
      <c r="R363" s="6">
        <f t="shared" si="210"/>
        <v>9733.8514973303008</v>
      </c>
      <c r="S363" s="6">
        <f t="shared" si="210"/>
        <v>9887.3222464228002</v>
      </c>
      <c r="T363" s="6">
        <f t="shared" si="210"/>
        <v>10041.399493626999</v>
      </c>
      <c r="U363" s="6">
        <f t="shared" si="210"/>
        <v>10195.715444031899</v>
      </c>
      <c r="V363" s="6">
        <f t="shared" si="210"/>
        <v>10349.958774304399</v>
      </c>
      <c r="W363" s="6">
        <f t="shared" si="210"/>
        <v>10502.357592490902</v>
      </c>
      <c r="X363" s="6">
        <f t="shared" si="210"/>
        <v>10654.292923867999</v>
      </c>
      <c r="Y363" s="6">
        <f t="shared" si="210"/>
        <v>10805.617527898399</v>
      </c>
      <c r="Z363" s="6">
        <f t="shared" si="210"/>
        <v>10956.231558975001</v>
      </c>
      <c r="AA363" s="6">
        <f t="shared" si="210"/>
        <v>11106.048503438</v>
      </c>
      <c r="AB363" s="6">
        <f t="shared" si="210"/>
        <v>11250.652217817</v>
      </c>
      <c r="AC363" s="6">
        <f t="shared" si="210"/>
        <v>11392.533722794</v>
      </c>
      <c r="AD363" s="6">
        <f t="shared" si="210"/>
        <v>11531.841412735001</v>
      </c>
      <c r="AE363" s="6">
        <f t="shared" si="210"/>
        <v>11668.817056718999</v>
      </c>
      <c r="AF363" s="6">
        <f t="shared" si="210"/>
        <v>11803.723640583999</v>
      </c>
      <c r="AG363" s="6">
        <f t="shared" si="210"/>
        <v>11936.809789126</v>
      </c>
      <c r="AH363" s="6">
        <f t="shared" si="210"/>
        <v>12068.294188907999</v>
      </c>
      <c r="AI363" s="6">
        <f t="shared" si="210"/>
        <v>12198.361844638999</v>
      </c>
      <c r="AJ363" s="6">
        <f t="shared" si="210"/>
        <v>12327.166695771</v>
      </c>
      <c r="AK363" s="6">
        <f t="shared" si="210"/>
        <v>12454.836938627001</v>
      </c>
      <c r="AL363" s="6">
        <f t="shared" si="210"/>
        <v>12581.48071657</v>
      </c>
      <c r="AM363" s="6">
        <f t="shared" ref="AM363:BC363" si="211">AM340+AM347+AM354</f>
        <v>12706.176962363999</v>
      </c>
      <c r="AN363" s="6">
        <f t="shared" si="211"/>
        <v>12829.070207774999</v>
      </c>
      <c r="AO363" s="6">
        <f t="shared" si="211"/>
        <v>12950.317615081</v>
      </c>
      <c r="AP363" s="6">
        <f t="shared" si="211"/>
        <v>13070.096536036999</v>
      </c>
      <c r="AQ363" s="6">
        <f t="shared" si="211"/>
        <v>13188.591656224</v>
      </c>
      <c r="AR363" s="6">
        <f t="shared" si="211"/>
        <v>13305.980008729</v>
      </c>
      <c r="AS363" s="6">
        <f t="shared" si="211"/>
        <v>13422.420142132001</v>
      </c>
      <c r="AT363" s="6">
        <f t="shared" si="211"/>
        <v>13538.046169294001</v>
      </c>
      <c r="AU363" s="6">
        <f t="shared" si="211"/>
        <v>13652.966146194001</v>
      </c>
      <c r="AV363" s="6">
        <f t="shared" si="211"/>
        <v>13767.263258903</v>
      </c>
      <c r="AW363" s="6">
        <f t="shared" si="211"/>
        <v>13881.086304255999</v>
      </c>
      <c r="AX363" s="6">
        <f t="shared" si="211"/>
        <v>13994.47233653</v>
      </c>
      <c r="AY363" s="6">
        <f t="shared" si="211"/>
        <v>14107.441422866001</v>
      </c>
      <c r="AZ363" s="6">
        <f t="shared" si="211"/>
        <v>14219.997798347002</v>
      </c>
      <c r="BA363" s="6">
        <f t="shared" si="211"/>
        <v>14332.133119358999</v>
      </c>
      <c r="BB363" s="6">
        <f t="shared" si="211"/>
        <v>14996.21756279</v>
      </c>
      <c r="BC363" s="6">
        <f t="shared" si="211"/>
        <v>15129.646392897999</v>
      </c>
      <c r="BD363" s="6">
        <f t="shared" ref="BD363:BF363" si="212">BD340+BD347+BD354</f>
        <v>15262.201480284999</v>
      </c>
      <c r="BE363" s="6">
        <f t="shared" si="212"/>
        <v>15393.885615662</v>
      </c>
      <c r="BF363" s="6">
        <f t="shared" si="212"/>
        <v>15524.704529986</v>
      </c>
    </row>
    <row r="364" spans="1:58" x14ac:dyDescent="0.35">
      <c r="B364" t="s">
        <v>98</v>
      </c>
      <c r="C364" s="6">
        <f t="shared" ref="C364:AL364" si="213">C341+C348+C355</f>
        <v>6787.4105911386005</v>
      </c>
      <c r="D364" s="6">
        <f t="shared" si="213"/>
        <v>6662.2406300520997</v>
      </c>
      <c r="E364" s="6">
        <f t="shared" si="213"/>
        <v>6582.4081977873002</v>
      </c>
      <c r="F364" s="6">
        <f t="shared" si="213"/>
        <v>6535.4142459124996</v>
      </c>
      <c r="G364" s="6">
        <f t="shared" si="213"/>
        <v>6512.7391935327996</v>
      </c>
      <c r="H364" s="6">
        <f t="shared" si="213"/>
        <v>6508.6252919535</v>
      </c>
      <c r="I364" s="6">
        <f t="shared" si="213"/>
        <v>6518.3813086272994</v>
      </c>
      <c r="J364" s="6">
        <f t="shared" si="213"/>
        <v>6539.2420466543999</v>
      </c>
      <c r="K364" s="6">
        <f t="shared" si="213"/>
        <v>6569.1921338541997</v>
      </c>
      <c r="L364" s="6">
        <f t="shared" si="213"/>
        <v>6606.6982884543995</v>
      </c>
      <c r="M364" s="6">
        <f t="shared" si="213"/>
        <v>6651.8786751891002</v>
      </c>
      <c r="N364" s="6">
        <f t="shared" si="213"/>
        <v>6702.3120259722991</v>
      </c>
      <c r="O364" s="6">
        <f t="shared" si="213"/>
        <v>6757.0932873849997</v>
      </c>
      <c r="P364" s="6">
        <f t="shared" si="213"/>
        <v>6815.4150712090996</v>
      </c>
      <c r="Q364" s="6">
        <f t="shared" si="213"/>
        <v>6876.5749899276998</v>
      </c>
      <c r="R364" s="6">
        <f t="shared" si="213"/>
        <v>6939.9665751071998</v>
      </c>
      <c r="S364" s="6">
        <f t="shared" si="213"/>
        <v>7005.0660776344002</v>
      </c>
      <c r="T364" s="6">
        <f t="shared" si="213"/>
        <v>7071.4195935753005</v>
      </c>
      <c r="U364" s="6">
        <f t="shared" si="213"/>
        <v>7138.6321820952999</v>
      </c>
      <c r="V364" s="6">
        <f t="shared" si="213"/>
        <v>7206.3593516879</v>
      </c>
      <c r="W364" s="6">
        <f t="shared" si="213"/>
        <v>7273.3130819328999</v>
      </c>
      <c r="X364" s="6">
        <f t="shared" si="213"/>
        <v>7340.2857811913</v>
      </c>
      <c r="Y364" s="6">
        <f t="shared" si="213"/>
        <v>7407.0731540365996</v>
      </c>
      <c r="Z364" s="6">
        <f t="shared" si="213"/>
        <v>7473.5093816442004</v>
      </c>
      <c r="AA364" s="6">
        <f t="shared" si="213"/>
        <v>7539.4443886272993</v>
      </c>
      <c r="AB364" s="6">
        <f t="shared" si="213"/>
        <v>7601.9537469193001</v>
      </c>
      <c r="AC364" s="6">
        <f t="shared" si="213"/>
        <v>7662.5813296872011</v>
      </c>
      <c r="AD364" s="6">
        <f t="shared" si="213"/>
        <v>7721.3617859517008</v>
      </c>
      <c r="AE364" s="6">
        <f t="shared" si="213"/>
        <v>7778.3917390895003</v>
      </c>
      <c r="AF364" s="6">
        <f t="shared" si="213"/>
        <v>7833.7827127596001</v>
      </c>
      <c r="AG364" s="6">
        <f t="shared" si="213"/>
        <v>7887.6382922065995</v>
      </c>
      <c r="AH364" s="6">
        <f t="shared" si="213"/>
        <v>7940.0442215392995</v>
      </c>
      <c r="AI364" s="6">
        <f t="shared" si="213"/>
        <v>7991.0660545933997</v>
      </c>
      <c r="AJ364" s="6">
        <f t="shared" si="213"/>
        <v>8040.7508693785003</v>
      </c>
      <c r="AK364" s="6">
        <f t="shared" si="213"/>
        <v>8089.1306785673005</v>
      </c>
      <c r="AL364" s="6">
        <f t="shared" si="213"/>
        <v>8136.2260664078995</v>
      </c>
      <c r="AM364" s="6">
        <f t="shared" ref="AM364:BC364" si="214">AM341+AM348+AM355</f>
        <v>8181.4275407501</v>
      </c>
      <c r="AN364" s="6">
        <f t="shared" si="214"/>
        <v>8224.7884763005004</v>
      </c>
      <c r="AO364" s="6">
        <f t="shared" si="214"/>
        <v>8266.3712276841998</v>
      </c>
      <c r="AP364" s="6">
        <f t="shared" si="214"/>
        <v>8306.2509314863983</v>
      </c>
      <c r="AQ364" s="6">
        <f t="shared" si="214"/>
        <v>8344.507042277899</v>
      </c>
      <c r="AR364" s="6">
        <f t="shared" si="214"/>
        <v>8381.2141125658</v>
      </c>
      <c r="AS364" s="6">
        <f t="shared" si="214"/>
        <v>8416.4352343531009</v>
      </c>
      <c r="AT364" s="6">
        <f t="shared" si="214"/>
        <v>8450.2186518530016</v>
      </c>
      <c r="AU364" s="6">
        <f t="shared" si="214"/>
        <v>8482.5969758160991</v>
      </c>
      <c r="AV364" s="6">
        <f t="shared" si="214"/>
        <v>8513.5881580016012</v>
      </c>
      <c r="AW364" s="6">
        <f t="shared" si="214"/>
        <v>8543.2484009549007</v>
      </c>
      <c r="AX364" s="6">
        <f t="shared" si="214"/>
        <v>8571.5683053561006</v>
      </c>
      <c r="AY364" s="6">
        <f t="shared" si="214"/>
        <v>8598.5290507040008</v>
      </c>
      <c r="AZ364" s="6">
        <f t="shared" si="214"/>
        <v>8624.1033437944989</v>
      </c>
      <c r="BA364" s="6">
        <f t="shared" si="214"/>
        <v>8648.2575338960996</v>
      </c>
      <c r="BB364" s="6">
        <f t="shared" si="214"/>
        <v>8978.4153069089007</v>
      </c>
      <c r="BC364" s="6">
        <f t="shared" si="214"/>
        <v>9010.4894394087005</v>
      </c>
      <c r="BD364" s="6">
        <f t="shared" ref="BD364:BF364" si="215">BD341+BD348+BD355</f>
        <v>9040.7197932090003</v>
      </c>
      <c r="BE364" s="6">
        <f t="shared" si="215"/>
        <v>9069.0906969020998</v>
      </c>
      <c r="BF364" s="6">
        <f t="shared" si="215"/>
        <v>9095.5887483972001</v>
      </c>
    </row>
    <row r="365" spans="1:58" x14ac:dyDescent="0.35">
      <c r="B365" t="s">
        <v>99</v>
      </c>
      <c r="C365" s="6">
        <f t="shared" ref="C365:AL365" si="216">C342+C349+C356</f>
        <v>4165.6835237371006</v>
      </c>
      <c r="D365" s="6">
        <f t="shared" si="216"/>
        <v>4063.7549302087</v>
      </c>
      <c r="E365" s="6">
        <f t="shared" si="216"/>
        <v>3987.4894742228003</v>
      </c>
      <c r="F365" s="6">
        <f t="shared" si="216"/>
        <v>3929.3510947748996</v>
      </c>
      <c r="G365" s="6">
        <f t="shared" si="216"/>
        <v>3884.2335693405998</v>
      </c>
      <c r="H365" s="6">
        <f t="shared" si="216"/>
        <v>3848.6928192884998</v>
      </c>
      <c r="I365" s="6">
        <f t="shared" si="216"/>
        <v>3819.9769017140998</v>
      </c>
      <c r="J365" s="6">
        <f t="shared" si="216"/>
        <v>3796.4372700771</v>
      </c>
      <c r="K365" s="6">
        <f t="shared" si="216"/>
        <v>3776.8724886993</v>
      </c>
      <c r="L365" s="6">
        <f t="shared" si="216"/>
        <v>3760.3696771177997</v>
      </c>
      <c r="M365" s="6">
        <f t="shared" si="216"/>
        <v>3746.8693233979998</v>
      </c>
      <c r="N365" s="6">
        <f t="shared" si="216"/>
        <v>3735.0603296354998</v>
      </c>
      <c r="O365" s="6">
        <f t="shared" si="216"/>
        <v>3724.4200962550999</v>
      </c>
      <c r="P365" s="6">
        <f t="shared" si="216"/>
        <v>3714.4942382085001</v>
      </c>
      <c r="Q365" s="6">
        <f t="shared" si="216"/>
        <v>3704.8966044986</v>
      </c>
      <c r="R365" s="6">
        <f t="shared" si="216"/>
        <v>3695.3018221152997</v>
      </c>
      <c r="S365" s="6">
        <f t="shared" si="216"/>
        <v>3685.4365547640004</v>
      </c>
      <c r="T365" s="6">
        <f t="shared" si="216"/>
        <v>3675.0714532068</v>
      </c>
      <c r="U365" s="6">
        <f t="shared" si="216"/>
        <v>3664.0143796893999</v>
      </c>
      <c r="V365" s="6">
        <f t="shared" si="216"/>
        <v>3652.1049545511005</v>
      </c>
      <c r="W365" s="6">
        <f t="shared" si="216"/>
        <v>3638.7871643894</v>
      </c>
      <c r="X365" s="6">
        <f t="shared" si="216"/>
        <v>3624.4161766873999</v>
      </c>
      <c r="Y365" s="6">
        <f t="shared" si="216"/>
        <v>3608.9135855887002</v>
      </c>
      <c r="Z365" s="6">
        <f t="shared" si="216"/>
        <v>3592.2203244651</v>
      </c>
      <c r="AA365" s="6">
        <f t="shared" si="216"/>
        <v>3574.2871030782999</v>
      </c>
      <c r="AB365" s="6">
        <f t="shared" si="216"/>
        <v>3553.9751236511001</v>
      </c>
      <c r="AC365" s="6">
        <f t="shared" si="216"/>
        <v>3531.9539905815996</v>
      </c>
      <c r="AD365" s="6">
        <f t="shared" si="216"/>
        <v>3508.2824525043998</v>
      </c>
      <c r="AE365" s="6">
        <f t="shared" si="216"/>
        <v>3483.0399013895003</v>
      </c>
      <c r="AF365" s="6">
        <f t="shared" si="216"/>
        <v>3456.3075682799999</v>
      </c>
      <c r="AG365" s="6">
        <f t="shared" si="216"/>
        <v>3428.1603042249999</v>
      </c>
      <c r="AH365" s="6">
        <f t="shared" si="216"/>
        <v>3398.6636292163998</v>
      </c>
      <c r="AI365" s="6">
        <f t="shared" si="216"/>
        <v>3367.8736170604998</v>
      </c>
      <c r="AJ365" s="6">
        <f t="shared" si="216"/>
        <v>3335.8382346969001</v>
      </c>
      <c r="AK365" s="6">
        <f t="shared" si="216"/>
        <v>3302.5992062538999</v>
      </c>
      <c r="AL365" s="6">
        <f t="shared" si="216"/>
        <v>3268.1938637439998</v>
      </c>
      <c r="AM365" s="6">
        <f t="shared" ref="AM365:BC365" si="217">AM342+AM349+AM356</f>
        <v>3232.4583881248</v>
      </c>
      <c r="AN365" s="6">
        <f t="shared" si="217"/>
        <v>3195.4526545680001</v>
      </c>
      <c r="AO365" s="6">
        <f t="shared" si="217"/>
        <v>3157.2396829162003</v>
      </c>
      <c r="AP365" s="6">
        <f t="shared" si="217"/>
        <v>3117.8858077837003</v>
      </c>
      <c r="AQ365" s="6">
        <f t="shared" si="217"/>
        <v>3077.4575724536999</v>
      </c>
      <c r="AR365" s="6">
        <f t="shared" si="217"/>
        <v>3036.0189416175003</v>
      </c>
      <c r="AS365" s="6">
        <f t="shared" si="217"/>
        <v>2993.6296567946997</v>
      </c>
      <c r="AT365" s="6">
        <f t="shared" si="217"/>
        <v>2950.3446947724001</v>
      </c>
      <c r="AU365" s="6">
        <f t="shared" si="217"/>
        <v>2906.2145198798003</v>
      </c>
      <c r="AV365" s="6">
        <f t="shared" si="217"/>
        <v>2861.2858082421003</v>
      </c>
      <c r="AW365" s="6">
        <f t="shared" si="217"/>
        <v>2815.6152465912</v>
      </c>
      <c r="AX365" s="6">
        <f t="shared" si="217"/>
        <v>2769.2427447911</v>
      </c>
      <c r="AY365" s="6">
        <f t="shared" si="217"/>
        <v>2722.2068829883997</v>
      </c>
      <c r="AZ365" s="6">
        <f t="shared" si="217"/>
        <v>2674.545478816</v>
      </c>
      <c r="BA365" s="6">
        <f t="shared" si="217"/>
        <v>2626.2963324120005</v>
      </c>
      <c r="BB365" s="6">
        <f t="shared" si="217"/>
        <v>2632.3136523445</v>
      </c>
      <c r="BC365" s="6">
        <f t="shared" si="217"/>
        <v>2583.2256786819003</v>
      </c>
      <c r="BD365" s="6">
        <f t="shared" ref="BD365:BF365" si="218">BD342+BD349+BD356</f>
        <v>2533.5150676578</v>
      </c>
      <c r="BE365" s="6">
        <f t="shared" si="218"/>
        <v>2483.2349519214999</v>
      </c>
      <c r="BF365" s="6">
        <f t="shared" si="218"/>
        <v>2432.4389197482001</v>
      </c>
    </row>
    <row r="366" spans="1:58" x14ac:dyDescent="0.35">
      <c r="B366" t="s">
        <v>100</v>
      </c>
      <c r="C366" s="6">
        <f t="shared" ref="C366:AL366" si="219">C343+C350+C357</f>
        <v>2507.3524895615005</v>
      </c>
      <c r="D366" s="6">
        <f t="shared" si="219"/>
        <v>2448.3068137208998</v>
      </c>
      <c r="E366" s="6">
        <f t="shared" si="219"/>
        <v>2403.6767773389001</v>
      </c>
      <c r="F366" s="6">
        <f t="shared" si="219"/>
        <v>2368.6467408958001</v>
      </c>
      <c r="G366" s="6">
        <f t="shared" si="219"/>
        <v>2340.0152302185998</v>
      </c>
      <c r="H366" s="6">
        <f t="shared" si="219"/>
        <v>2315.6699042253999</v>
      </c>
      <c r="I366" s="6">
        <f t="shared" si="219"/>
        <v>2293.9727409157003</v>
      </c>
      <c r="J366" s="6">
        <f t="shared" si="219"/>
        <v>2273.9774610569002</v>
      </c>
      <c r="K366" s="6">
        <f t="shared" si="219"/>
        <v>2255.0232710738001</v>
      </c>
      <c r="L366" s="6">
        <f t="shared" si="219"/>
        <v>2236.6319747565003</v>
      </c>
      <c r="M366" s="6">
        <f t="shared" si="219"/>
        <v>2218.8139156535999</v>
      </c>
      <c r="N366" s="6">
        <f t="shared" si="219"/>
        <v>2200.8828104155</v>
      </c>
      <c r="O366" s="6">
        <f t="shared" si="219"/>
        <v>2182.6055835797001</v>
      </c>
      <c r="P366" s="6">
        <f t="shared" si="219"/>
        <v>2163.7928105727001</v>
      </c>
      <c r="Q366" s="6">
        <f t="shared" si="219"/>
        <v>2144.2968655987002</v>
      </c>
      <c r="R366" s="6">
        <f t="shared" si="219"/>
        <v>2124.0063165154997</v>
      </c>
      <c r="S366" s="6">
        <f t="shared" si="219"/>
        <v>2102.8400188917999</v>
      </c>
      <c r="T366" s="6">
        <f t="shared" si="219"/>
        <v>2080.7418782845998</v>
      </c>
      <c r="U366" s="6">
        <f t="shared" si="219"/>
        <v>2057.6764725175999</v>
      </c>
      <c r="V366" s="6">
        <f t="shared" si="219"/>
        <v>2033.6255231277999</v>
      </c>
      <c r="W366" s="6">
        <f t="shared" si="219"/>
        <v>2008.3786897714999</v>
      </c>
      <c r="X366" s="6">
        <f t="shared" si="219"/>
        <v>1982.1758285507999</v>
      </c>
      <c r="Y366" s="6">
        <f t="shared" si="219"/>
        <v>1955.0394272788999</v>
      </c>
      <c r="Z366" s="6">
        <f t="shared" si="219"/>
        <v>1926.9998665043001</v>
      </c>
      <c r="AA366" s="6">
        <f t="shared" si="219"/>
        <v>1898.0909426155999</v>
      </c>
      <c r="AB366" s="6">
        <f t="shared" si="219"/>
        <v>1867.8528445044003</v>
      </c>
      <c r="AC366" s="6">
        <f t="shared" si="219"/>
        <v>1836.6603912528999</v>
      </c>
      <c r="AD366" s="6">
        <f t="shared" si="219"/>
        <v>1804.6023791921</v>
      </c>
      <c r="AE366" s="6">
        <f t="shared" si="219"/>
        <v>1771.7726004075</v>
      </c>
      <c r="AF366" s="6">
        <f t="shared" si="219"/>
        <v>1738.2614741249999</v>
      </c>
      <c r="AG366" s="6">
        <f t="shared" si="219"/>
        <v>1704.1528733151999</v>
      </c>
      <c r="AH366" s="6">
        <f t="shared" si="219"/>
        <v>1669.5233370635999</v>
      </c>
      <c r="AI366" s="6">
        <f t="shared" si="219"/>
        <v>1634.4425048088001</v>
      </c>
      <c r="AJ366" s="6">
        <f t="shared" si="219"/>
        <v>1598.9740867983</v>
      </c>
      <c r="AK366" s="6">
        <f t="shared" si="219"/>
        <v>1563.1770021969</v>
      </c>
      <c r="AL366" s="6">
        <f t="shared" si="219"/>
        <v>1527.1064366208998</v>
      </c>
      <c r="AM366" s="6">
        <f t="shared" ref="AM366:BC366" si="220">AM343+AM350+AM357</f>
        <v>1490.7406465690999</v>
      </c>
      <c r="AN366" s="6">
        <f t="shared" si="220"/>
        <v>1454.1437930475001</v>
      </c>
      <c r="AO366" s="6">
        <f t="shared" si="220"/>
        <v>1417.37933677</v>
      </c>
      <c r="AP366" s="6">
        <f t="shared" si="220"/>
        <v>1380.5097943261001</v>
      </c>
      <c r="AQ366" s="6">
        <f t="shared" si="220"/>
        <v>1343.5954972242</v>
      </c>
      <c r="AR366" s="6">
        <f t="shared" si="220"/>
        <v>1306.6936550088001</v>
      </c>
      <c r="AS366" s="6">
        <f t="shared" si="220"/>
        <v>1269.8579281283</v>
      </c>
      <c r="AT366" s="6">
        <f t="shared" si="220"/>
        <v>1233.1384138664</v>
      </c>
      <c r="AU366" s="6">
        <f t="shared" si="220"/>
        <v>1196.5818971358001</v>
      </c>
      <c r="AV366" s="6">
        <f t="shared" si="220"/>
        <v>1160.2322330423001</v>
      </c>
      <c r="AW366" s="6">
        <f t="shared" si="220"/>
        <v>1124.1346473748999</v>
      </c>
      <c r="AX366" s="6">
        <f t="shared" si="220"/>
        <v>1088.3274887093999</v>
      </c>
      <c r="AY366" s="6">
        <f t="shared" si="220"/>
        <v>1052.8472374613</v>
      </c>
      <c r="AZ366" s="6">
        <f t="shared" si="220"/>
        <v>1017.7287266179</v>
      </c>
      <c r="BA366" s="6">
        <f t="shared" si="220"/>
        <v>983.00537959220003</v>
      </c>
      <c r="BB366" s="6">
        <f t="shared" si="220"/>
        <v>959.84461077679998</v>
      </c>
      <c r="BC366" s="6">
        <f t="shared" si="220"/>
        <v>925.75718298660013</v>
      </c>
      <c r="BD366" s="6">
        <f t="shared" ref="BD366:BF366" si="221">BD343+BD350+BD357</f>
        <v>892.1314733685</v>
      </c>
      <c r="BE366" s="6">
        <f t="shared" si="221"/>
        <v>859.00109408270009</v>
      </c>
      <c r="BF366" s="6">
        <f t="shared" si="221"/>
        <v>826.39766396770005</v>
      </c>
    </row>
    <row r="367" spans="1:58" x14ac:dyDescent="0.35">
      <c r="B367" t="s">
        <v>101</v>
      </c>
      <c r="C367" s="6">
        <f t="shared" ref="C367:AL367" si="222">C344+C351+C358</f>
        <v>1245.466605953</v>
      </c>
      <c r="D367" s="6">
        <f t="shared" si="222"/>
        <v>1213.2724258457999</v>
      </c>
      <c r="E367" s="6">
        <f t="shared" si="222"/>
        <v>1186.5363136733001</v>
      </c>
      <c r="F367" s="6">
        <f t="shared" si="222"/>
        <v>1162.6456731598</v>
      </c>
      <c r="G367" s="6">
        <f t="shared" si="222"/>
        <v>1139.9931489924002</v>
      </c>
      <c r="H367" s="6">
        <f t="shared" si="222"/>
        <v>1117.6232972900998</v>
      </c>
      <c r="I367" s="6">
        <f t="shared" si="222"/>
        <v>1094.8958476062</v>
      </c>
      <c r="J367" s="6">
        <f t="shared" si="222"/>
        <v>1071.5278904375</v>
      </c>
      <c r="K367" s="6">
        <f t="shared" si="222"/>
        <v>1047.3896679409002</v>
      </c>
      <c r="L367" s="6">
        <f t="shared" si="222"/>
        <v>1022.4439905307</v>
      </c>
      <c r="M367" s="6">
        <f t="shared" si="222"/>
        <v>996.83492412589999</v>
      </c>
      <c r="N367" s="6">
        <f t="shared" si="222"/>
        <v>970.46755091839998</v>
      </c>
      <c r="O367" s="6">
        <f t="shared" si="222"/>
        <v>943.41276745929997</v>
      </c>
      <c r="P367" s="6">
        <f t="shared" si="222"/>
        <v>915.75633663449992</v>
      </c>
      <c r="Q367" s="6">
        <f t="shared" si="222"/>
        <v>887.5950015894</v>
      </c>
      <c r="R367" s="6">
        <f t="shared" si="222"/>
        <v>859.03219585320005</v>
      </c>
      <c r="S367" s="6">
        <f t="shared" si="222"/>
        <v>830.17442781700004</v>
      </c>
      <c r="T367" s="6">
        <f t="shared" si="222"/>
        <v>801.12842758010004</v>
      </c>
      <c r="U367" s="6">
        <f t="shared" si="222"/>
        <v>771.99895220079998</v>
      </c>
      <c r="V367" s="6">
        <f t="shared" si="222"/>
        <v>742.88713090260001</v>
      </c>
      <c r="W367" s="6">
        <f t="shared" si="222"/>
        <v>713.84565510380003</v>
      </c>
      <c r="X367" s="6">
        <f t="shared" si="222"/>
        <v>685.01795697990008</v>
      </c>
      <c r="Y367" s="6">
        <f t="shared" si="222"/>
        <v>656.48872347480005</v>
      </c>
      <c r="Z367" s="6">
        <f t="shared" si="222"/>
        <v>628.33529655459995</v>
      </c>
      <c r="AA367" s="6">
        <f t="shared" si="222"/>
        <v>600.627263825</v>
      </c>
      <c r="AB367" s="6">
        <f t="shared" si="222"/>
        <v>573.34682454339998</v>
      </c>
      <c r="AC367" s="6">
        <f t="shared" si="222"/>
        <v>546.61286029450002</v>
      </c>
      <c r="AD367" s="6">
        <f t="shared" si="222"/>
        <v>520.48513705800008</v>
      </c>
      <c r="AE367" s="6">
        <f t="shared" si="222"/>
        <v>495.01518927310002</v>
      </c>
      <c r="AF367" s="6">
        <f t="shared" si="222"/>
        <v>470.24577075420001</v>
      </c>
      <c r="AG367" s="6">
        <f t="shared" si="222"/>
        <v>446.21128841580003</v>
      </c>
      <c r="AH367" s="6">
        <f t="shared" si="222"/>
        <v>422.93855404869998</v>
      </c>
      <c r="AI367" s="6">
        <f t="shared" si="222"/>
        <v>400.44761472270005</v>
      </c>
      <c r="AJ367" s="6">
        <f t="shared" si="222"/>
        <v>378.7525599393</v>
      </c>
      <c r="AK367" s="6">
        <f t="shared" si="222"/>
        <v>357.8622585553</v>
      </c>
      <c r="AL367" s="6">
        <f t="shared" si="222"/>
        <v>337.78100733359997</v>
      </c>
      <c r="AM367" s="6">
        <f t="shared" ref="AM367:BC367" si="223">AM344+AM351+AM358</f>
        <v>318.50306632749999</v>
      </c>
      <c r="AN367" s="6">
        <f t="shared" si="223"/>
        <v>300.02738483989998</v>
      </c>
      <c r="AO367" s="6">
        <f t="shared" si="223"/>
        <v>282.3495633311</v>
      </c>
      <c r="AP367" s="6">
        <f t="shared" si="223"/>
        <v>265.46209563709994</v>
      </c>
      <c r="AQ367" s="6">
        <f t="shared" si="223"/>
        <v>249.35458951780001</v>
      </c>
      <c r="AR367" s="6">
        <f t="shared" si="223"/>
        <v>234.01404218819999</v>
      </c>
      <c r="AS367" s="6">
        <f t="shared" si="223"/>
        <v>219.42515029879999</v>
      </c>
      <c r="AT367" s="6">
        <f t="shared" si="223"/>
        <v>205.5706275105</v>
      </c>
      <c r="AU367" s="6">
        <f t="shared" si="223"/>
        <v>192.43151187360002</v>
      </c>
      <c r="AV367" s="6">
        <f t="shared" si="223"/>
        <v>179.9874516056</v>
      </c>
      <c r="AW367" s="6">
        <f t="shared" si="223"/>
        <v>168.2171130296</v>
      </c>
      <c r="AX367" s="6">
        <f t="shared" si="223"/>
        <v>157.0980553853</v>
      </c>
      <c r="AY367" s="6">
        <f t="shared" si="223"/>
        <v>146.6071605402</v>
      </c>
      <c r="AZ367" s="6">
        <f t="shared" si="223"/>
        <v>136.7208198809</v>
      </c>
      <c r="BA367" s="6">
        <f t="shared" si="223"/>
        <v>127.41510425689999</v>
      </c>
      <c r="BB367" s="6">
        <f t="shared" si="223"/>
        <v>117.8300919396</v>
      </c>
      <c r="BC367" s="6">
        <f t="shared" si="223"/>
        <v>109.6390523845</v>
      </c>
      <c r="BD367" s="6">
        <f t="shared" ref="BD367:BF367" si="224">BD344+BD351+BD358</f>
        <v>101.95772671810001</v>
      </c>
      <c r="BE367" s="6">
        <f t="shared" si="224"/>
        <v>94.761996233000005</v>
      </c>
      <c r="BF367" s="6">
        <f t="shared" si="224"/>
        <v>88.028007127199999</v>
      </c>
    </row>
    <row r="368" spans="1:58" x14ac:dyDescent="0.35">
      <c r="B368" t="s">
        <v>102</v>
      </c>
      <c r="C368" s="6">
        <f t="shared" ref="C368:AL368" si="225">C345+C352+C359</f>
        <v>2242.8616504070001</v>
      </c>
      <c r="D368" s="6">
        <f t="shared" si="225"/>
        <v>2188.0868092618002</v>
      </c>
      <c r="E368" s="6">
        <f t="shared" si="225"/>
        <v>2140.3306675243002</v>
      </c>
      <c r="F368" s="6">
        <f t="shared" si="225"/>
        <v>2094.4834868480002</v>
      </c>
      <c r="G368" s="6">
        <f t="shared" si="225"/>
        <v>2047.7041693286999</v>
      </c>
      <c r="H368" s="6">
        <f t="shared" si="225"/>
        <v>1998.5710232935</v>
      </c>
      <c r="I368" s="6">
        <f t="shared" si="225"/>
        <v>1946.3664731137999</v>
      </c>
      <c r="J368" s="6">
        <f t="shared" si="225"/>
        <v>1891.0505597744</v>
      </c>
      <c r="K368" s="6">
        <f t="shared" si="225"/>
        <v>1832.8599650088001</v>
      </c>
      <c r="L368" s="6">
        <f t="shared" si="225"/>
        <v>1772.1758830766</v>
      </c>
      <c r="M368" s="6">
        <f t="shared" si="225"/>
        <v>1709.6186978983001</v>
      </c>
      <c r="N368" s="6">
        <f t="shared" si="225"/>
        <v>1645.4443571830002</v>
      </c>
      <c r="O368" s="6">
        <f t="shared" si="225"/>
        <v>1580.1172831464003</v>
      </c>
      <c r="P368" s="6">
        <f t="shared" si="225"/>
        <v>1514.0874288407999</v>
      </c>
      <c r="Q368" s="6">
        <f t="shared" si="225"/>
        <v>1447.7819668857001</v>
      </c>
      <c r="R368" s="6">
        <f t="shared" si="225"/>
        <v>1381.5983480270002</v>
      </c>
      <c r="S368" s="6">
        <f t="shared" si="225"/>
        <v>1315.8997684542001</v>
      </c>
      <c r="T368" s="6">
        <f t="shared" si="225"/>
        <v>1251.0126568519001</v>
      </c>
      <c r="U368" s="6">
        <f t="shared" si="225"/>
        <v>1187.2256985761001</v>
      </c>
      <c r="V368" s="6">
        <f t="shared" si="225"/>
        <v>1124.790004037</v>
      </c>
      <c r="W368" s="6">
        <f t="shared" si="225"/>
        <v>1063.8806411445</v>
      </c>
      <c r="X368" s="6">
        <f t="shared" si="225"/>
        <v>1004.7279221625</v>
      </c>
      <c r="Y368" s="6">
        <f t="shared" si="225"/>
        <v>947.47821034799995</v>
      </c>
      <c r="Z368" s="6">
        <f t="shared" si="225"/>
        <v>892.24645255569999</v>
      </c>
      <c r="AA368" s="6">
        <f t="shared" si="225"/>
        <v>839.11884338380003</v>
      </c>
      <c r="AB368" s="6">
        <f t="shared" si="225"/>
        <v>788.09888674300009</v>
      </c>
      <c r="AC368" s="6">
        <f t="shared" si="225"/>
        <v>739.27533449700002</v>
      </c>
      <c r="AD368" s="6">
        <f t="shared" si="225"/>
        <v>692.6750842934</v>
      </c>
      <c r="AE368" s="6">
        <f t="shared" si="225"/>
        <v>648.30447228320008</v>
      </c>
      <c r="AF368" s="6">
        <f t="shared" si="225"/>
        <v>606.15150933270002</v>
      </c>
      <c r="AG368" s="6">
        <f t="shared" si="225"/>
        <v>566.18861487389995</v>
      </c>
      <c r="AH368" s="6">
        <f t="shared" si="225"/>
        <v>528.37527043919999</v>
      </c>
      <c r="AI368" s="6">
        <f t="shared" si="225"/>
        <v>492.6604256695</v>
      </c>
      <c r="AJ368" s="6">
        <f t="shared" si="225"/>
        <v>458.98462163659997</v>
      </c>
      <c r="AK368" s="6">
        <f t="shared" si="225"/>
        <v>427.28183326890002</v>
      </c>
      <c r="AL368" s="6">
        <f t="shared" si="225"/>
        <v>397.48105230200002</v>
      </c>
      <c r="AM368" s="6">
        <f t="shared" ref="AM368:BC368" si="226">AM345+AM352+AM359</f>
        <v>369.50528571850003</v>
      </c>
      <c r="AN368" s="6">
        <f t="shared" si="226"/>
        <v>343.27860312029998</v>
      </c>
      <c r="AO368" s="6">
        <f t="shared" si="226"/>
        <v>318.72331809199994</v>
      </c>
      <c r="AP368" s="6">
        <f t="shared" si="226"/>
        <v>295.76079686100002</v>
      </c>
      <c r="AQ368" s="6">
        <f t="shared" si="226"/>
        <v>274.31217800640002</v>
      </c>
      <c r="AR368" s="6">
        <f t="shared" si="226"/>
        <v>254.29902442419998</v>
      </c>
      <c r="AS368" s="6">
        <f t="shared" si="226"/>
        <v>235.64389629710001</v>
      </c>
      <c r="AT368" s="6">
        <f t="shared" si="226"/>
        <v>218.27083848340001</v>
      </c>
      <c r="AU368" s="6">
        <f t="shared" si="226"/>
        <v>202.10578348309997</v>
      </c>
      <c r="AV368" s="6">
        <f t="shared" si="226"/>
        <v>187.0768763104</v>
      </c>
      <c r="AW368" s="6">
        <f t="shared" si="226"/>
        <v>173.11475763839999</v>
      </c>
      <c r="AX368" s="6">
        <f t="shared" si="226"/>
        <v>160.1526788745</v>
      </c>
      <c r="AY368" s="6">
        <f t="shared" si="226"/>
        <v>148.12669067249999</v>
      </c>
      <c r="AZ368" s="6">
        <f t="shared" si="226"/>
        <v>136.9757338046</v>
      </c>
      <c r="BA368" s="6">
        <f t="shared" si="226"/>
        <v>126.64168898289999</v>
      </c>
      <c r="BB368" s="6">
        <f t="shared" si="226"/>
        <v>116.02375436320001</v>
      </c>
      <c r="BC368" s="6">
        <f t="shared" si="226"/>
        <v>107.2268108997</v>
      </c>
      <c r="BD368" s="6">
        <f t="shared" ref="BD368:BF368" si="227">BD345+BD352+BD359</f>
        <v>99.086820019699999</v>
      </c>
      <c r="BE368" s="6">
        <f t="shared" si="227"/>
        <v>91.557308807399991</v>
      </c>
      <c r="BF368" s="6">
        <f t="shared" si="227"/>
        <v>84.594608375600004</v>
      </c>
    </row>
    <row r="370" spans="1:58" x14ac:dyDescent="0.35">
      <c r="A370" s="12" t="s">
        <v>91</v>
      </c>
      <c r="C370" s="2">
        <v>42005</v>
      </c>
      <c r="D370" s="2">
        <v>42370</v>
      </c>
      <c r="E370" s="2">
        <v>42736</v>
      </c>
      <c r="F370" s="2">
        <v>43101</v>
      </c>
      <c r="G370" s="2">
        <v>43466</v>
      </c>
      <c r="H370" s="2">
        <v>43831</v>
      </c>
      <c r="I370" s="2">
        <v>44197</v>
      </c>
      <c r="J370" s="2">
        <v>44562</v>
      </c>
      <c r="K370" s="2">
        <v>44927</v>
      </c>
      <c r="L370" s="2">
        <v>45292</v>
      </c>
      <c r="M370" s="2">
        <v>45658</v>
      </c>
      <c r="N370" s="2">
        <v>46023</v>
      </c>
      <c r="O370" s="2">
        <v>46388</v>
      </c>
      <c r="P370" s="2">
        <v>46753</v>
      </c>
      <c r="Q370" s="2">
        <v>47119</v>
      </c>
      <c r="R370" s="2">
        <v>47484</v>
      </c>
      <c r="S370" s="2">
        <v>47849</v>
      </c>
      <c r="T370" s="2">
        <v>48214</v>
      </c>
      <c r="U370" s="2">
        <v>48580</v>
      </c>
      <c r="V370" s="2">
        <v>48945</v>
      </c>
      <c r="W370" s="2">
        <v>49310</v>
      </c>
      <c r="X370" s="2">
        <v>49675</v>
      </c>
      <c r="Y370" s="2">
        <v>50041</v>
      </c>
      <c r="Z370" s="2">
        <v>50406</v>
      </c>
      <c r="AA370" s="2">
        <v>50771</v>
      </c>
      <c r="AB370" s="2">
        <v>51136</v>
      </c>
      <c r="AC370" s="2">
        <v>51502</v>
      </c>
      <c r="AD370" s="2">
        <v>51867</v>
      </c>
      <c r="AE370" s="2">
        <v>52232</v>
      </c>
      <c r="AF370" s="2">
        <v>52597</v>
      </c>
      <c r="AG370" s="2">
        <v>52963</v>
      </c>
      <c r="AH370" s="2">
        <v>53328</v>
      </c>
      <c r="AI370" s="2">
        <v>53693</v>
      </c>
      <c r="AJ370" s="2">
        <v>54058</v>
      </c>
      <c r="AK370" s="2">
        <v>54424</v>
      </c>
      <c r="AL370" s="2">
        <v>54789</v>
      </c>
      <c r="AM370" s="2">
        <v>54790</v>
      </c>
      <c r="AN370" s="2">
        <v>54791</v>
      </c>
      <c r="AO370" s="2">
        <v>54792</v>
      </c>
      <c r="AP370" s="2">
        <v>54793</v>
      </c>
      <c r="AQ370" s="2">
        <v>54794</v>
      </c>
      <c r="AR370" s="2">
        <v>54795</v>
      </c>
      <c r="AS370" s="2">
        <v>54796</v>
      </c>
      <c r="AT370" s="2">
        <v>54797</v>
      </c>
      <c r="AU370" s="2">
        <v>54798</v>
      </c>
      <c r="AV370" s="2">
        <v>54799</v>
      </c>
      <c r="AW370" s="2">
        <v>54800</v>
      </c>
      <c r="AX370" s="2">
        <v>54801</v>
      </c>
      <c r="AY370" s="2">
        <v>54802</v>
      </c>
      <c r="AZ370" s="2">
        <v>54803</v>
      </c>
      <c r="BA370" s="2">
        <v>54804</v>
      </c>
      <c r="BB370" s="2">
        <v>54805</v>
      </c>
      <c r="BC370" s="2">
        <v>54806</v>
      </c>
      <c r="BD370" s="2">
        <v>54807</v>
      </c>
      <c r="BE370" s="2">
        <v>54808</v>
      </c>
      <c r="BF370" s="2">
        <v>54809</v>
      </c>
    </row>
    <row r="371" spans="1:58" x14ac:dyDescent="0.35">
      <c r="A371" t="s">
        <v>39</v>
      </c>
      <c r="B371" t="s">
        <v>57</v>
      </c>
      <c r="C371" s="6">
        <f>[1]Results!F104</f>
        <v>3.476542051</v>
      </c>
      <c r="D371" s="6">
        <f>[1]Results!G104</f>
        <v>7.804662714</v>
      </c>
      <c r="E371" s="6">
        <f>[1]Results!H104</f>
        <v>12.659654700000001</v>
      </c>
      <c r="F371" s="6">
        <f>[1]Results!I104</f>
        <v>17.3900647</v>
      </c>
      <c r="G371" s="6">
        <f>[1]Results!J104</f>
        <v>21.76490313</v>
      </c>
      <c r="H371" s="6">
        <f>[1]Results!K104</f>
        <v>25.68179503</v>
      </c>
      <c r="I371" s="6">
        <f>[1]Results!L104</f>
        <v>29.04914321</v>
      </c>
      <c r="J371" s="6">
        <f>[1]Results!M104</f>
        <v>31.835349069999999</v>
      </c>
      <c r="K371" s="6">
        <f>[1]Results!N104</f>
        <v>33.989357200000001</v>
      </c>
      <c r="L371" s="6">
        <f>[1]Results!O104</f>
        <v>35.47570382</v>
      </c>
      <c r="M371" s="6">
        <f>[1]Results!P104</f>
        <v>39.283683920000001</v>
      </c>
      <c r="N371" s="6">
        <f>[1]Results!Q104</f>
        <v>43.578707080000001</v>
      </c>
      <c r="O371" s="6">
        <f>[1]Results!R104</f>
        <v>47.899524999999997</v>
      </c>
      <c r="P371" s="6">
        <f>[1]Results!S104</f>
        <v>52.1471357</v>
      </c>
      <c r="Q371" s="6">
        <f>[1]Results!T104</f>
        <v>56.322809300000003</v>
      </c>
      <c r="R371" s="6">
        <f>[1]Results!U104</f>
        <v>60.442489049999999</v>
      </c>
      <c r="S371" s="6">
        <f>[1]Results!V104</f>
        <v>64.518300229999994</v>
      </c>
      <c r="T371" s="6">
        <f>[1]Results!W104</f>
        <v>68.557277859999999</v>
      </c>
      <c r="U371" s="6">
        <f>[1]Results!X104</f>
        <v>72.561224699999997</v>
      </c>
      <c r="V371" s="6">
        <f>[1]Results!Y104</f>
        <v>76.530137640000007</v>
      </c>
      <c r="W371" s="6">
        <f>[1]Results!Z104</f>
        <v>80.436748390000005</v>
      </c>
      <c r="X371" s="6">
        <f>[1]Results!AA104</f>
        <v>84.332489690000003</v>
      </c>
      <c r="Y371" s="6">
        <f>[1]Results!AB104</f>
        <v>88.190640990000006</v>
      </c>
      <c r="Z371" s="6">
        <f>[1]Results!AC104</f>
        <v>92.012152520000001</v>
      </c>
      <c r="AA371" s="6">
        <f>[1]Results!AD104</f>
        <v>95.799044069999994</v>
      </c>
      <c r="AB371" s="6">
        <f>[1]Results!AE104</f>
        <v>99.480168219999996</v>
      </c>
      <c r="AC371" s="6">
        <f>[1]Results!AF104</f>
        <v>103.163526</v>
      </c>
      <c r="AD371" s="6">
        <f>[1]Results!AG104</f>
        <v>106.8084923</v>
      </c>
      <c r="AE371" s="6">
        <f>[1]Results!AH104</f>
        <v>110.4158345</v>
      </c>
      <c r="AF371" s="6">
        <f>[1]Results!AI104</f>
        <v>113.9877796</v>
      </c>
      <c r="AG371" s="6">
        <f>[1]Results!AJ104</f>
        <v>117.5273038</v>
      </c>
      <c r="AH371" s="6">
        <f>[1]Results!AK104</f>
        <v>121.0375128</v>
      </c>
      <c r="AI371" s="6">
        <f>[1]Results!AL104</f>
        <v>124.52127539999999</v>
      </c>
      <c r="AJ371" s="6">
        <f>[1]Results!AM104</f>
        <v>127.98230650000001</v>
      </c>
      <c r="AK371" s="6">
        <f>[1]Results!AN104</f>
        <v>131.42370399999999</v>
      </c>
      <c r="AL371" s="6">
        <f>[1]Results!AO104</f>
        <v>134.84754409999999</v>
      </c>
      <c r="AM371" s="6">
        <f>[1]Results!AP104</f>
        <v>138.2371575</v>
      </c>
      <c r="AN371" s="6">
        <f>[1]Results!AQ104</f>
        <v>141.60319290000001</v>
      </c>
      <c r="AO371" s="6">
        <f>[1]Results!AR104</f>
        <v>144.9484415</v>
      </c>
      <c r="AP371" s="6">
        <f>[1]Results!AS104</f>
        <v>148.274089</v>
      </c>
      <c r="AQ371" s="6">
        <f>[1]Results!AT104</f>
        <v>151.578486</v>
      </c>
      <c r="AR371" s="6">
        <f>[1]Results!AU104</f>
        <v>154.85782789999999</v>
      </c>
      <c r="AS371" s="6">
        <f>[1]Results!AV104</f>
        <v>158.1070469</v>
      </c>
      <c r="AT371" s="6">
        <f>[1]Results!AW104</f>
        <v>161.3219489</v>
      </c>
      <c r="AU371" s="6">
        <f>[1]Results!AX104</f>
        <v>164.49778209999999</v>
      </c>
      <c r="AV371" s="6">
        <f>[1]Results!AY104</f>
        <v>167.62860910000001</v>
      </c>
      <c r="AW371" s="6">
        <f>[1]Results!AZ104</f>
        <v>170.70649760000001</v>
      </c>
      <c r="AX371" s="6">
        <f>[1]Results!BA104</f>
        <v>173.71608209999999</v>
      </c>
      <c r="AY371" s="6">
        <f>[1]Results!BB104</f>
        <v>176.64939050000001</v>
      </c>
      <c r="AZ371" s="6">
        <f>[1]Results!BC104</f>
        <v>179.49414920000001</v>
      </c>
      <c r="BA371" s="6">
        <f>[1]Results!BD104</f>
        <v>182.22657140000001</v>
      </c>
      <c r="BB371" s="6">
        <f>[1]Results!BE104</f>
        <v>22.97561808</v>
      </c>
      <c r="BC371" s="6">
        <f>[1]Results!BF104</f>
        <v>23.049233709999999</v>
      </c>
      <c r="BD371" s="6">
        <f>[1]Results!BG104</f>
        <v>23.122476450000001</v>
      </c>
      <c r="BE371" s="6">
        <f>[1]Results!BH104</f>
        <v>23.195350779999998</v>
      </c>
      <c r="BF371" s="6">
        <f>[1]Results!BI104</f>
        <v>23.267860880000001</v>
      </c>
    </row>
    <row r="372" spans="1:58" x14ac:dyDescent="0.35">
      <c r="B372" t="s">
        <v>58</v>
      </c>
      <c r="C372" s="6">
        <f>[1]Results!F105</f>
        <v>68.80476281</v>
      </c>
      <c r="D372" s="6">
        <f>[1]Results!G105</f>
        <v>75.269502130000006</v>
      </c>
      <c r="E372" s="6">
        <f>[1]Results!H105</f>
        <v>81.192118780000001</v>
      </c>
      <c r="F372" s="6">
        <f>[1]Results!I105</f>
        <v>86.595228149999997</v>
      </c>
      <c r="G372" s="6">
        <f>[1]Results!J105</f>
        <v>91.841971099999995</v>
      </c>
      <c r="H372" s="6">
        <f>[1]Results!K105</f>
        <v>97.158665319999997</v>
      </c>
      <c r="I372" s="6">
        <f>[1]Results!L105</f>
        <v>102.0997064</v>
      </c>
      <c r="J372" s="6">
        <f>[1]Results!M105</f>
        <v>107.4797593</v>
      </c>
      <c r="K372" s="6">
        <f>[1]Results!N105</f>
        <v>113.6395936</v>
      </c>
      <c r="L372" s="6">
        <f>[1]Results!O105</f>
        <v>121.3437119</v>
      </c>
      <c r="M372" s="6">
        <f>[1]Results!P105</f>
        <v>130.99978060000001</v>
      </c>
      <c r="N372" s="6">
        <f>[1]Results!Q105</f>
        <v>140.83625230000001</v>
      </c>
      <c r="O372" s="6">
        <f>[1]Results!R105</f>
        <v>151.65967380000001</v>
      </c>
      <c r="P372" s="6">
        <f>[1]Results!S105</f>
        <v>163.1030456</v>
      </c>
      <c r="Q372" s="6">
        <f>[1]Results!T105</f>
        <v>174.84807710000001</v>
      </c>
      <c r="R372" s="6">
        <f>[1]Results!U105</f>
        <v>186.67251099999999</v>
      </c>
      <c r="S372" s="6">
        <f>[1]Results!V105</f>
        <v>198.4377757</v>
      </c>
      <c r="T372" s="6">
        <f>[1]Results!W105</f>
        <v>210.0624569</v>
      </c>
      <c r="U372" s="6">
        <f>[1]Results!X105</f>
        <v>221.50832990000001</v>
      </c>
      <c r="V372" s="6">
        <f>[1]Results!Y105</f>
        <v>232.75943040000001</v>
      </c>
      <c r="W372" s="6">
        <f>[1]Results!Z105</f>
        <v>243.1247075</v>
      </c>
      <c r="X372" s="6">
        <f>[1]Results!AA105</f>
        <v>253.97853280000001</v>
      </c>
      <c r="Y372" s="6">
        <f>[1]Results!AB105</f>
        <v>264.6395167</v>
      </c>
      <c r="Z372" s="6">
        <f>[1]Results!AC105</f>
        <v>275.1109874</v>
      </c>
      <c r="AA372" s="6">
        <f>[1]Results!AD105</f>
        <v>285.39613939999998</v>
      </c>
      <c r="AB372" s="6">
        <f>[1]Results!AE105</f>
        <v>293.62478329999999</v>
      </c>
      <c r="AC372" s="6">
        <f>[1]Results!AF105</f>
        <v>302.6707806</v>
      </c>
      <c r="AD372" s="6">
        <f>[1]Results!AG105</f>
        <v>311.5503458</v>
      </c>
      <c r="AE372" s="6">
        <f>[1]Results!AH105</f>
        <v>320.2690083</v>
      </c>
      <c r="AF372" s="6">
        <f>[1]Results!AI105</f>
        <v>328.83055530000001</v>
      </c>
      <c r="AG372" s="6">
        <f>[1]Results!AJ105</f>
        <v>337.2380124</v>
      </c>
      <c r="AH372" s="6">
        <f>[1]Results!AK105</f>
        <v>345.49439000000001</v>
      </c>
      <c r="AI372" s="6">
        <f>[1]Results!AL105</f>
        <v>353.60309710000001</v>
      </c>
      <c r="AJ372" s="6">
        <f>[1]Results!AM105</f>
        <v>361.56649160000001</v>
      </c>
      <c r="AK372" s="6">
        <f>[1]Results!AN105</f>
        <v>369.38683170000002</v>
      </c>
      <c r="AL372" s="6">
        <f>[1]Results!AO105</f>
        <v>377.06661810000003</v>
      </c>
      <c r="AM372" s="6">
        <f>[1]Results!AP105</f>
        <v>384.2114148</v>
      </c>
      <c r="AN372" s="6">
        <f>[1]Results!AQ105</f>
        <v>391.23101639999999</v>
      </c>
      <c r="AO372" s="6">
        <f>[1]Results!AR105</f>
        <v>398.12853389999998</v>
      </c>
      <c r="AP372" s="6">
        <f>[1]Results!AS105</f>
        <v>404.90637459999999</v>
      </c>
      <c r="AQ372" s="6">
        <f>[1]Results!AT105</f>
        <v>411.56778489999999</v>
      </c>
      <c r="AR372" s="6">
        <f>[1]Results!AU105</f>
        <v>418.11705649999999</v>
      </c>
      <c r="AS372" s="6">
        <f>[1]Results!AV105</f>
        <v>424.55927860000003</v>
      </c>
      <c r="AT372" s="6">
        <f>[1]Results!AW105</f>
        <v>430.89826290000002</v>
      </c>
      <c r="AU372" s="6">
        <f>[1]Results!AX105</f>
        <v>437.13750700000003</v>
      </c>
      <c r="AV372" s="6">
        <f>[1]Results!AY105</f>
        <v>443.28047170000002</v>
      </c>
      <c r="AW372" s="6">
        <f>[1]Results!AZ105</f>
        <v>449.36408669999997</v>
      </c>
      <c r="AX372" s="6">
        <f>[1]Results!BA105</f>
        <v>455.36277860000001</v>
      </c>
      <c r="AY372" s="6">
        <f>[1]Results!BB105</f>
        <v>461.27924159999998</v>
      </c>
      <c r="AZ372" s="6">
        <f>[1]Results!BC105</f>
        <v>467.11610810000002</v>
      </c>
      <c r="BA372" s="6">
        <f>[1]Results!BD105</f>
        <v>472.87734669999998</v>
      </c>
      <c r="BB372" s="6">
        <f>[1]Results!BE105</f>
        <v>476.70896579999999</v>
      </c>
      <c r="BC372" s="6">
        <f>[1]Results!BF105</f>
        <v>481.95657119999998</v>
      </c>
      <c r="BD372" s="6">
        <f>[1]Results!BG105</f>
        <v>487.1573343</v>
      </c>
      <c r="BE372" s="6">
        <f>[1]Results!BH105</f>
        <v>492.3115464</v>
      </c>
      <c r="BF372" s="6">
        <f>[1]Results!BI105</f>
        <v>497.41941509999998</v>
      </c>
    </row>
    <row r="373" spans="1:58" x14ac:dyDescent="0.35">
      <c r="B373" t="s">
        <v>59</v>
      </c>
      <c r="C373" s="6">
        <f>[1]Results!F106</f>
        <v>408.28039699999999</v>
      </c>
      <c r="D373" s="6">
        <f>[1]Results!G106</f>
        <v>422.28654710000001</v>
      </c>
      <c r="E373" s="6">
        <f>[1]Results!H106</f>
        <v>435.97834519999998</v>
      </c>
      <c r="F373" s="6">
        <f>[1]Results!I106</f>
        <v>448.70085119999999</v>
      </c>
      <c r="G373" s="6">
        <f>[1]Results!J106</f>
        <v>461.11173330000003</v>
      </c>
      <c r="H373" s="6">
        <f>[1]Results!K106</f>
        <v>473.62644219999999</v>
      </c>
      <c r="I373" s="6">
        <f>[1]Results!L106</f>
        <v>484.81746190000001</v>
      </c>
      <c r="J373" s="6">
        <f>[1]Results!M106</f>
        <v>496.75685149999998</v>
      </c>
      <c r="K373" s="6">
        <f>[1]Results!N106</f>
        <v>509.9258428</v>
      </c>
      <c r="L373" s="6">
        <f>[1]Results!O106</f>
        <v>525.23477960000002</v>
      </c>
      <c r="M373" s="6">
        <f>[1]Results!P106</f>
        <v>542.76865310000005</v>
      </c>
      <c r="N373" s="6">
        <f>[1]Results!Q106</f>
        <v>557.94503210000005</v>
      </c>
      <c r="O373" s="6">
        <f>[1]Results!R106</f>
        <v>573.84318350000001</v>
      </c>
      <c r="P373" s="6">
        <f>[1]Results!S106</f>
        <v>590.26429210000003</v>
      </c>
      <c r="Q373" s="6">
        <f>[1]Results!T106</f>
        <v>606.96234389999995</v>
      </c>
      <c r="R373" s="6">
        <f>[1]Results!U106</f>
        <v>623.7461826</v>
      </c>
      <c r="S373" s="6">
        <f>[1]Results!V106</f>
        <v>640.48985419999997</v>
      </c>
      <c r="T373" s="6">
        <f>[1]Results!W106</f>
        <v>657.11633519999998</v>
      </c>
      <c r="U373" s="6">
        <f>[1]Results!X106</f>
        <v>673.58708750000005</v>
      </c>
      <c r="V373" s="6">
        <f>[1]Results!Y106</f>
        <v>689.88425619999998</v>
      </c>
      <c r="W373" s="6">
        <f>[1]Results!Z106</f>
        <v>704.0724702</v>
      </c>
      <c r="X373" s="6">
        <f>[1]Results!AA106</f>
        <v>720.00376140000003</v>
      </c>
      <c r="Y373" s="6">
        <f>[1]Results!AB106</f>
        <v>735.75696419999997</v>
      </c>
      <c r="Z373" s="6">
        <f>[1]Results!AC106</f>
        <v>751.3339446</v>
      </c>
      <c r="AA373" s="6">
        <f>[1]Results!AD106</f>
        <v>766.73669510000002</v>
      </c>
      <c r="AB373" s="6">
        <f>[1]Results!AE106</f>
        <v>776.70339690000003</v>
      </c>
      <c r="AC373" s="6">
        <f>[1]Results!AF106</f>
        <v>789.28375340000002</v>
      </c>
      <c r="AD373" s="6">
        <f>[1]Results!AG106</f>
        <v>801.69693519999998</v>
      </c>
      <c r="AE373" s="6">
        <f>[1]Results!AH106</f>
        <v>813.94729180000002</v>
      </c>
      <c r="AF373" s="6">
        <f>[1]Results!AI106</f>
        <v>826.03762410000002</v>
      </c>
      <c r="AG373" s="6">
        <f>[1]Results!AJ106</f>
        <v>837.97015490000001</v>
      </c>
      <c r="AH373" s="6">
        <f>[1]Results!AK106</f>
        <v>849.74727559999997</v>
      </c>
      <c r="AI373" s="6">
        <f>[1]Results!AL106</f>
        <v>861.37195910000003</v>
      </c>
      <c r="AJ373" s="6">
        <f>[1]Results!AM106</f>
        <v>872.84629580000001</v>
      </c>
      <c r="AK373" s="6">
        <f>[1]Results!AN106</f>
        <v>884.17249860000004</v>
      </c>
      <c r="AL373" s="6">
        <f>[1]Results!AO106</f>
        <v>895.35322310000004</v>
      </c>
      <c r="AM373" s="6">
        <f>[1]Results!AP106</f>
        <v>905.27066820000005</v>
      </c>
      <c r="AN373" s="6">
        <f>[1]Results!AQ106</f>
        <v>915.05577400000004</v>
      </c>
      <c r="AO373" s="6">
        <f>[1]Results!AR106</f>
        <v>924.71182639999995</v>
      </c>
      <c r="AP373" s="6">
        <f>[1]Results!AS106</f>
        <v>934.24156189999997</v>
      </c>
      <c r="AQ373" s="6">
        <f>[1]Results!AT106</f>
        <v>943.64866910000001</v>
      </c>
      <c r="AR373" s="6">
        <f>[1]Results!AU106</f>
        <v>952.93793570000003</v>
      </c>
      <c r="AS373" s="6">
        <f>[1]Results!AV106</f>
        <v>962.11501580000004</v>
      </c>
      <c r="AT373" s="6">
        <f>[1]Results!AW106</f>
        <v>971.1843781</v>
      </c>
      <c r="AU373" s="6">
        <f>[1]Results!AX106</f>
        <v>980.15035269999998</v>
      </c>
      <c r="AV373" s="6">
        <f>[1]Results!AY106</f>
        <v>989.01749299999994</v>
      </c>
      <c r="AW373" s="6">
        <f>[1]Results!AZ106</f>
        <v>997.88266950000002</v>
      </c>
      <c r="AX373" s="6">
        <f>[1]Results!BA106</f>
        <v>1006.66473</v>
      </c>
      <c r="AY373" s="6">
        <f>[1]Results!BB106</f>
        <v>1015.368559</v>
      </c>
      <c r="AZ373" s="6">
        <f>[1]Results!BC106</f>
        <v>1023.999783</v>
      </c>
      <c r="BA373" s="6">
        <f>[1]Results!BD106</f>
        <v>1032.5674200000001</v>
      </c>
      <c r="BB373" s="6">
        <f>[1]Results!BE106</f>
        <v>1081.1689630000001</v>
      </c>
      <c r="BC373" s="6">
        <f>[1]Results!BF106</f>
        <v>1090.184426</v>
      </c>
      <c r="BD373" s="6">
        <f>[1]Results!BG106</f>
        <v>1099.142771</v>
      </c>
      <c r="BE373" s="6">
        <f>[1]Results!BH106</f>
        <v>1108.044478</v>
      </c>
      <c r="BF373" s="6">
        <f>[1]Results!BI106</f>
        <v>1116.890073</v>
      </c>
    </row>
    <row r="374" spans="1:58" x14ac:dyDescent="0.35">
      <c r="B374" t="s">
        <v>60</v>
      </c>
      <c r="C374" s="6">
        <f>[1]Results!F107</f>
        <v>954.38155940000001</v>
      </c>
      <c r="D374" s="6">
        <f>[1]Results!G107</f>
        <v>950.89689390000001</v>
      </c>
      <c r="E374" s="6">
        <f>[1]Results!H107</f>
        <v>949.09445900000003</v>
      </c>
      <c r="F374" s="6">
        <f>[1]Results!I107</f>
        <v>947.79104689999997</v>
      </c>
      <c r="G374" s="6">
        <f>[1]Results!J107</f>
        <v>946.44086440000001</v>
      </c>
      <c r="H374" s="6">
        <f>[1]Results!K107</f>
        <v>944.81661440000005</v>
      </c>
      <c r="I374" s="6">
        <f>[1]Results!L107</f>
        <v>942.80116659999999</v>
      </c>
      <c r="J374" s="6">
        <f>[1]Results!M107</f>
        <v>940.24188749999996</v>
      </c>
      <c r="K374" s="6">
        <f>[1]Results!N107</f>
        <v>936.69181619999995</v>
      </c>
      <c r="L374" s="6">
        <f>[1]Results!O107</f>
        <v>930.83922059999998</v>
      </c>
      <c r="M374" s="6">
        <f>[1]Results!P107</f>
        <v>920.85448469999994</v>
      </c>
      <c r="N374" s="6">
        <f>[1]Results!Q107</f>
        <v>907.57954700000005</v>
      </c>
      <c r="O374" s="6">
        <f>[1]Results!R107</f>
        <v>892.0126788</v>
      </c>
      <c r="P374" s="6">
        <f>[1]Results!S107</f>
        <v>875.07021569999995</v>
      </c>
      <c r="Q374" s="6">
        <f>[1]Results!T107</f>
        <v>857.45146380000006</v>
      </c>
      <c r="R374" s="6">
        <f>[1]Results!U107</f>
        <v>839.62687289999997</v>
      </c>
      <c r="S374" s="6">
        <f>[1]Results!V107</f>
        <v>821.88783839999996</v>
      </c>
      <c r="T374" s="6">
        <f>[1]Results!W107</f>
        <v>804.40656620000004</v>
      </c>
      <c r="U374" s="6">
        <f>[1]Results!X107</f>
        <v>787.26974619999999</v>
      </c>
      <c r="V374" s="6">
        <f>[1]Results!Y107</f>
        <v>770.51780340000005</v>
      </c>
      <c r="W374" s="6">
        <f>[1]Results!Z107</f>
        <v>754.1655988</v>
      </c>
      <c r="X374" s="6">
        <f>[1]Results!AA107</f>
        <v>738.21399659999997</v>
      </c>
      <c r="Y374" s="6">
        <f>[1]Results!AB107</f>
        <v>722.65954829999998</v>
      </c>
      <c r="Z374" s="6">
        <f>[1]Results!AC107</f>
        <v>707.49658120000004</v>
      </c>
      <c r="AA374" s="6">
        <f>[1]Results!AD107</f>
        <v>692.7179701</v>
      </c>
      <c r="AB374" s="6">
        <f>[1]Results!AE107</f>
        <v>678.3133636</v>
      </c>
      <c r="AC374" s="6">
        <f>[1]Results!AF107</f>
        <v>664.26731540000003</v>
      </c>
      <c r="AD374" s="6">
        <f>[1]Results!AG107</f>
        <v>650.56519170000001</v>
      </c>
      <c r="AE374" s="6">
        <f>[1]Results!AH107</f>
        <v>637.19645619999994</v>
      </c>
      <c r="AF374" s="6">
        <f>[1]Results!AI107</f>
        <v>624.15221889999998</v>
      </c>
      <c r="AG374" s="6">
        <f>[1]Results!AJ107</f>
        <v>611.42410870000003</v>
      </c>
      <c r="AH374" s="6">
        <f>[1]Results!AK107</f>
        <v>599.00349229999995</v>
      </c>
      <c r="AI374" s="6">
        <f>[1]Results!AL107</f>
        <v>586.88106979999998</v>
      </c>
      <c r="AJ374" s="6">
        <f>[1]Results!AM107</f>
        <v>575.0485549</v>
      </c>
      <c r="AK374" s="6">
        <f>[1]Results!AN107</f>
        <v>563.49832839999999</v>
      </c>
      <c r="AL374" s="6">
        <f>[1]Results!AO107</f>
        <v>552.22324089999995</v>
      </c>
      <c r="AM374" s="6">
        <f>[1]Results!AP107</f>
        <v>541.21316769999999</v>
      </c>
      <c r="AN374" s="6">
        <f>[1]Results!AQ107</f>
        <v>530.45192080000004</v>
      </c>
      <c r="AO374" s="6">
        <f>[1]Results!AR107</f>
        <v>519.9305683</v>
      </c>
      <c r="AP374" s="6">
        <f>[1]Results!AS107</f>
        <v>509.64305789999997</v>
      </c>
      <c r="AQ374" s="6">
        <f>[1]Results!AT107</f>
        <v>499.58466279999999</v>
      </c>
      <c r="AR374" s="6">
        <f>[1]Results!AU107</f>
        <v>489.75095249999998</v>
      </c>
      <c r="AS374" s="6">
        <f>[1]Results!AV107</f>
        <v>480.13728379999998</v>
      </c>
      <c r="AT374" s="6">
        <f>[1]Results!AW107</f>
        <v>470.7404803</v>
      </c>
      <c r="AU374" s="6">
        <f>[1]Results!AX107</f>
        <v>461.55836590000001</v>
      </c>
      <c r="AV374" s="6">
        <f>[1]Results!AY107</f>
        <v>452.58980439999999</v>
      </c>
      <c r="AW374" s="6">
        <f>[1]Results!AZ107</f>
        <v>443.83419739999999</v>
      </c>
      <c r="AX374" s="6">
        <f>[1]Results!BA107</f>
        <v>435.29149469999999</v>
      </c>
      <c r="AY374" s="6">
        <f>[1]Results!BB107</f>
        <v>426.96315750000002</v>
      </c>
      <c r="AZ374" s="6">
        <f>[1]Results!BC107</f>
        <v>418.85446580000001</v>
      </c>
      <c r="BA374" s="6">
        <f>[1]Results!BD107</f>
        <v>410.9782821</v>
      </c>
      <c r="BB374" s="6">
        <f>[1]Results!BE107</f>
        <v>524.96822689999999</v>
      </c>
      <c r="BC374" s="6">
        <f>[1]Results!BF107</f>
        <v>519.65419159999999</v>
      </c>
      <c r="BD374" s="6">
        <f>[1]Results!BG107</f>
        <v>514.41976720000002</v>
      </c>
      <c r="BE374" s="6">
        <f>[1]Results!BH107</f>
        <v>509.26440919999999</v>
      </c>
      <c r="BF374" s="6">
        <f>[1]Results!BI107</f>
        <v>504.18760109999999</v>
      </c>
    </row>
    <row r="375" spans="1:58" x14ac:dyDescent="0.35">
      <c r="B375" t="s">
        <v>61</v>
      </c>
      <c r="C375" s="6">
        <f>[1]Results!F108</f>
        <v>878.79999729999997</v>
      </c>
      <c r="D375" s="6">
        <f>[1]Results!G108</f>
        <v>867.86627410000006</v>
      </c>
      <c r="E375" s="6">
        <f>[1]Results!H108</f>
        <v>858.10000679999996</v>
      </c>
      <c r="F375" s="6">
        <f>[1]Results!I108</f>
        <v>849.45869049999999</v>
      </c>
      <c r="G375" s="6">
        <f>[1]Results!J108</f>
        <v>841.67789760000005</v>
      </c>
      <c r="H375" s="6">
        <f>[1]Results!K108</f>
        <v>834.43813250000005</v>
      </c>
      <c r="I375" s="6">
        <f>[1]Results!L108</f>
        <v>827.42169650000005</v>
      </c>
      <c r="J375" s="6">
        <f>[1]Results!M108</f>
        <v>820.31634159999999</v>
      </c>
      <c r="K375" s="6">
        <f>[1]Results!N108</f>
        <v>812.80636500000003</v>
      </c>
      <c r="L375" s="6">
        <f>[1]Results!O108</f>
        <v>804.57160390000001</v>
      </c>
      <c r="M375" s="6">
        <f>[1]Results!P108</f>
        <v>797.95807139999999</v>
      </c>
      <c r="N375" s="6">
        <f>[1]Results!Q108</f>
        <v>792.34580649999998</v>
      </c>
      <c r="O375" s="6">
        <f>[1]Results!R108</f>
        <v>787.29336579999995</v>
      </c>
      <c r="P375" s="6">
        <f>[1]Results!S108</f>
        <v>782.55141509999999</v>
      </c>
      <c r="Q375" s="6">
        <f>[1]Results!T108</f>
        <v>777.9854583</v>
      </c>
      <c r="R375" s="6">
        <f>[1]Results!U108</f>
        <v>773.52398770000002</v>
      </c>
      <c r="S375" s="6">
        <f>[1]Results!V108</f>
        <v>769.12913390000006</v>
      </c>
      <c r="T375" s="6">
        <f>[1]Results!W108</f>
        <v>764.78084609999996</v>
      </c>
      <c r="U375" s="6">
        <f>[1]Results!X108</f>
        <v>760.4681349</v>
      </c>
      <c r="V375" s="6">
        <f>[1]Results!Y108</f>
        <v>756.18492939999999</v>
      </c>
      <c r="W375" s="6">
        <f>[1]Results!Z108</f>
        <v>751.92778810000004</v>
      </c>
      <c r="X375" s="6">
        <f>[1]Results!AA108</f>
        <v>747.69440159999999</v>
      </c>
      <c r="Y375" s="6">
        <f>[1]Results!AB108</f>
        <v>743.48390429999995</v>
      </c>
      <c r="Z375" s="6">
        <f>[1]Results!AC108</f>
        <v>739.29576440000005</v>
      </c>
      <c r="AA375" s="6">
        <f>[1]Results!AD108</f>
        <v>735.12981909999996</v>
      </c>
      <c r="AB375" s="6">
        <f>[1]Results!AE108</f>
        <v>730.98593029999995</v>
      </c>
      <c r="AC375" s="6">
        <f>[1]Results!AF108</f>
        <v>726.86294329999998</v>
      </c>
      <c r="AD375" s="6">
        <f>[1]Results!AG108</f>
        <v>722.76076999999998</v>
      </c>
      <c r="AE375" s="6">
        <f>[1]Results!AH108</f>
        <v>718.67924979999998</v>
      </c>
      <c r="AF375" s="6">
        <f>[1]Results!AI108</f>
        <v>714.61842200000001</v>
      </c>
      <c r="AG375" s="6">
        <f>[1]Results!AJ108</f>
        <v>710.57845410000004</v>
      </c>
      <c r="AH375" s="6">
        <f>[1]Results!AK108</f>
        <v>706.55957109999997</v>
      </c>
      <c r="AI375" s="6">
        <f>[1]Results!AL108</f>
        <v>702.56200449999994</v>
      </c>
      <c r="AJ375" s="6">
        <f>[1]Results!AM108</f>
        <v>698.58607029999996</v>
      </c>
      <c r="AK375" s="6">
        <f>[1]Results!AN108</f>
        <v>694.63206739999998</v>
      </c>
      <c r="AL375" s="6">
        <f>[1]Results!AO108</f>
        <v>690.70022110000002</v>
      </c>
      <c r="AM375" s="6">
        <f>[1]Results!AP108</f>
        <v>686.79044380000005</v>
      </c>
      <c r="AN375" s="6">
        <f>[1]Results!AQ108</f>
        <v>682.90209230000005</v>
      </c>
      <c r="AO375" s="6">
        <f>[1]Results!AR108</f>
        <v>679.03522359999999</v>
      </c>
      <c r="AP375" s="6">
        <f>[1]Results!AS108</f>
        <v>675.18985810000004</v>
      </c>
      <c r="AQ375" s="6">
        <f>[1]Results!AT108</f>
        <v>671.36579840000002</v>
      </c>
      <c r="AR375" s="6">
        <f>[1]Results!AU108</f>
        <v>667.56262649999996</v>
      </c>
      <c r="AS375" s="6">
        <f>[1]Results!AV108</f>
        <v>663.77977399999997</v>
      </c>
      <c r="AT375" s="6">
        <f>[1]Results!AW108</f>
        <v>660.01672350000001</v>
      </c>
      <c r="AU375" s="6">
        <f>[1]Results!AX108</f>
        <v>656.27294110000003</v>
      </c>
      <c r="AV375" s="6">
        <f>[1]Results!AY108</f>
        <v>652.54783480000003</v>
      </c>
      <c r="AW375" s="6">
        <f>[1]Results!AZ108</f>
        <v>648.84061359999998</v>
      </c>
      <c r="AX375" s="6">
        <f>[1]Results!BA108</f>
        <v>645.15017179999995</v>
      </c>
      <c r="AY375" s="6">
        <f>[1]Results!BB108</f>
        <v>641.47568209999997</v>
      </c>
      <c r="AZ375" s="6">
        <f>[1]Results!BC108</f>
        <v>637.81609739999999</v>
      </c>
      <c r="BA375" s="6">
        <f>[1]Results!BD108</f>
        <v>634.16959359999998</v>
      </c>
      <c r="BB375" s="6">
        <f>[1]Results!BE108</f>
        <v>630.2942673</v>
      </c>
      <c r="BC375" s="6">
        <f>[1]Results!BF108</f>
        <v>626.75182099999995</v>
      </c>
      <c r="BD375" s="6">
        <f>[1]Results!BG108</f>
        <v>623.22951149999994</v>
      </c>
      <c r="BE375" s="6">
        <f>[1]Results!BH108</f>
        <v>619.72726850000004</v>
      </c>
      <c r="BF375" s="6">
        <f>[1]Results!BI108</f>
        <v>616.24502619999998</v>
      </c>
    </row>
    <row r="376" spans="1:58" x14ac:dyDescent="0.35">
      <c r="B376" t="s">
        <v>62</v>
      </c>
      <c r="C376" s="6">
        <f>[1]Results!F109</f>
        <v>139.85209269999999</v>
      </c>
      <c r="D376" s="6">
        <f>[1]Results!G109</f>
        <v>137.88315130000001</v>
      </c>
      <c r="E376" s="6">
        <f>[1]Results!H109</f>
        <v>135.91446930000001</v>
      </c>
      <c r="F376" s="6">
        <f>[1]Results!I109</f>
        <v>133.97567699999999</v>
      </c>
      <c r="G376" s="6">
        <f>[1]Results!J109</f>
        <v>132.08642950000001</v>
      </c>
      <c r="H376" s="6">
        <f>[1]Results!K109</f>
        <v>130.2542014</v>
      </c>
      <c r="I376" s="6">
        <f>[1]Results!L109</f>
        <v>128.47742270000001</v>
      </c>
      <c r="J376" s="6">
        <f>[1]Results!M109</f>
        <v>126.7498222</v>
      </c>
      <c r="K376" s="6">
        <f>[1]Results!N109</f>
        <v>125.06395790000001</v>
      </c>
      <c r="L376" s="6">
        <f>[1]Results!O109</f>
        <v>123.4130985</v>
      </c>
      <c r="M376" s="6">
        <f>[1]Results!P109</f>
        <v>121.79177350000001</v>
      </c>
      <c r="N376" s="6">
        <f>[1]Results!Q109</f>
        <v>120.1962577</v>
      </c>
      <c r="O376" s="6">
        <f>[1]Results!R109</f>
        <v>118.62421329999999</v>
      </c>
      <c r="P376" s="6">
        <f>[1]Results!S109</f>
        <v>117.07381599999999</v>
      </c>
      <c r="Q376" s="6">
        <f>[1]Results!T109</f>
        <v>115.5436163</v>
      </c>
      <c r="R376" s="6">
        <f>[1]Results!U109</f>
        <v>114.0324413</v>
      </c>
      <c r="S376" s="6">
        <f>[1]Results!V109</f>
        <v>112.53943630000001</v>
      </c>
      <c r="T376" s="6">
        <f>[1]Results!W109</f>
        <v>111.06409119999999</v>
      </c>
      <c r="U376" s="6">
        <f>[1]Results!X109</f>
        <v>109.6059041</v>
      </c>
      <c r="V376" s="6">
        <f>[1]Results!Y109</f>
        <v>108.1645671</v>
      </c>
      <c r="W376" s="6">
        <f>[1]Results!Z109</f>
        <v>106.7399484</v>
      </c>
      <c r="X376" s="6">
        <f>[1]Results!AA109</f>
        <v>105.33206</v>
      </c>
      <c r="Y376" s="6">
        <f>[1]Results!AB109</f>
        <v>103.9410633</v>
      </c>
      <c r="Z376" s="6">
        <f>[1]Results!AC109</f>
        <v>102.5672026</v>
      </c>
      <c r="AA376" s="6">
        <f>[1]Results!AD109</f>
        <v>101.2107395</v>
      </c>
      <c r="AB376" s="6">
        <f>[1]Results!AE109</f>
        <v>99.871847009999996</v>
      </c>
      <c r="AC376" s="6">
        <f>[1]Results!AF109</f>
        <v>98.550572869999996</v>
      </c>
      <c r="AD376" s="6">
        <f>[1]Results!AG109</f>
        <v>97.24695011</v>
      </c>
      <c r="AE376" s="6">
        <f>[1]Results!AH109</f>
        <v>95.961125929999994</v>
      </c>
      <c r="AF376" s="6">
        <f>[1]Results!AI109</f>
        <v>94.693230779999993</v>
      </c>
      <c r="AG376" s="6">
        <f>[1]Results!AJ109</f>
        <v>93.443337580000005</v>
      </c>
      <c r="AH376" s="6">
        <f>[1]Results!AK109</f>
        <v>92.211441309999998</v>
      </c>
      <c r="AI376" s="6">
        <f>[1]Results!AL109</f>
        <v>90.997454649999995</v>
      </c>
      <c r="AJ376" s="6">
        <f>[1]Results!AM109</f>
        <v>89.801276770000001</v>
      </c>
      <c r="AK376" s="6">
        <f>[1]Results!AN109</f>
        <v>88.622750839999995</v>
      </c>
      <c r="AL376" s="6">
        <f>[1]Results!AO109</f>
        <v>87.46165895</v>
      </c>
      <c r="AM376" s="6">
        <f>[1]Results!AP109</f>
        <v>86.317610770000002</v>
      </c>
      <c r="AN376" s="6">
        <f>[1]Results!AQ109</f>
        <v>85.190000999999995</v>
      </c>
      <c r="AO376" s="6">
        <f>[1]Results!AR109</f>
        <v>84.078584939999999</v>
      </c>
      <c r="AP376" s="6">
        <f>[1]Results!AS109</f>
        <v>82.983128769999993</v>
      </c>
      <c r="AQ376" s="6">
        <f>[1]Results!AT109</f>
        <v>81.903334009999995</v>
      </c>
      <c r="AR376" s="6">
        <f>[1]Results!AU109</f>
        <v>80.838837560000002</v>
      </c>
      <c r="AS376" s="6">
        <f>[1]Results!AV109</f>
        <v>79.789237569999997</v>
      </c>
      <c r="AT376" s="6">
        <f>[1]Results!AW109</f>
        <v>78.754199249999999</v>
      </c>
      <c r="AU376" s="6">
        <f>[1]Results!AX109</f>
        <v>77.733412020000003</v>
      </c>
      <c r="AV376" s="6">
        <f>[1]Results!AY109</f>
        <v>76.726579700000002</v>
      </c>
      <c r="AW376" s="6">
        <f>[1]Results!AZ109</f>
        <v>75.733369179999997</v>
      </c>
      <c r="AX376" s="6">
        <f>[1]Results!BA109</f>
        <v>74.753388979999997</v>
      </c>
      <c r="AY376" s="6">
        <f>[1]Results!BB109</f>
        <v>73.786443989999995</v>
      </c>
      <c r="AZ376" s="6">
        <f>[1]Results!BC109</f>
        <v>72.832360219999998</v>
      </c>
      <c r="BA376" s="6">
        <f>[1]Results!BD109</f>
        <v>71.890943539999995</v>
      </c>
      <c r="BB376" s="6">
        <f>[1]Results!BE109</f>
        <v>73.136080030000002</v>
      </c>
      <c r="BC376" s="6">
        <f>[1]Results!BF109</f>
        <v>72.266466910000005</v>
      </c>
      <c r="BD376" s="6">
        <f>[1]Results!BG109</f>
        <v>71.408305409999997</v>
      </c>
      <c r="BE376" s="6">
        <f>[1]Results!BH109</f>
        <v>70.561469470000006</v>
      </c>
      <c r="BF376" s="6">
        <f>[1]Results!BI109</f>
        <v>69.725838089999996</v>
      </c>
    </row>
    <row r="377" spans="1:58" x14ac:dyDescent="0.35">
      <c r="B377" t="s">
        <v>63</v>
      </c>
      <c r="C377" s="6">
        <f>[1]Results!F110</f>
        <v>3.874567114</v>
      </c>
      <c r="D377" s="6">
        <f>[1]Results!G110</f>
        <v>3.7193422909999998</v>
      </c>
      <c r="E377" s="6">
        <f>[1]Results!H110</f>
        <v>3.569053094</v>
      </c>
      <c r="F377" s="6">
        <f>[1]Results!I110</f>
        <v>3.4254263159999998</v>
      </c>
      <c r="G377" s="6">
        <f>[1]Results!J110</f>
        <v>3.289414523</v>
      </c>
      <c r="H377" s="6">
        <f>[1]Results!K110</f>
        <v>3.161149311</v>
      </c>
      <c r="I377" s="6">
        <f>[1]Results!L110</f>
        <v>3.040192351</v>
      </c>
      <c r="J377" s="6">
        <f>[1]Results!M110</f>
        <v>2.9258375750000001</v>
      </c>
      <c r="K377" s="6">
        <f>[1]Results!N110</f>
        <v>2.8173446210000002</v>
      </c>
      <c r="L377" s="6">
        <f>[1]Results!O110</f>
        <v>2.7140576429999999</v>
      </c>
      <c r="M377" s="6">
        <f>[1]Results!P110</f>
        <v>2.6154344269999998</v>
      </c>
      <c r="N377" s="6">
        <f>[1]Results!Q110</f>
        <v>2.521054634</v>
      </c>
      <c r="O377" s="6">
        <f>[1]Results!R110</f>
        <v>2.4306121809999999</v>
      </c>
      <c r="P377" s="6">
        <f>[1]Results!S110</f>
        <v>2.3438483319999999</v>
      </c>
      <c r="Q377" s="6">
        <f>[1]Results!T110</f>
        <v>2.2605394599999999</v>
      </c>
      <c r="R377" s="6">
        <f>[1]Results!U110</f>
        <v>2.1804892059999998</v>
      </c>
      <c r="S377" s="6">
        <f>[1]Results!V110</f>
        <v>2.103529639</v>
      </c>
      <c r="T377" s="6">
        <f>[1]Results!W110</f>
        <v>2.0295214100000001</v>
      </c>
      <c r="U377" s="6">
        <f>[1]Results!X110</f>
        <v>1.9583298250000001</v>
      </c>
      <c r="V377" s="6">
        <f>[1]Results!Y110</f>
        <v>1.889834856</v>
      </c>
      <c r="W377" s="6">
        <f>[1]Results!Z110</f>
        <v>1.8239295259999999</v>
      </c>
      <c r="X377" s="6">
        <f>[1]Results!AA110</f>
        <v>1.760517589</v>
      </c>
      <c r="Y377" s="6">
        <f>[1]Results!AB110</f>
        <v>1.6995133899999999</v>
      </c>
      <c r="Z377" s="6">
        <f>[1]Results!AC110</f>
        <v>1.640838279</v>
      </c>
      <c r="AA377" s="6">
        <f>[1]Results!AD110</f>
        <v>1.584417127</v>
      </c>
      <c r="AB377" s="6">
        <f>[1]Results!AE110</f>
        <v>1.530173048</v>
      </c>
      <c r="AC377" s="6">
        <f>[1]Results!AF110</f>
        <v>1.4780254770000001</v>
      </c>
      <c r="AD377" s="6">
        <f>[1]Results!AG110</f>
        <v>1.427895339</v>
      </c>
      <c r="AE377" s="6">
        <f>[1]Results!AH110</f>
        <v>1.3797122690000001</v>
      </c>
      <c r="AF377" s="6">
        <f>[1]Results!AI110</f>
        <v>1.3334085250000001</v>
      </c>
      <c r="AG377" s="6">
        <f>[1]Results!AJ110</f>
        <v>1.288917052</v>
      </c>
      <c r="AH377" s="6">
        <f>[1]Results!AK110</f>
        <v>1.2461704360000001</v>
      </c>
      <c r="AI377" s="6">
        <f>[1]Results!AL110</f>
        <v>1.2051006440000001</v>
      </c>
      <c r="AJ377" s="6">
        <f>[1]Results!AM110</f>
        <v>1.1656423389999999</v>
      </c>
      <c r="AK377" s="6">
        <f>[1]Results!AN110</f>
        <v>1.127731152</v>
      </c>
      <c r="AL377" s="6">
        <f>[1]Results!AO110</f>
        <v>1.0913034580000001</v>
      </c>
      <c r="AM377" s="6">
        <f>[1]Results!AP110</f>
        <v>1.056291136</v>
      </c>
      <c r="AN377" s="6">
        <f>[1]Results!AQ110</f>
        <v>1.0226190930000001</v>
      </c>
      <c r="AO377" s="6">
        <f>[1]Results!AR110</f>
        <v>0.99023016939999997</v>
      </c>
      <c r="AP377" s="6">
        <f>[1]Results!AS110</f>
        <v>0.9590714468</v>
      </c>
      <c r="AQ377" s="6">
        <f>[1]Results!AT110</f>
        <v>0.92909084330000002</v>
      </c>
      <c r="AR377" s="6">
        <f>[1]Results!AU110</f>
        <v>0.90023650369999997</v>
      </c>
      <c r="AS377" s="6">
        <f>[1]Results!AV110</f>
        <v>0.87245723529999997</v>
      </c>
      <c r="AT377" s="6">
        <f>[1]Results!AW110</f>
        <v>0.84570635429999996</v>
      </c>
      <c r="AU377" s="6">
        <f>[1]Results!AX110</f>
        <v>0.81993997080000003</v>
      </c>
      <c r="AV377" s="6">
        <f>[1]Results!AY110</f>
        <v>0.79511645480000004</v>
      </c>
      <c r="AW377" s="6">
        <f>[1]Results!AZ110</f>
        <v>0.77119427870000001</v>
      </c>
      <c r="AX377" s="6">
        <f>[1]Results!BA110</f>
        <v>0.74813088709999997</v>
      </c>
      <c r="AY377" s="6">
        <f>[1]Results!BB110</f>
        <v>0.72589196779999998</v>
      </c>
      <c r="AZ377" s="6">
        <f>[1]Results!BC110</f>
        <v>0.70444571789999999</v>
      </c>
      <c r="BA377" s="6">
        <f>[1]Results!BD110</f>
        <v>0.68376129149999998</v>
      </c>
      <c r="BB377" s="6">
        <f>[1]Results!BE110</f>
        <v>0.72578483000000005</v>
      </c>
      <c r="BC377" s="6">
        <f>[1]Results!BF110</f>
        <v>0.70667312709999996</v>
      </c>
      <c r="BD377" s="6">
        <f>[1]Results!BG110</f>
        <v>0.68819737540000003</v>
      </c>
      <c r="BE377" s="6">
        <f>[1]Results!BH110</f>
        <v>0.67033503049999998</v>
      </c>
      <c r="BF377" s="6">
        <f>[1]Results!BI110</f>
        <v>0.65306457139999996</v>
      </c>
    </row>
    <row r="379" spans="1:58" x14ac:dyDescent="0.35">
      <c r="A379" s="12" t="s">
        <v>91</v>
      </c>
      <c r="C379" s="2">
        <v>42005</v>
      </c>
      <c r="D379" s="2">
        <v>42370</v>
      </c>
      <c r="E379" s="2">
        <v>42736</v>
      </c>
      <c r="F379" s="2">
        <v>43101</v>
      </c>
      <c r="G379" s="2">
        <v>43466</v>
      </c>
      <c r="H379" s="2">
        <v>43831</v>
      </c>
      <c r="I379" s="2">
        <v>44197</v>
      </c>
      <c r="J379" s="2">
        <v>44562</v>
      </c>
      <c r="K379" s="2">
        <v>44927</v>
      </c>
      <c r="L379" s="2">
        <v>45292</v>
      </c>
      <c r="M379" s="2">
        <v>45658</v>
      </c>
      <c r="N379" s="2">
        <v>46023</v>
      </c>
      <c r="O379" s="2">
        <v>46388</v>
      </c>
      <c r="P379" s="2">
        <v>46753</v>
      </c>
      <c r="Q379" s="2">
        <v>47119</v>
      </c>
      <c r="R379" s="2">
        <v>47484</v>
      </c>
      <c r="S379" s="2">
        <v>47849</v>
      </c>
      <c r="T379" s="2">
        <v>48214</v>
      </c>
      <c r="U379" s="2">
        <v>48580</v>
      </c>
      <c r="V379" s="2">
        <v>48945</v>
      </c>
      <c r="W379" s="2">
        <v>49310</v>
      </c>
      <c r="X379" s="2">
        <v>49675</v>
      </c>
      <c r="Y379" s="2">
        <v>50041</v>
      </c>
      <c r="Z379" s="2">
        <v>50406</v>
      </c>
      <c r="AA379" s="2">
        <v>50771</v>
      </c>
      <c r="AB379" s="2">
        <v>51136</v>
      </c>
      <c r="AC379" s="2">
        <v>51502</v>
      </c>
      <c r="AD379" s="2">
        <v>51867</v>
      </c>
      <c r="AE379" s="2">
        <v>52232</v>
      </c>
      <c r="AF379" s="2">
        <v>52597</v>
      </c>
      <c r="AG379" s="2">
        <v>52963</v>
      </c>
      <c r="AH379" s="2">
        <v>53328</v>
      </c>
      <c r="AI379" s="2">
        <v>53693</v>
      </c>
      <c r="AJ379" s="2">
        <v>54058</v>
      </c>
      <c r="AK379" s="2">
        <v>54424</v>
      </c>
      <c r="AL379" s="2">
        <v>54789</v>
      </c>
      <c r="AM379" s="2">
        <v>54790</v>
      </c>
      <c r="AN379" s="2">
        <v>54791</v>
      </c>
      <c r="AO379" s="2">
        <v>54792</v>
      </c>
      <c r="AP379" s="2">
        <v>54793</v>
      </c>
      <c r="AQ379" s="2">
        <v>54794</v>
      </c>
      <c r="AR379" s="2">
        <v>54795</v>
      </c>
      <c r="AS379" s="2">
        <v>54796</v>
      </c>
      <c r="AT379" s="2">
        <v>54797</v>
      </c>
      <c r="AU379" s="2">
        <v>54798</v>
      </c>
      <c r="AV379" s="2">
        <v>54799</v>
      </c>
      <c r="AW379" s="2">
        <v>54800</v>
      </c>
      <c r="AX379" s="2">
        <v>54801</v>
      </c>
      <c r="AY379" s="2">
        <v>54802</v>
      </c>
      <c r="AZ379" s="2">
        <v>54803</v>
      </c>
      <c r="BA379" s="2">
        <v>54804</v>
      </c>
      <c r="BB379" s="2">
        <v>54805</v>
      </c>
      <c r="BC379" s="2">
        <v>54806</v>
      </c>
      <c r="BD379" s="2">
        <v>54807</v>
      </c>
      <c r="BE379" s="2">
        <v>54808</v>
      </c>
      <c r="BF379" s="2">
        <v>54809</v>
      </c>
    </row>
    <row r="380" spans="1:58" x14ac:dyDescent="0.35">
      <c r="A380" t="s">
        <v>38</v>
      </c>
      <c r="B380" t="s">
        <v>57</v>
      </c>
      <c r="C380" s="6">
        <f>[1]Results!F112</f>
        <v>3.476542051</v>
      </c>
      <c r="D380" s="6">
        <f>[1]Results!G112</f>
        <v>5.7227175170000004</v>
      </c>
      <c r="E380" s="6">
        <f>[1]Results!H112</f>
        <v>7.9150342939999998</v>
      </c>
      <c r="F380" s="6">
        <f>[1]Results!I112</f>
        <v>9.8028883580000006</v>
      </c>
      <c r="G380" s="6">
        <f>[1]Results!J112</f>
        <v>11.155958439999999</v>
      </c>
      <c r="H380" s="6">
        <f>[1]Results!K112</f>
        <v>16.284898559999998</v>
      </c>
      <c r="I380" s="6">
        <f>[1]Results!L112</f>
        <v>22.964130709999999</v>
      </c>
      <c r="J380" s="6">
        <f>[1]Results!M112</f>
        <v>30.052271130000001</v>
      </c>
      <c r="K380" s="6">
        <f>[1]Results!N112</f>
        <v>37.200901440000003</v>
      </c>
      <c r="L380" s="6">
        <f>[1]Results!O112</f>
        <v>44.335411620000002</v>
      </c>
      <c r="M380" s="6">
        <f>[1]Results!P112</f>
        <v>51.49308018</v>
      </c>
      <c r="N380" s="6">
        <f>[1]Results!Q112</f>
        <v>58.603540189999997</v>
      </c>
      <c r="O380" s="6">
        <f>[1]Results!R112</f>
        <v>65.708729579999996</v>
      </c>
      <c r="P380" s="6">
        <f>[1]Results!S112</f>
        <v>72.805012860000005</v>
      </c>
      <c r="Q380" s="6">
        <f>[1]Results!T112</f>
        <v>79.885960749999995</v>
      </c>
      <c r="R380" s="6">
        <f>[1]Results!U112</f>
        <v>86.944300999999996</v>
      </c>
      <c r="S380" s="6">
        <f>[1]Results!V112</f>
        <v>93.973016520000002</v>
      </c>
      <c r="T380" s="6">
        <f>[1]Results!W112</f>
        <v>100.9659616</v>
      </c>
      <c r="U380" s="6">
        <f>[1]Results!X112</f>
        <v>107.918206</v>
      </c>
      <c r="V380" s="6">
        <f>[1]Results!Y112</f>
        <v>114.8261943</v>
      </c>
      <c r="W380" s="6">
        <f>[1]Results!Z112</f>
        <v>121.6598158</v>
      </c>
      <c r="X380" s="6">
        <f>[1]Results!AA112</f>
        <v>128.4676058</v>
      </c>
      <c r="Y380" s="6">
        <f>[1]Results!AB112</f>
        <v>135.2218982</v>
      </c>
      <c r="Z380" s="6">
        <f>[1]Results!AC112</f>
        <v>141.9239321</v>
      </c>
      <c r="AA380" s="6">
        <f>[1]Results!AD112</f>
        <v>148.5765054</v>
      </c>
      <c r="AB380" s="6">
        <f>[1]Results!AE112</f>
        <v>155.10657610000001</v>
      </c>
      <c r="AC380" s="6">
        <f>[1]Results!AF112</f>
        <v>161.61605589999999</v>
      </c>
      <c r="AD380" s="6">
        <f>[1]Results!AG112</f>
        <v>168.0582703</v>
      </c>
      <c r="AE380" s="6">
        <f>[1]Results!AH112</f>
        <v>174.42635440000001</v>
      </c>
      <c r="AF380" s="6">
        <f>[1]Results!AI112</f>
        <v>180.715541</v>
      </c>
      <c r="AG380" s="6">
        <f>[1]Results!AJ112</f>
        <v>186.92352360000001</v>
      </c>
      <c r="AH380" s="6">
        <f>[1]Results!AK112</f>
        <v>193.0496919</v>
      </c>
      <c r="AI380" s="6">
        <f>[1]Results!AL112</f>
        <v>199.0941425</v>
      </c>
      <c r="AJ380" s="6">
        <f>[1]Results!AM112</f>
        <v>205.0568231</v>
      </c>
      <c r="AK380" s="6">
        <f>[1]Results!AN112</f>
        <v>210.9367986</v>
      </c>
      <c r="AL380" s="6">
        <f>[1]Results!AO112</f>
        <v>216.7316568</v>
      </c>
      <c r="AM380" s="6">
        <f>[1]Results!AP112</f>
        <v>222.42017010000001</v>
      </c>
      <c r="AN380" s="6">
        <f>[1]Results!AQ112</f>
        <v>228.00593380000001</v>
      </c>
      <c r="AO380" s="6">
        <f>[1]Results!AR112</f>
        <v>233.47198330000001</v>
      </c>
      <c r="AP380" s="6">
        <f>[1]Results!AS112</f>
        <v>238.7966868</v>
      </c>
      <c r="AQ380" s="6">
        <f>[1]Results!AT112</f>
        <v>243.9534712</v>
      </c>
      <c r="AR380" s="6">
        <f>[1]Results!AU112</f>
        <v>248.9095696</v>
      </c>
      <c r="AS380" s="6">
        <f>[1]Results!AV112</f>
        <v>253.6235447</v>
      </c>
      <c r="AT380" s="6">
        <f>[1]Results!AW112</f>
        <v>258.04061990000002</v>
      </c>
      <c r="AU380" s="6">
        <f>[1]Results!AX112</f>
        <v>262.08351859999999</v>
      </c>
      <c r="AV380" s="6">
        <f>[1]Results!AY112</f>
        <v>265.63356859999999</v>
      </c>
      <c r="AW380" s="6">
        <f>[1]Results!AZ112</f>
        <v>268.48972259999999</v>
      </c>
      <c r="AX380" s="6">
        <f>[1]Results!BA112</f>
        <v>272.33613630000002</v>
      </c>
      <c r="AY380" s="6">
        <f>[1]Results!BB112</f>
        <v>276.30593060000001</v>
      </c>
      <c r="AZ380" s="6">
        <f>[1]Results!BC112</f>
        <v>280.8631848</v>
      </c>
      <c r="BA380" s="6">
        <f>[1]Results!BD112</f>
        <v>285.9393872</v>
      </c>
      <c r="BB380" s="6">
        <f>[1]Results!BE112</f>
        <v>23.02165338</v>
      </c>
      <c r="BC380" s="6">
        <f>[1]Results!BF112</f>
        <v>23.098603359999998</v>
      </c>
      <c r="BD380" s="6">
        <f>[1]Results!BG112</f>
        <v>23.175166600000001</v>
      </c>
      <c r="BE380" s="6">
        <f>[1]Results!BH112</f>
        <v>23.251348539999999</v>
      </c>
      <c r="BF380" s="6">
        <f>[1]Results!BI112</f>
        <v>23.327155260000001</v>
      </c>
    </row>
    <row r="381" spans="1:58" x14ac:dyDescent="0.35">
      <c r="B381" t="s">
        <v>58</v>
      </c>
      <c r="C381" s="6">
        <f>[1]Results!F113</f>
        <v>68.80476281</v>
      </c>
      <c r="D381" s="6">
        <f>[1]Results!G113</f>
        <v>77.184615870000002</v>
      </c>
      <c r="E381" s="6">
        <f>[1]Results!H113</f>
        <v>86.226500180000002</v>
      </c>
      <c r="F381" s="6">
        <f>[1]Results!I113</f>
        <v>95.7928912</v>
      </c>
      <c r="G381" s="6">
        <f>[1]Results!J113</f>
        <v>106.7444996</v>
      </c>
      <c r="H381" s="6">
        <f>[1]Results!K113</f>
        <v>114.81332</v>
      </c>
      <c r="I381" s="6">
        <f>[1]Results!L113</f>
        <v>120.31708620000001</v>
      </c>
      <c r="J381" s="6">
        <f>[1]Results!M113</f>
        <v>124.82551599999999</v>
      </c>
      <c r="K381" s="6">
        <f>[1]Results!N113</f>
        <v>128.83006409999999</v>
      </c>
      <c r="L381" s="6">
        <f>[1]Results!O113</f>
        <v>132.56906040000001</v>
      </c>
      <c r="M381" s="6">
        <f>[1]Results!P113</f>
        <v>137.19726900000001</v>
      </c>
      <c r="N381" s="6">
        <f>[1]Results!Q113</f>
        <v>140.70088010000001</v>
      </c>
      <c r="O381" s="6">
        <f>[1]Results!R113</f>
        <v>144.14771680000001</v>
      </c>
      <c r="P381" s="6">
        <f>[1]Results!S113</f>
        <v>147.5577696</v>
      </c>
      <c r="Q381" s="6">
        <f>[1]Results!T113</f>
        <v>150.9439351</v>
      </c>
      <c r="R381" s="6">
        <f>[1]Results!U113</f>
        <v>154.31504810000001</v>
      </c>
      <c r="S381" s="6">
        <f>[1]Results!V113</f>
        <v>157.67745650000001</v>
      </c>
      <c r="T381" s="6">
        <f>[1]Results!W113</f>
        <v>161.03583710000001</v>
      </c>
      <c r="U381" s="6">
        <f>[1]Results!X113</f>
        <v>164.39361930000001</v>
      </c>
      <c r="V381" s="6">
        <f>[1]Results!Y113</f>
        <v>167.7532214</v>
      </c>
      <c r="W381" s="6">
        <f>[1]Results!Z113</f>
        <v>170.4298134</v>
      </c>
      <c r="X381" s="6">
        <f>[1]Results!AA113</f>
        <v>173.7977822</v>
      </c>
      <c r="Y381" s="6">
        <f>[1]Results!AB113</f>
        <v>177.17320910000001</v>
      </c>
      <c r="Z381" s="6">
        <f>[1]Results!AC113</f>
        <v>180.55592920000001</v>
      </c>
      <c r="AA381" s="6">
        <f>[1]Results!AD113</f>
        <v>183.94502199999999</v>
      </c>
      <c r="AB381" s="6">
        <f>[1]Results!AE113</f>
        <v>185.46559120000001</v>
      </c>
      <c r="AC381" s="6">
        <f>[1]Results!AF113</f>
        <v>187.98594589999999</v>
      </c>
      <c r="AD381" s="6">
        <f>[1]Results!AG113</f>
        <v>190.51667939999999</v>
      </c>
      <c r="AE381" s="6">
        <f>[1]Results!AH113</f>
        <v>193.0612836</v>
      </c>
      <c r="AF381" s="6">
        <f>[1]Results!AI113</f>
        <v>195.62235889999999</v>
      </c>
      <c r="AG381" s="6">
        <f>[1]Results!AJ113</f>
        <v>198.2014044</v>
      </c>
      <c r="AH381" s="6">
        <f>[1]Results!AK113</f>
        <v>200.79913400000001</v>
      </c>
      <c r="AI381" s="6">
        <f>[1]Results!AL113</f>
        <v>203.41590289999999</v>
      </c>
      <c r="AJ381" s="6">
        <f>[1]Results!AM113</f>
        <v>206.05209049999999</v>
      </c>
      <c r="AK381" s="6">
        <f>[1]Results!AN113</f>
        <v>208.70843959999999</v>
      </c>
      <c r="AL381" s="6">
        <f>[1]Results!AO113</f>
        <v>211.3863431</v>
      </c>
      <c r="AM381" s="6">
        <f>[1]Results!AP113</f>
        <v>213.6884244</v>
      </c>
      <c r="AN381" s="6">
        <f>[1]Results!AQ113</f>
        <v>216.01920659999999</v>
      </c>
      <c r="AO381" s="6">
        <f>[1]Results!AR113</f>
        <v>218.3868081</v>
      </c>
      <c r="AP381" s="6">
        <f>[1]Results!AS113</f>
        <v>220.8017495</v>
      </c>
      <c r="AQ381" s="6">
        <f>[1]Results!AT113</f>
        <v>223.27723230000001</v>
      </c>
      <c r="AR381" s="6">
        <f>[1]Results!AU113</f>
        <v>225.82998309999999</v>
      </c>
      <c r="AS381" s="6">
        <f>[1]Results!AV113</f>
        <v>228.481964</v>
      </c>
      <c r="AT381" s="6">
        <f>[1]Results!AW113</f>
        <v>231.2638402</v>
      </c>
      <c r="AU381" s="6">
        <f>[1]Results!AX113</f>
        <v>234.22263810000001</v>
      </c>
      <c r="AV381" s="6">
        <f>[1]Results!AY113</f>
        <v>237.4413366</v>
      </c>
      <c r="AW381" s="6">
        <f>[1]Results!AZ113</f>
        <v>241.13747670000001</v>
      </c>
      <c r="AX381" s="6">
        <f>[1]Results!BA113</f>
        <v>244.86279529999999</v>
      </c>
      <c r="AY381" s="6">
        <f>[1]Results!BB113</f>
        <v>249.31711910000001</v>
      </c>
      <c r="AZ381" s="6">
        <f>[1]Results!BC113</f>
        <v>253.31744620000001</v>
      </c>
      <c r="BA381" s="6">
        <f>[1]Results!BD113</f>
        <v>256.61932789999997</v>
      </c>
      <c r="BB381" s="6">
        <f>[1]Results!BE113</f>
        <v>505.70694400000002</v>
      </c>
      <c r="BC381" s="6">
        <f>[1]Results!BF113</f>
        <v>512.00260160000005</v>
      </c>
      <c r="BD381" s="6">
        <f>[1]Results!BG113</f>
        <v>518.24737849999997</v>
      </c>
      <c r="BE381" s="6">
        <f>[1]Results!BH113</f>
        <v>524.44232790000001</v>
      </c>
      <c r="BF381" s="6">
        <f>[1]Results!BI113</f>
        <v>530.58864100000005</v>
      </c>
    </row>
    <row r="382" spans="1:58" x14ac:dyDescent="0.35">
      <c r="B382" t="s">
        <v>59</v>
      </c>
      <c r="C382" s="6">
        <f>[1]Results!F114</f>
        <v>408.28039699999999</v>
      </c>
      <c r="D382" s="6">
        <f>[1]Results!G114</f>
        <v>425.47099270000001</v>
      </c>
      <c r="E382" s="6">
        <f>[1]Results!H114</f>
        <v>444.58497030000001</v>
      </c>
      <c r="F382" s="6">
        <f>[1]Results!I114</f>
        <v>464.58604120000001</v>
      </c>
      <c r="G382" s="6">
        <f>[1]Results!J114</f>
        <v>486.66937130000002</v>
      </c>
      <c r="H382" s="6">
        <f>[1]Results!K114</f>
        <v>503.4087131</v>
      </c>
      <c r="I382" s="6">
        <f>[1]Results!L114</f>
        <v>515.14708389999998</v>
      </c>
      <c r="J382" s="6">
        <f>[1]Results!M114</f>
        <v>525.29697060000001</v>
      </c>
      <c r="K382" s="6">
        <f>[1]Results!N114</f>
        <v>534.66990420000002</v>
      </c>
      <c r="L382" s="6">
        <f>[1]Results!O114</f>
        <v>543.64612439999996</v>
      </c>
      <c r="M382" s="6">
        <f>[1]Results!P114</f>
        <v>555.32216010000002</v>
      </c>
      <c r="N382" s="6">
        <f>[1]Results!Q114</f>
        <v>563.96909449999998</v>
      </c>
      <c r="O382" s="6">
        <f>[1]Results!R114</f>
        <v>572.54159790000006</v>
      </c>
      <c r="P382" s="6">
        <f>[1]Results!S114</f>
        <v>581.06931380000003</v>
      </c>
      <c r="Q382" s="6">
        <f>[1]Results!T114</f>
        <v>589.57113349999997</v>
      </c>
      <c r="R382" s="6">
        <f>[1]Results!U114</f>
        <v>598.0598847</v>
      </c>
      <c r="S382" s="6">
        <f>[1]Results!V114</f>
        <v>606.54473350000001</v>
      </c>
      <c r="T382" s="6">
        <f>[1]Results!W114</f>
        <v>615.0324071</v>
      </c>
      <c r="U382" s="6">
        <f>[1]Results!X114</f>
        <v>623.52781179999999</v>
      </c>
      <c r="V382" s="6">
        <f>[1]Results!Y114</f>
        <v>632.03436280000005</v>
      </c>
      <c r="W382" s="6">
        <f>[1]Results!Z114</f>
        <v>638.62613699999997</v>
      </c>
      <c r="X382" s="6">
        <f>[1]Results!AA114</f>
        <v>647.1584838</v>
      </c>
      <c r="Y382" s="6">
        <f>[1]Results!AB114</f>
        <v>655.7098479</v>
      </c>
      <c r="Z382" s="6">
        <f>[1]Results!AC114</f>
        <v>664.27964469999995</v>
      </c>
      <c r="AA382" s="6">
        <f>[1]Results!AD114</f>
        <v>672.86609450000003</v>
      </c>
      <c r="AB382" s="6">
        <f>[1]Results!AE114</f>
        <v>676.20393379999996</v>
      </c>
      <c r="AC382" s="6">
        <f>[1]Results!AF114</f>
        <v>682.34073530000001</v>
      </c>
      <c r="AD382" s="6">
        <f>[1]Results!AG114</f>
        <v>688.49357039999995</v>
      </c>
      <c r="AE382" s="6">
        <f>[1]Results!AH114</f>
        <v>694.66758890000006</v>
      </c>
      <c r="AF382" s="6">
        <f>[1]Results!AI114</f>
        <v>700.86652800000002</v>
      </c>
      <c r="AG382" s="6">
        <f>[1]Results!AJ114</f>
        <v>707.09243030000005</v>
      </c>
      <c r="AH382" s="6">
        <f>[1]Results!AK114</f>
        <v>713.34611759999996</v>
      </c>
      <c r="AI382" s="6">
        <f>[1]Results!AL114</f>
        <v>719.62787070000002</v>
      </c>
      <c r="AJ382" s="6">
        <f>[1]Results!AM114</f>
        <v>725.93805210000005</v>
      </c>
      <c r="AK382" s="6">
        <f>[1]Results!AN114</f>
        <v>732.27766569999994</v>
      </c>
      <c r="AL382" s="6">
        <f>[1]Results!AO114</f>
        <v>738.64883180000004</v>
      </c>
      <c r="AM382" s="6">
        <f>[1]Results!AP114</f>
        <v>743.93233239999995</v>
      </c>
      <c r="AN382" s="6">
        <f>[1]Results!AQ114</f>
        <v>749.25728579999998</v>
      </c>
      <c r="AO382" s="6">
        <f>[1]Results!AR114</f>
        <v>754.63724820000004</v>
      </c>
      <c r="AP382" s="6">
        <f>[1]Results!AS114</f>
        <v>760.09008289999997</v>
      </c>
      <c r="AQ382" s="6">
        <f>[1]Results!AT114</f>
        <v>765.63871389999997</v>
      </c>
      <c r="AR382" s="6">
        <f>[1]Results!AU114</f>
        <v>771.31304899999998</v>
      </c>
      <c r="AS382" s="6">
        <f>[1]Results!AV114</f>
        <v>777.15379499999995</v>
      </c>
      <c r="AT382" s="6">
        <f>[1]Results!AW114</f>
        <v>783.22025210000004</v>
      </c>
      <c r="AU382" s="6">
        <f>[1]Results!AX114</f>
        <v>789.60799410000004</v>
      </c>
      <c r="AV382" s="6">
        <f>[1]Results!AY114</f>
        <v>796.49655580000001</v>
      </c>
      <c r="AW382" s="6">
        <f>[1]Results!AZ114</f>
        <v>804.41513710000004</v>
      </c>
      <c r="AX382" s="6">
        <f>[1]Results!BA114</f>
        <v>811.47357199999999</v>
      </c>
      <c r="AY382" s="6">
        <f>[1]Results!BB114</f>
        <v>818.84458229999996</v>
      </c>
      <c r="AZ382" s="6">
        <f>[1]Results!BC114</f>
        <v>825.58277220000002</v>
      </c>
      <c r="BA382" s="6">
        <f>[1]Results!BD114</f>
        <v>831.54622710000001</v>
      </c>
      <c r="BB382" s="6">
        <f>[1]Results!BE114</f>
        <v>1097.5222470000001</v>
      </c>
      <c r="BC382" s="6">
        <f>[1]Results!BF114</f>
        <v>1106.9728580000001</v>
      </c>
      <c r="BD382" s="6">
        <f>[1]Results!BG114</f>
        <v>1116.3591220000001</v>
      </c>
      <c r="BE382" s="6">
        <f>[1]Results!BH114</f>
        <v>1125.682438</v>
      </c>
      <c r="BF382" s="6">
        <f>[1]Results!BI114</f>
        <v>1134.9443100000001</v>
      </c>
    </row>
    <row r="383" spans="1:58" x14ac:dyDescent="0.35">
      <c r="B383" t="s">
        <v>60</v>
      </c>
      <c r="C383" s="6">
        <f>[1]Results!F115</f>
        <v>954.38155940000001</v>
      </c>
      <c r="D383" s="6">
        <f>[1]Results!G115</f>
        <v>947.69777139999997</v>
      </c>
      <c r="E383" s="6">
        <f>[1]Results!H115</f>
        <v>940.93763560000002</v>
      </c>
      <c r="F383" s="6">
        <f>[1]Results!I115</f>
        <v>933.32371680000006</v>
      </c>
      <c r="G383" s="6">
        <f>[1]Results!J115</f>
        <v>923.43122430000005</v>
      </c>
      <c r="H383" s="6">
        <f>[1]Results!K115</f>
        <v>915.16062929999998</v>
      </c>
      <c r="I383" s="6">
        <f>[1]Results!L115</f>
        <v>908.60448159999999</v>
      </c>
      <c r="J383" s="6">
        <f>[1]Results!M115</f>
        <v>903.13097530000005</v>
      </c>
      <c r="K383" s="6">
        <f>[1]Results!N115</f>
        <v>898.27586510000003</v>
      </c>
      <c r="L383" s="6">
        <f>[1]Results!O115</f>
        <v>893.76580839999997</v>
      </c>
      <c r="M383" s="6">
        <f>[1]Results!P115</f>
        <v>889.45010090000005</v>
      </c>
      <c r="N383" s="6">
        <f>[1]Results!Q115</f>
        <v>885.24814360000005</v>
      </c>
      <c r="O383" s="6">
        <f>[1]Results!R115</f>
        <v>881.11617200000001</v>
      </c>
      <c r="P383" s="6">
        <f>[1]Results!S115</f>
        <v>877.03083709999999</v>
      </c>
      <c r="Q383" s="6">
        <f>[1]Results!T115</f>
        <v>872.97939259999998</v>
      </c>
      <c r="R383" s="6">
        <f>[1]Results!U115</f>
        <v>868.95471940000004</v>
      </c>
      <c r="S383" s="6">
        <f>[1]Results!V115</f>
        <v>864.95270889999995</v>
      </c>
      <c r="T383" s="6">
        <f>[1]Results!W115</f>
        <v>860.97088959999996</v>
      </c>
      <c r="U383" s="6">
        <f>[1]Results!X115</f>
        <v>857.00770750000004</v>
      </c>
      <c r="V383" s="6">
        <f>[1]Results!Y115</f>
        <v>853.06214820000002</v>
      </c>
      <c r="W383" s="6">
        <f>[1]Results!Z115</f>
        <v>849.13347150000004</v>
      </c>
      <c r="X383" s="6">
        <f>[1]Results!AA115</f>
        <v>845.22079229999997</v>
      </c>
      <c r="Y383" s="6">
        <f>[1]Results!AB115</f>
        <v>841.32393930000001</v>
      </c>
      <c r="Z383" s="6">
        <f>[1]Results!AC115</f>
        <v>837.44267409999998</v>
      </c>
      <c r="AA383" s="6">
        <f>[1]Results!AD115</f>
        <v>833.57692329999998</v>
      </c>
      <c r="AB383" s="6">
        <f>[1]Results!AE115</f>
        <v>829.7265443</v>
      </c>
      <c r="AC383" s="6">
        <f>[1]Results!AF115</f>
        <v>825.89032910000003</v>
      </c>
      <c r="AD383" s="6">
        <f>[1]Results!AG115</f>
        <v>822.06799509999996</v>
      </c>
      <c r="AE383" s="6">
        <f>[1]Results!AH115</f>
        <v>818.25883190000002</v>
      </c>
      <c r="AF383" s="6">
        <f>[1]Results!AI115</f>
        <v>814.46217520000005</v>
      </c>
      <c r="AG383" s="6">
        <f>[1]Results!AJ115</f>
        <v>810.6774805</v>
      </c>
      <c r="AH383" s="6">
        <f>[1]Results!AK115</f>
        <v>806.90432390000001</v>
      </c>
      <c r="AI383" s="6">
        <f>[1]Results!AL115</f>
        <v>803.14236440000002</v>
      </c>
      <c r="AJ383" s="6">
        <f>[1]Results!AM115</f>
        <v>799.39128849999997</v>
      </c>
      <c r="AK383" s="6">
        <f>[1]Results!AN115</f>
        <v>795.6507421</v>
      </c>
      <c r="AL383" s="6">
        <f>[1]Results!AO115</f>
        <v>791.92025420000004</v>
      </c>
      <c r="AM383" s="6">
        <f>[1]Results!AP115</f>
        <v>788.19906519999995</v>
      </c>
      <c r="AN383" s="6">
        <f>[1]Results!AQ115</f>
        <v>784.48568139999998</v>
      </c>
      <c r="AO383" s="6">
        <f>[1]Results!AR115</f>
        <v>780.77797039999996</v>
      </c>
      <c r="AP383" s="6">
        <f>[1]Results!AS115</f>
        <v>777.07276330000002</v>
      </c>
      <c r="AQ383" s="6">
        <f>[1]Results!AT115</f>
        <v>773.36545139999998</v>
      </c>
      <c r="AR383" s="6">
        <f>[1]Results!AU115</f>
        <v>769.6492442</v>
      </c>
      <c r="AS383" s="6">
        <f>[1]Results!AV115</f>
        <v>765.91377490000002</v>
      </c>
      <c r="AT383" s="6">
        <f>[1]Results!AW115</f>
        <v>762.14232960000004</v>
      </c>
      <c r="AU383" s="6">
        <f>[1]Results!AX115</f>
        <v>758.30587890000004</v>
      </c>
      <c r="AV383" s="6">
        <f>[1]Results!AY115</f>
        <v>754.34888690000002</v>
      </c>
      <c r="AW383" s="6">
        <f>[1]Results!AZ115</f>
        <v>750.15091970000003</v>
      </c>
      <c r="AX383" s="6">
        <f>[1]Results!BA115</f>
        <v>745.40464280000003</v>
      </c>
      <c r="AY383" s="6">
        <f>[1]Results!BB115</f>
        <v>739.19345339999995</v>
      </c>
      <c r="AZ383" s="6">
        <f>[1]Results!BC115</f>
        <v>733.29092279999998</v>
      </c>
      <c r="BA383" s="6">
        <f>[1]Results!BD115</f>
        <v>728.22389129999999</v>
      </c>
      <c r="BB383" s="6">
        <f>[1]Results!BE115</f>
        <v>484.04968780000002</v>
      </c>
      <c r="BC383" s="6">
        <f>[1]Results!BF115</f>
        <v>477.39374570000001</v>
      </c>
      <c r="BD383" s="6">
        <f>[1]Results!BG115</f>
        <v>470.83057000000002</v>
      </c>
      <c r="BE383" s="6">
        <f>[1]Results!BH115</f>
        <v>464.35802790000002</v>
      </c>
      <c r="BF383" s="6">
        <f>[1]Results!BI115</f>
        <v>457.97382290000002</v>
      </c>
    </row>
    <row r="384" spans="1:58" x14ac:dyDescent="0.35">
      <c r="B384" t="s">
        <v>61</v>
      </c>
      <c r="C384" s="6">
        <f>[1]Results!F116</f>
        <v>878.79999729999997</v>
      </c>
      <c r="D384" s="6">
        <f>[1]Results!G116</f>
        <v>867.97061580000002</v>
      </c>
      <c r="E384" s="6">
        <f>[1]Results!H116</f>
        <v>857.17684689999999</v>
      </c>
      <c r="F384" s="6">
        <f>[1]Results!I116</f>
        <v>846.13862789999996</v>
      </c>
      <c r="G384" s="6">
        <f>[1]Results!J116</f>
        <v>834.45323340000004</v>
      </c>
      <c r="H384" s="6">
        <f>[1]Results!K116</f>
        <v>825.60426419999999</v>
      </c>
      <c r="I384" s="6">
        <f>[1]Results!L116</f>
        <v>818.66441180000004</v>
      </c>
      <c r="J384" s="6">
        <f>[1]Results!M116</f>
        <v>812.81115399999999</v>
      </c>
      <c r="K384" s="6">
        <f>[1]Results!N116</f>
        <v>807.55775389999997</v>
      </c>
      <c r="L384" s="6">
        <f>[1]Results!O116</f>
        <v>802.63672829999996</v>
      </c>
      <c r="M384" s="6">
        <f>[1]Results!P116</f>
        <v>797.90480590000004</v>
      </c>
      <c r="N384" s="6">
        <f>[1]Results!Q116</f>
        <v>793.28651950000005</v>
      </c>
      <c r="O384" s="6">
        <f>[1]Results!R116</f>
        <v>788.74112009999999</v>
      </c>
      <c r="P384" s="6">
        <f>[1]Results!S116</f>
        <v>784.24690190000001</v>
      </c>
      <c r="Q384" s="6">
        <f>[1]Results!T116</f>
        <v>779.79195059999995</v>
      </c>
      <c r="R384" s="6">
        <f>[1]Results!U116</f>
        <v>775.36951869999996</v>
      </c>
      <c r="S384" s="6">
        <f>[1]Results!V116</f>
        <v>770.9756175</v>
      </c>
      <c r="T384" s="6">
        <f>[1]Results!W116</f>
        <v>766.60777029999997</v>
      </c>
      <c r="U384" s="6">
        <f>[1]Results!X116</f>
        <v>762.26436969999997</v>
      </c>
      <c r="V384" s="6">
        <f>[1]Results!Y116</f>
        <v>757.94434739999997</v>
      </c>
      <c r="W384" s="6">
        <f>[1]Results!Z116</f>
        <v>753.64688850000005</v>
      </c>
      <c r="X384" s="6">
        <f>[1]Results!AA116</f>
        <v>749.37100359999999</v>
      </c>
      <c r="Y384" s="6">
        <f>[1]Results!AB116</f>
        <v>745.1165254</v>
      </c>
      <c r="Z384" s="6">
        <f>[1]Results!AC116</f>
        <v>740.88333130000001</v>
      </c>
      <c r="AA384" s="6">
        <f>[1]Results!AD116</f>
        <v>736.67154230000006</v>
      </c>
      <c r="AB384" s="6">
        <f>[1]Results!AE116</f>
        <v>732.48110259999999</v>
      </c>
      <c r="AC384" s="6">
        <f>[1]Results!AF116</f>
        <v>728.3106196</v>
      </c>
      <c r="AD384" s="6">
        <f>[1]Results!AG116</f>
        <v>724.15961010000001</v>
      </c>
      <c r="AE384" s="6">
        <f>[1]Results!AH116</f>
        <v>720.02724539999997</v>
      </c>
      <c r="AF384" s="6">
        <f>[1]Results!AI116</f>
        <v>715.91285379999999</v>
      </c>
      <c r="AG384" s="6">
        <f>[1]Results!AJ116</f>
        <v>711.81599210000002</v>
      </c>
      <c r="AH384" s="6">
        <f>[1]Results!AK116</f>
        <v>707.73642470000004</v>
      </c>
      <c r="AI384" s="6">
        <f>[1]Results!AL116</f>
        <v>703.67404859999999</v>
      </c>
      <c r="AJ384" s="6">
        <f>[1]Results!AM116</f>
        <v>699.62880250000001</v>
      </c>
      <c r="AK384" s="6">
        <f>[1]Results!AN116</f>
        <v>695.60057059999997</v>
      </c>
      <c r="AL384" s="6">
        <f>[1]Results!AO116</f>
        <v>691.58908880000001</v>
      </c>
      <c r="AM384" s="6">
        <f>[1]Results!AP116</f>
        <v>687.59373419999997</v>
      </c>
      <c r="AN384" s="6">
        <f>[1]Results!AQ116</f>
        <v>683.61303969999994</v>
      </c>
      <c r="AO384" s="6">
        <f>[1]Results!AR116</f>
        <v>679.64484679999998</v>
      </c>
      <c r="AP384" s="6">
        <f>[1]Results!AS116</f>
        <v>675.68597880000004</v>
      </c>
      <c r="AQ384" s="6">
        <f>[1]Results!AT116</f>
        <v>671.73187789999997</v>
      </c>
      <c r="AR384" s="6">
        <f>[1]Results!AU116</f>
        <v>667.77582840000002</v>
      </c>
      <c r="AS384" s="6">
        <f>[1]Results!AV116</f>
        <v>663.80730010000002</v>
      </c>
      <c r="AT384" s="6">
        <f>[1]Results!AW116</f>
        <v>659.80812820000006</v>
      </c>
      <c r="AU384" s="6">
        <f>[1]Results!AX116</f>
        <v>655.74230899999998</v>
      </c>
      <c r="AV384" s="6">
        <f>[1]Results!AY116</f>
        <v>651.52181340000004</v>
      </c>
      <c r="AW384" s="6">
        <f>[1]Results!AZ116</f>
        <v>646.8457429</v>
      </c>
      <c r="AX384" s="6">
        <f>[1]Results!BA116</f>
        <v>642.55229350000002</v>
      </c>
      <c r="AY384" s="6">
        <f>[1]Results!BB116</f>
        <v>638.55257819999997</v>
      </c>
      <c r="AZ384" s="6">
        <f>[1]Results!BC116</f>
        <v>634.73752000000002</v>
      </c>
      <c r="BA384" s="6">
        <f>[1]Results!BD116</f>
        <v>631.03533660000005</v>
      </c>
      <c r="BB384" s="6">
        <f>[1]Results!BE116</f>
        <v>627.43126419999999</v>
      </c>
      <c r="BC384" s="6">
        <f>[1]Results!BF116</f>
        <v>623.80247299999996</v>
      </c>
      <c r="BD384" s="6">
        <f>[1]Results!BG116</f>
        <v>620.1914491</v>
      </c>
      <c r="BE384" s="6">
        <f>[1]Results!BH116</f>
        <v>616.59806479999997</v>
      </c>
      <c r="BF384" s="6">
        <f>[1]Results!BI116</f>
        <v>613.02212169999996</v>
      </c>
    </row>
    <row r="385" spans="1:58" x14ac:dyDescent="0.35">
      <c r="B385" t="s">
        <v>62</v>
      </c>
      <c r="C385" s="6">
        <f>[1]Results!F117</f>
        <v>139.85209269999999</v>
      </c>
      <c r="D385" s="6">
        <f>[1]Results!G117</f>
        <v>137.95542620000001</v>
      </c>
      <c r="E385" s="6">
        <f>[1]Results!H117</f>
        <v>136.0868151</v>
      </c>
      <c r="F385" s="6">
        <f>[1]Results!I117</f>
        <v>134.2500221</v>
      </c>
      <c r="G385" s="6">
        <f>[1]Results!J117</f>
        <v>132.44730100000001</v>
      </c>
      <c r="H385" s="6">
        <f>[1]Results!K117</f>
        <v>130.6786276</v>
      </c>
      <c r="I385" s="6">
        <f>[1]Results!L117</f>
        <v>128.94239920000001</v>
      </c>
      <c r="J385" s="6">
        <f>[1]Results!M117</f>
        <v>127.23581470000001</v>
      </c>
      <c r="K385" s="6">
        <f>[1]Results!N117</f>
        <v>125.5558056</v>
      </c>
      <c r="L385" s="6">
        <f>[1]Results!O117</f>
        <v>123.8997037</v>
      </c>
      <c r="M385" s="6">
        <f>[1]Results!P117</f>
        <v>122.26555</v>
      </c>
      <c r="N385" s="6">
        <f>[1]Results!Q117</f>
        <v>120.6520087</v>
      </c>
      <c r="O385" s="6">
        <f>[1]Results!R117</f>
        <v>119.0581193</v>
      </c>
      <c r="P385" s="6">
        <f>[1]Results!S117</f>
        <v>117.4832194</v>
      </c>
      <c r="Q385" s="6">
        <f>[1]Results!T117</f>
        <v>115.9268713</v>
      </c>
      <c r="R385" s="6">
        <f>[1]Results!U117</f>
        <v>114.38879660000001</v>
      </c>
      <c r="S385" s="6">
        <f>[1]Results!V117</f>
        <v>112.8688291</v>
      </c>
      <c r="T385" s="6">
        <f>[1]Results!W117</f>
        <v>111.36688289999999</v>
      </c>
      <c r="U385" s="6">
        <f>[1]Results!X117</f>
        <v>109.88293109999999</v>
      </c>
      <c r="V385" s="6">
        <f>[1]Results!Y117</f>
        <v>108.4169892</v>
      </c>
      <c r="W385" s="6">
        <f>[1]Results!Z117</f>
        <v>106.96906989999999</v>
      </c>
      <c r="X385" s="6">
        <f>[1]Results!AA117</f>
        <v>105.5391838</v>
      </c>
      <c r="Y385" s="6">
        <f>[1]Results!AB117</f>
        <v>104.1273893</v>
      </c>
      <c r="Z385" s="6">
        <f>[1]Results!AC117</f>
        <v>102.73375369999999</v>
      </c>
      <c r="AA385" s="6">
        <f>[1]Results!AD117</f>
        <v>101.35832480000001</v>
      </c>
      <c r="AB385" s="6">
        <f>[1]Results!AE117</f>
        <v>100.0010434</v>
      </c>
      <c r="AC385" s="6">
        <f>[1]Results!AF117</f>
        <v>98.661739859999997</v>
      </c>
      <c r="AD385" s="6">
        <f>[1]Results!AG117</f>
        <v>97.340268559999998</v>
      </c>
      <c r="AE385" s="6">
        <f>[1]Results!AH117</f>
        <v>96.036500689999997</v>
      </c>
      <c r="AF385" s="6">
        <f>[1]Results!AI117</f>
        <v>94.750307169999999</v>
      </c>
      <c r="AG385" s="6">
        <f>[1]Results!AJ117</f>
        <v>93.481543209999998</v>
      </c>
      <c r="AH385" s="6">
        <f>[1]Results!AK117</f>
        <v>92.230042920000002</v>
      </c>
      <c r="AI385" s="6">
        <f>[1]Results!AL117</f>
        <v>90.995615459999996</v>
      </c>
      <c r="AJ385" s="6">
        <f>[1]Results!AM117</f>
        <v>89.778041979999998</v>
      </c>
      <c r="AK385" s="6">
        <f>[1]Results!AN117</f>
        <v>88.577074839999995</v>
      </c>
      <c r="AL385" s="6">
        <f>[1]Results!AO117</f>
        <v>87.392439769999996</v>
      </c>
      <c r="AM385" s="6">
        <f>[1]Results!AP117</f>
        <v>86.2238282</v>
      </c>
      <c r="AN385" s="6">
        <f>[1]Results!AQ117</f>
        <v>85.070898020000001</v>
      </c>
      <c r="AO385" s="6">
        <f>[1]Results!AR117</f>
        <v>83.933300680000002</v>
      </c>
      <c r="AP385" s="6">
        <f>[1]Results!AS117</f>
        <v>82.810697270000006</v>
      </c>
      <c r="AQ385" s="6">
        <f>[1]Results!AT117</f>
        <v>81.702766589999996</v>
      </c>
      <c r="AR385" s="6">
        <f>[1]Results!AU117</f>
        <v>80.609209019999994</v>
      </c>
      <c r="AS385" s="6">
        <f>[1]Results!AV117</f>
        <v>79.529748530000006</v>
      </c>
      <c r="AT385" s="6">
        <f>[1]Results!AW117</f>
        <v>78.464131480000006</v>
      </c>
      <c r="AU385" s="6">
        <f>[1]Results!AX117</f>
        <v>77.412121080000006</v>
      </c>
      <c r="AV385" s="6">
        <f>[1]Results!AY117</f>
        <v>76.373492260000006</v>
      </c>
      <c r="AW385" s="6">
        <f>[1]Results!AZ117</f>
        <v>75.348025930000006</v>
      </c>
      <c r="AX385" s="6">
        <f>[1]Results!BA117</f>
        <v>74.33548906</v>
      </c>
      <c r="AY385" s="6">
        <f>[1]Results!BB117</f>
        <v>73.335748679999995</v>
      </c>
      <c r="AZ385" s="6">
        <f>[1]Results!BC117</f>
        <v>72.348674270000004</v>
      </c>
      <c r="BA385" s="6">
        <f>[1]Results!BD117</f>
        <v>71.374126570000001</v>
      </c>
      <c r="BB385" s="6">
        <f>[1]Results!BE117</f>
        <v>71.569973329999996</v>
      </c>
      <c r="BC385" s="6">
        <f>[1]Results!BF117</f>
        <v>70.642954649999993</v>
      </c>
      <c r="BD385" s="6">
        <f>[1]Results!BG117</f>
        <v>69.727825420000002</v>
      </c>
      <c r="BE385" s="6">
        <f>[1]Results!BH117</f>
        <v>68.824426950000003</v>
      </c>
      <c r="BF385" s="6">
        <f>[1]Results!BI117</f>
        <v>67.932590059999995</v>
      </c>
    </row>
    <row r="386" spans="1:58" x14ac:dyDescent="0.35">
      <c r="B386" t="s">
        <v>63</v>
      </c>
      <c r="C386" s="6">
        <f>[1]Results!F118</f>
        <v>3.874567114</v>
      </c>
      <c r="D386" s="6">
        <f>[1]Results!G118</f>
        <v>3.7242339819999999</v>
      </c>
      <c r="E386" s="6">
        <f>[1]Results!H118</f>
        <v>3.5803045760000001</v>
      </c>
      <c r="F386" s="6">
        <f>[1]Results!I118</f>
        <v>3.4427972160000002</v>
      </c>
      <c r="G386" s="6">
        <f>[1]Results!J118</f>
        <v>3.3116253869999999</v>
      </c>
      <c r="H386" s="6">
        <f>[1]Results!K118</f>
        <v>3.1865472050000001</v>
      </c>
      <c r="I386" s="6">
        <f>[1]Results!L118</f>
        <v>3.0671962060000002</v>
      </c>
      <c r="J386" s="6">
        <f>[1]Results!M118</f>
        <v>2.9531470999999998</v>
      </c>
      <c r="K386" s="6">
        <f>[1]Results!N118</f>
        <v>2.843983218</v>
      </c>
      <c r="L386" s="6">
        <f>[1]Results!O118</f>
        <v>2.7393390050000002</v>
      </c>
      <c r="M386" s="6">
        <f>[1]Results!P118</f>
        <v>2.6389157519999999</v>
      </c>
      <c r="N386" s="6">
        <f>[1]Results!Q118</f>
        <v>2.5424707350000002</v>
      </c>
      <c r="O386" s="6">
        <f>[1]Results!R118</f>
        <v>2.4497966789999999</v>
      </c>
      <c r="P386" s="6">
        <f>[1]Results!S118</f>
        <v>2.3607140210000002</v>
      </c>
      <c r="Q386" s="6">
        <f>[1]Results!T118</f>
        <v>2.2750643959999999</v>
      </c>
      <c r="R386" s="6">
        <f>[1]Results!U118</f>
        <v>2.1927053089999999</v>
      </c>
      <c r="S386" s="6">
        <f>[1]Results!V118</f>
        <v>2.113506288</v>
      </c>
      <c r="T386" s="6">
        <f>[1]Results!W118</f>
        <v>2.0373462839999998</v>
      </c>
      <c r="U386" s="6">
        <f>[1]Results!X118</f>
        <v>1.9641118689999999</v>
      </c>
      <c r="V386" s="6">
        <f>[1]Results!Y118</f>
        <v>1.893695881</v>
      </c>
      <c r="W386" s="6">
        <f>[1]Results!Z118</f>
        <v>1.8259947059999999</v>
      </c>
      <c r="X386" s="6">
        <f>[1]Results!AA118</f>
        <v>1.7609081680000001</v>
      </c>
      <c r="Y386" s="6">
        <f>[1]Results!AB118</f>
        <v>1.6983420170000001</v>
      </c>
      <c r="Z386" s="6">
        <f>[1]Results!AC118</f>
        <v>1.638205935</v>
      </c>
      <c r="AA386" s="6">
        <f>[1]Results!AD118</f>
        <v>1.5804121019999999</v>
      </c>
      <c r="AB386" s="6">
        <f>[1]Results!AE118</f>
        <v>1.5248709760000001</v>
      </c>
      <c r="AC386" s="6">
        <f>[1]Results!AF118</f>
        <v>1.471491307</v>
      </c>
      <c r="AD386" s="6">
        <f>[1]Results!AG118</f>
        <v>1.4201864019999999</v>
      </c>
      <c r="AE386" s="6">
        <f>[1]Results!AH118</f>
        <v>1.370873939</v>
      </c>
      <c r="AF386" s="6">
        <f>[1]Results!AI118</f>
        <v>1.323475202</v>
      </c>
      <c r="AG386" s="6">
        <f>[1]Results!AJ118</f>
        <v>1.2779144229999999</v>
      </c>
      <c r="AH386" s="6">
        <f>[1]Results!AK118</f>
        <v>1.2341184620000001</v>
      </c>
      <c r="AI386" s="6">
        <f>[1]Results!AL118</f>
        <v>1.1920164470000001</v>
      </c>
      <c r="AJ386" s="6">
        <f>[1]Results!AM118</f>
        <v>1.1515395289999999</v>
      </c>
      <c r="AK386" s="6">
        <f>[1]Results!AN118</f>
        <v>1.1126207749999999</v>
      </c>
      <c r="AL386" s="6">
        <f>[1]Results!AO118</f>
        <v>1.075195181</v>
      </c>
      <c r="AM386" s="6">
        <f>[1]Results!AP118</f>
        <v>1.039199301</v>
      </c>
      <c r="AN386" s="6">
        <f>[1]Results!AQ118</f>
        <v>1.0045712040000001</v>
      </c>
      <c r="AO386" s="6">
        <f>[1]Results!AR118</f>
        <v>0.9712513613</v>
      </c>
      <c r="AP386" s="6">
        <f>[1]Results!AS118</f>
        <v>0.93918311990000003</v>
      </c>
      <c r="AQ386" s="6">
        <f>[1]Results!AT118</f>
        <v>0.90831284869999995</v>
      </c>
      <c r="AR386" s="6">
        <f>[1]Results!AU118</f>
        <v>0.8785899116</v>
      </c>
      <c r="AS386" s="6">
        <f>[1]Results!AV118</f>
        <v>0.84996657170000001</v>
      </c>
      <c r="AT386" s="6">
        <f>[1]Results!AW118</f>
        <v>0.82239779710000005</v>
      </c>
      <c r="AU386" s="6">
        <f>[1]Results!AX118</f>
        <v>0.79584096410000005</v>
      </c>
      <c r="AV386" s="6">
        <f>[1]Results!AY118</f>
        <v>0.77025562280000004</v>
      </c>
      <c r="AW386" s="6">
        <f>[1]Results!AZ118</f>
        <v>0.74560335950000001</v>
      </c>
      <c r="AX386" s="6">
        <f>[1]Results!BA118</f>
        <v>0.72184771579999996</v>
      </c>
      <c r="AY386" s="6">
        <f>[1]Results!BB118</f>
        <v>0.69895407170000001</v>
      </c>
      <c r="AZ386" s="6">
        <f>[1]Results!BC118</f>
        <v>0.67688946000000005</v>
      </c>
      <c r="BA386" s="6">
        <f>[1]Results!BD118</f>
        <v>0.65562223539999998</v>
      </c>
      <c r="BB386" s="6">
        <f>[1]Results!BE118</f>
        <v>0.67613615360000001</v>
      </c>
      <c r="BC386" s="6">
        <f>[1]Results!BF118</f>
        <v>0.65614706970000003</v>
      </c>
      <c r="BD386" s="6">
        <f>[1]Results!BG118</f>
        <v>0.6368516139</v>
      </c>
      <c r="BE386" s="6">
        <f>[1]Results!BH118</f>
        <v>0.61822360580000002</v>
      </c>
      <c r="BF386" s="6">
        <f>[1]Results!BI118</f>
        <v>0.6002375418</v>
      </c>
    </row>
    <row r="388" spans="1:58" x14ac:dyDescent="0.35">
      <c r="A388" s="12" t="s">
        <v>92</v>
      </c>
      <c r="B388" s="6" t="str">
        <f>[1]Emissions!A830</f>
        <v>ems_ci_co2_sagr_2</v>
      </c>
      <c r="C388" s="6">
        <f>[1]Emissions!B830</f>
        <v>14.086958360000001</v>
      </c>
      <c r="D388" s="6">
        <f>[1]Emissions!C830</f>
        <v>14.11936914</v>
      </c>
      <c r="E388" s="6">
        <f>[1]Emissions!D830</f>
        <v>14.184914389999999</v>
      </c>
      <c r="F388" s="6">
        <f>[1]Emissions!E830</f>
        <v>14.283964449999999</v>
      </c>
      <c r="G388" s="6">
        <f>[1]Emissions!F830</f>
        <v>14.41610906</v>
      </c>
      <c r="H388" s="6">
        <f>[1]Emissions!G830</f>
        <v>14.57856144</v>
      </c>
      <c r="I388" s="6">
        <f>[1]Emissions!H830</f>
        <v>14.759281980000001</v>
      </c>
      <c r="J388" s="6">
        <f>[1]Emissions!I830</f>
        <v>14.95735552</v>
      </c>
      <c r="K388" s="6">
        <f>[1]Emissions!J830</f>
        <v>15.170207980000001</v>
      </c>
      <c r="L388" s="6">
        <f>[1]Emissions!K830</f>
        <v>15.395271129999999</v>
      </c>
      <c r="M388" s="6">
        <f>[1]Emissions!L830</f>
        <v>15.624412510000001</v>
      </c>
      <c r="N388" s="6">
        <f>[1]Emissions!M830</f>
        <v>15.88222412</v>
      </c>
      <c r="O388" s="6">
        <f>[1]Emissions!N830</f>
        <v>16.152171639999999</v>
      </c>
      <c r="P388" s="6">
        <f>[1]Emissions!O830</f>
        <v>16.43053888</v>
      </c>
      <c r="Q388" s="6">
        <f>[1]Emissions!P830</f>
        <v>16.715683089999999</v>
      </c>
      <c r="R388" s="6">
        <f>[1]Emissions!Q830</f>
        <v>17.006371130000002</v>
      </c>
      <c r="S388" s="6">
        <f>[1]Emissions!R830</f>
        <v>17.30257546</v>
      </c>
      <c r="T388" s="6">
        <f>[1]Emissions!S830</f>
        <v>17.602333770000001</v>
      </c>
      <c r="U388" s="6">
        <f>[1]Emissions!T830</f>
        <v>17.9049142</v>
      </c>
      <c r="V388" s="6">
        <f>[1]Emissions!U830</f>
        <v>18.209914479999998</v>
      </c>
      <c r="W388" s="6">
        <f>[1]Emissions!V830</f>
        <v>18.506618679999999</v>
      </c>
      <c r="X388" s="6">
        <f>[1]Emissions!W830</f>
        <v>18.809674179999998</v>
      </c>
      <c r="Y388" s="6">
        <f>[1]Emissions!X830</f>
        <v>19.116569649999999</v>
      </c>
      <c r="Z388" s="6">
        <f>[1]Emissions!Y830</f>
        <v>19.426800409999998</v>
      </c>
      <c r="AA388" s="6">
        <f>[1]Emissions!Z830</f>
        <v>19.74032171</v>
      </c>
      <c r="AB388" s="6">
        <f>[1]Emissions!AA830</f>
        <v>20.026807359999999</v>
      </c>
      <c r="AC388" s="6">
        <f>[1]Emissions!AB830</f>
        <v>20.31401116</v>
      </c>
      <c r="AD388" s="6">
        <f>[1]Emissions!AC830</f>
        <v>20.601137919999999</v>
      </c>
      <c r="AE388" s="6">
        <f>[1]Emissions!AD830</f>
        <v>20.8889718</v>
      </c>
      <c r="AF388" s="6">
        <f>[1]Emissions!AE830</f>
        <v>21.178590669999998</v>
      </c>
      <c r="AG388" s="6">
        <f>[1]Emissions!AF830</f>
        <v>21.47096067</v>
      </c>
      <c r="AH388" s="6">
        <f>[1]Emissions!AG830</f>
        <v>21.766534329999999</v>
      </c>
      <c r="AI388" s="6">
        <f>[1]Emissions!AH830</f>
        <v>22.066250400000001</v>
      </c>
      <c r="AJ388" s="6">
        <f>[1]Emissions!AI830</f>
        <v>22.370558840000001</v>
      </c>
      <c r="AK388" s="6">
        <f>[1]Emissions!AJ830</f>
        <v>22.679736859999998</v>
      </c>
      <c r="AL388" s="6">
        <f>[1]Emissions!AK830</f>
        <v>22.99396166</v>
      </c>
      <c r="AM388" s="6">
        <f>[1]Emissions!AL830</f>
        <v>23.303013140000001</v>
      </c>
      <c r="AN388" s="6">
        <f>[1]Emissions!AM830</f>
        <v>23.61333252</v>
      </c>
      <c r="AO388" s="6">
        <f>[1]Emissions!AN830</f>
        <v>23.92650905</v>
      </c>
      <c r="AP388" s="6">
        <f>[1]Emissions!AO830</f>
        <v>24.24325151</v>
      </c>
      <c r="AQ388" s="6">
        <f>[1]Emissions!AP830</f>
        <v>24.56404942</v>
      </c>
      <c r="AR388" s="6">
        <f>[1]Emissions!AQ830</f>
        <v>24.888774519999998</v>
      </c>
      <c r="AS388" s="6">
        <f>[1]Emissions!AR830</f>
        <v>25.218324299999999</v>
      </c>
      <c r="AT388" s="6">
        <f>[1]Emissions!AS830</f>
        <v>25.552978790000001</v>
      </c>
      <c r="AU388" s="6">
        <f>[1]Emissions!AT830</f>
        <v>25.89286658</v>
      </c>
      <c r="AV388" s="6">
        <f>[1]Emissions!AU830</f>
        <v>26.2380441</v>
      </c>
      <c r="AW388" s="6">
        <f>[1]Emissions!AV830</f>
        <v>26.587339490000002</v>
      </c>
      <c r="AX388" s="6">
        <f>[1]Emissions!AW830</f>
        <v>26.942635840000001</v>
      </c>
      <c r="AY388" s="6">
        <f>[1]Emissions!AX830</f>
        <v>27.30402496</v>
      </c>
      <c r="AZ388" s="6">
        <f>[1]Emissions!AY830</f>
        <v>27.671346159999999</v>
      </c>
      <c r="BA388" s="6">
        <f>[1]Emissions!AZ830</f>
        <v>28.044407679999999</v>
      </c>
      <c r="BB388" s="6">
        <f>[1]Emissions!BA830</f>
        <v>32.314755179999999</v>
      </c>
      <c r="BC388" s="6">
        <f>[1]Emissions!BB830</f>
        <v>32.851295200000003</v>
      </c>
      <c r="BD388" s="6">
        <f>[1]Emissions!BC830</f>
        <v>33.39604851</v>
      </c>
      <c r="BE388" s="6">
        <f>[1]Emissions!BD830</f>
        <v>33.949292190000001</v>
      </c>
      <c r="BF388" s="6">
        <f>[1]Emissions!BE830</f>
        <v>34.511300030000001</v>
      </c>
    </row>
    <row r="389" spans="1:58" x14ac:dyDescent="0.35">
      <c r="A389" t="s">
        <v>39</v>
      </c>
      <c r="B389" s="6" t="str">
        <f>[1]Emissions!A832</f>
        <v>ems_ci_co2_sfor_2</v>
      </c>
      <c r="C389" s="6">
        <f>[1]Emissions!B832</f>
        <v>0.58055811499999999</v>
      </c>
      <c r="D389" s="6">
        <f>[1]Emissions!C832</f>
        <v>0.58190051779999996</v>
      </c>
      <c r="E389" s="6">
        <f>[1]Emissions!D832</f>
        <v>0.57799062570000004</v>
      </c>
      <c r="F389" s="6">
        <f>[1]Emissions!E832</f>
        <v>0.57453861149999996</v>
      </c>
      <c r="G389" s="6">
        <f>[1]Emissions!F832</f>
        <v>0.57238366549999997</v>
      </c>
      <c r="H389" s="6">
        <f>[1]Emissions!G832</f>
        <v>0.57151829040000002</v>
      </c>
      <c r="I389" s="6">
        <f>[1]Emissions!H832</f>
        <v>0.5715455773</v>
      </c>
      <c r="J389" s="6">
        <f>[1]Emissions!I832</f>
        <v>0.57228250579999995</v>
      </c>
      <c r="K389" s="6">
        <f>[1]Emissions!J832</f>
        <v>0.57349786729999996</v>
      </c>
      <c r="L389" s="6">
        <f>[1]Emissions!K832</f>
        <v>0.57496891500000002</v>
      </c>
      <c r="M389" s="6">
        <f>[1]Emissions!L832</f>
        <v>0.57671641529999995</v>
      </c>
      <c r="N389" s="6">
        <f>[1]Emissions!M832</f>
        <v>0.57908168979999997</v>
      </c>
      <c r="O389" s="6">
        <f>[1]Emissions!N832</f>
        <v>0.58167307150000003</v>
      </c>
      <c r="P389" s="6">
        <f>[1]Emissions!O832</f>
        <v>0.58445407760000001</v>
      </c>
      <c r="Q389" s="6">
        <f>[1]Emissions!P832</f>
        <v>0.58741218529999994</v>
      </c>
      <c r="R389" s="6">
        <f>[1]Emissions!Q832</f>
        <v>0.59052917449999998</v>
      </c>
      <c r="S389" s="6">
        <f>[1]Emissions!R832</f>
        <v>0.59396154229999998</v>
      </c>
      <c r="T389" s="6">
        <f>[1]Emissions!S832</f>
        <v>0.59751012130000003</v>
      </c>
      <c r="U389" s="6">
        <f>[1]Emissions!T832</f>
        <v>0.60115186730000003</v>
      </c>
      <c r="V389" s="6">
        <f>[1]Emissions!U832</f>
        <v>0.60488342269999995</v>
      </c>
      <c r="W389" s="6">
        <f>[1]Emissions!V832</f>
        <v>0.60842354219999994</v>
      </c>
      <c r="X389" s="6">
        <f>[1]Emissions!W832</f>
        <v>0.61218930969999996</v>
      </c>
      <c r="Y389" s="6">
        <f>[1]Emissions!X832</f>
        <v>0.61611142900000004</v>
      </c>
      <c r="Z389" s="6">
        <f>[1]Emissions!Y832</f>
        <v>0.62015496960000005</v>
      </c>
      <c r="AA389" s="6">
        <f>[1]Emissions!Z832</f>
        <v>0.62430727109999995</v>
      </c>
      <c r="AB389" s="6">
        <f>[1]Emissions!AA832</f>
        <v>0.62776669019999998</v>
      </c>
      <c r="AC389" s="6">
        <f>[1]Emissions!AB832</f>
        <v>0.63126787829999997</v>
      </c>
      <c r="AD389" s="6">
        <f>[1]Emissions!AC832</f>
        <v>0.63489005779999996</v>
      </c>
      <c r="AE389" s="6">
        <f>[1]Emissions!AD832</f>
        <v>0.63862587339999999</v>
      </c>
      <c r="AF389" s="6">
        <f>[1]Emissions!AE832</f>
        <v>0.64247095480000005</v>
      </c>
      <c r="AG389" s="6">
        <f>[1]Emissions!AF832</f>
        <v>0.64642720279999999</v>
      </c>
      <c r="AH389" s="6">
        <f>[1]Emissions!AG832</f>
        <v>0.65044709609999996</v>
      </c>
      <c r="AI389" s="6">
        <f>[1]Emissions!AH832</f>
        <v>0.65458982450000003</v>
      </c>
      <c r="AJ389" s="6">
        <f>[1]Emissions!AI832</f>
        <v>0.65886457509999996</v>
      </c>
      <c r="AK389" s="6">
        <f>[1]Emissions!AJ832</f>
        <v>0.66327503389999998</v>
      </c>
      <c r="AL389" s="6">
        <f>[1]Emissions!AK832</f>
        <v>0.66782431019999999</v>
      </c>
      <c r="AM389" s="6">
        <f>[1]Emissions!AL832</f>
        <v>0.67182732820000002</v>
      </c>
      <c r="AN389" s="6">
        <f>[1]Emissions!AM832</f>
        <v>0.67588617299999998</v>
      </c>
      <c r="AO389" s="6">
        <f>[1]Emissions!AN832</f>
        <v>0.68007745379999995</v>
      </c>
      <c r="AP389" s="6">
        <f>[1]Emissions!AO832</f>
        <v>0.68440599160000004</v>
      </c>
      <c r="AQ389" s="6">
        <f>[1]Emissions!AP832</f>
        <v>0.68886806690000002</v>
      </c>
      <c r="AR389" s="6">
        <f>[1]Emissions!AQ832</f>
        <v>0.69337553610000002</v>
      </c>
      <c r="AS389" s="6">
        <f>[1]Emissions!AR832</f>
        <v>0.69801223170000004</v>
      </c>
      <c r="AT389" s="6">
        <f>[1]Emissions!AS832</f>
        <v>0.70278365580000002</v>
      </c>
      <c r="AU389" s="6">
        <f>[1]Emissions!AT832</f>
        <v>0.70768795630000003</v>
      </c>
      <c r="AV389" s="6">
        <f>[1]Emissions!AU832</f>
        <v>0.71272387969999995</v>
      </c>
      <c r="AW389" s="6">
        <f>[1]Emissions!AV832</f>
        <v>0.71760175169999996</v>
      </c>
      <c r="AX389" s="6">
        <f>[1]Emissions!AW832</f>
        <v>0.72261837340000001</v>
      </c>
      <c r="AY389" s="6">
        <f>[1]Emissions!AX832</f>
        <v>0.72779208370000004</v>
      </c>
      <c r="AZ389" s="6">
        <f>[1]Emissions!AY832</f>
        <v>0.73311444309999996</v>
      </c>
      <c r="BA389" s="6">
        <f>[1]Emissions!AZ832</f>
        <v>0.73857924949999998</v>
      </c>
      <c r="BB389" s="6">
        <f>[1]Emissions!BA832</f>
        <v>0.66328333900000003</v>
      </c>
      <c r="BC389" s="6">
        <f>[1]Emissions!BB832</f>
        <v>0.66823135369999997</v>
      </c>
      <c r="BD389" s="6">
        <f>[1]Emissions!BC832</f>
        <v>0.67327790379999997</v>
      </c>
      <c r="BE389" s="6">
        <f>[1]Emissions!BD832</f>
        <v>0.67842593929999995</v>
      </c>
      <c r="BF389" s="6">
        <f>[1]Emissions!BE832</f>
        <v>0.68367935170000005</v>
      </c>
    </row>
    <row r="390" spans="1:58" x14ac:dyDescent="0.35">
      <c r="B390" s="6" t="str">
        <f>[1]Emissions!A834</f>
        <v>ems_ci_co2_sfoo_2</v>
      </c>
      <c r="C390" s="6">
        <f>[1]Emissions!B834</f>
        <v>8.637597542</v>
      </c>
      <c r="D390" s="6">
        <f>[1]Emissions!C834</f>
        <v>8.6516803420000006</v>
      </c>
      <c r="E390" s="6">
        <f>[1]Emissions!D834</f>
        <v>8.6817220259999992</v>
      </c>
      <c r="F390" s="6">
        <f>[1]Emissions!E834</f>
        <v>8.7300432640000007</v>
      </c>
      <c r="G390" s="6">
        <f>[1]Emissions!F834</f>
        <v>8.7986901240000002</v>
      </c>
      <c r="H390" s="6">
        <f>[1]Emissions!G834</f>
        <v>8.8871173199999998</v>
      </c>
      <c r="I390" s="6">
        <f>[1]Emissions!H834</f>
        <v>8.9882074129999996</v>
      </c>
      <c r="J390" s="6">
        <f>[1]Emissions!I834</f>
        <v>9.1012058610000004</v>
      </c>
      <c r="K390" s="6">
        <f>[1]Emissions!J834</f>
        <v>9.2242098400000003</v>
      </c>
      <c r="L390" s="6">
        <f>[1]Emissions!K834</f>
        <v>9.3553468560000006</v>
      </c>
      <c r="M390" s="6">
        <f>[1]Emissions!L834</f>
        <v>9.4911745100000005</v>
      </c>
      <c r="N390" s="6">
        <f>[1]Emissions!M834</f>
        <v>9.6407718659999997</v>
      </c>
      <c r="O390" s="6">
        <f>[1]Emissions!N834</f>
        <v>9.7974633799999999</v>
      </c>
      <c r="P390" s="6">
        <f>[1]Emissions!O834</f>
        <v>9.9596691800000006</v>
      </c>
      <c r="Q390" s="6">
        <f>[1]Emissions!P834</f>
        <v>10.12632088</v>
      </c>
      <c r="R390" s="6">
        <f>[1]Emissions!Q834</f>
        <v>10.29642922</v>
      </c>
      <c r="S390" s="6">
        <f>[1]Emissions!R834</f>
        <v>10.46872284</v>
      </c>
      <c r="T390" s="6">
        <f>[1]Emissions!S834</f>
        <v>10.64268991</v>
      </c>
      <c r="U390" s="6">
        <f>[1]Emissions!T834</f>
        <v>10.817787969999999</v>
      </c>
      <c r="V390" s="6">
        <f>[1]Emissions!U834</f>
        <v>10.99361648</v>
      </c>
      <c r="W390" s="6">
        <f>[1]Emissions!V834</f>
        <v>11.16366779</v>
      </c>
      <c r="X390" s="6">
        <f>[1]Emissions!W834</f>
        <v>11.33630651</v>
      </c>
      <c r="Y390" s="6">
        <f>[1]Emissions!X834</f>
        <v>11.51015518</v>
      </c>
      <c r="Z390" s="6">
        <f>[1]Emissions!Y834</f>
        <v>11.684960670000001</v>
      </c>
      <c r="AA390" s="6">
        <f>[1]Emissions!Z834</f>
        <v>11.860704350000001</v>
      </c>
      <c r="AB390" s="6">
        <f>[1]Emissions!AA834</f>
        <v>12.019420139999999</v>
      </c>
      <c r="AC390" s="6">
        <f>[1]Emissions!AB834</f>
        <v>12.17732309</v>
      </c>
      <c r="AD390" s="6">
        <f>[1]Emissions!AC834</f>
        <v>12.33362866</v>
      </c>
      <c r="AE390" s="6">
        <f>[1]Emissions!AD834</f>
        <v>12.48893634</v>
      </c>
      <c r="AF390" s="6">
        <f>[1]Emissions!AE834</f>
        <v>12.64403695</v>
      </c>
      <c r="AG390" s="6">
        <f>[1]Emissions!AF834</f>
        <v>12.79963414</v>
      </c>
      <c r="AH390" s="6">
        <f>[1]Emissions!AG834</f>
        <v>12.95641092</v>
      </c>
      <c r="AI390" s="6">
        <f>[1]Emissions!AH834</f>
        <v>13.11474372</v>
      </c>
      <c r="AJ390" s="6">
        <f>[1]Emissions!AI834</f>
        <v>13.274957759999999</v>
      </c>
      <c r="AK390" s="6">
        <f>[1]Emissions!AJ834</f>
        <v>13.437292940000001</v>
      </c>
      <c r="AL390" s="6">
        <f>[1]Emissions!AK834</f>
        <v>13.601918489999999</v>
      </c>
      <c r="AM390" s="6">
        <f>[1]Emissions!AL834</f>
        <v>13.76575517</v>
      </c>
      <c r="AN390" s="6">
        <f>[1]Emissions!AM834</f>
        <v>13.929807889999999</v>
      </c>
      <c r="AO390" s="6">
        <f>[1]Emissions!AN834</f>
        <v>14.09474309</v>
      </c>
      <c r="AP390" s="6">
        <f>[1]Emissions!AO834</f>
        <v>14.261043880000001</v>
      </c>
      <c r="AQ390" s="6">
        <f>[1]Emissions!AP834</f>
        <v>14.42908815</v>
      </c>
      <c r="AR390" s="6">
        <f>[1]Emissions!AQ834</f>
        <v>14.59935436</v>
      </c>
      <c r="AS390" s="6">
        <f>[1]Emissions!AR834</f>
        <v>14.77196541</v>
      </c>
      <c r="AT390" s="6">
        <f>[1]Emissions!AS834</f>
        <v>14.947071879999999</v>
      </c>
      <c r="AU390" s="6">
        <f>[1]Emissions!AT834</f>
        <v>15.124771900000001</v>
      </c>
      <c r="AV390" s="6">
        <f>[1]Emissions!AU834</f>
        <v>15.30511482</v>
      </c>
      <c r="AW390" s="6">
        <f>[1]Emissions!AV834</f>
        <v>15.48915502</v>
      </c>
      <c r="AX390" s="6">
        <f>[1]Emissions!AW834</f>
        <v>15.676403820000001</v>
      </c>
      <c r="AY390" s="6">
        <f>[1]Emissions!AX834</f>
        <v>15.86676767</v>
      </c>
      <c r="AZ390" s="6">
        <f>[1]Emissions!AY834</f>
        <v>16.06016769</v>
      </c>
      <c r="BA390" s="6">
        <f>[1]Emissions!AZ834</f>
        <v>16.256506160000001</v>
      </c>
      <c r="BB390" s="6">
        <f>[1]Emissions!BA834</f>
        <v>19.880422360000001</v>
      </c>
      <c r="BC390" s="6">
        <f>[1]Emissions!BB834</f>
        <v>20.200756160000001</v>
      </c>
      <c r="BD390" s="6">
        <f>[1]Emissions!BC834</f>
        <v>20.52564692</v>
      </c>
      <c r="BE390" s="6">
        <f>[1]Emissions!BD834</f>
        <v>20.855267479999998</v>
      </c>
      <c r="BF390" s="6">
        <f>[1]Emissions!BE834</f>
        <v>21.189792629999999</v>
      </c>
    </row>
    <row r="391" spans="1:58" x14ac:dyDescent="0.35">
      <c r="B391" s="6" t="str">
        <f>[1]Emissions!A836</f>
        <v>ems_ci_co2_sveh_2</v>
      </c>
      <c r="C391" s="6">
        <f>[1]Emissions!B836</f>
        <v>1.083133532</v>
      </c>
      <c r="D391" s="6">
        <f>[1]Emissions!C836</f>
        <v>1.073841509</v>
      </c>
      <c r="E391" s="6">
        <f>[1]Emissions!D836</f>
        <v>1.068780909</v>
      </c>
      <c r="F391" s="6">
        <f>[1]Emissions!E836</f>
        <v>1.0673519339999999</v>
      </c>
      <c r="G391" s="6">
        <f>[1]Emissions!F836</f>
        <v>1.0712863100000001</v>
      </c>
      <c r="H391" s="6">
        <f>[1]Emissions!G836</f>
        <v>1.0811412520000001</v>
      </c>
      <c r="I391" s="6">
        <f>[1]Emissions!H836</f>
        <v>1.095301581</v>
      </c>
      <c r="J391" s="6">
        <f>[1]Emissions!I836</f>
        <v>1.1133230869999999</v>
      </c>
      <c r="K391" s="6">
        <f>[1]Emissions!J836</f>
        <v>1.1340997150000001</v>
      </c>
      <c r="L391" s="6">
        <f>[1]Emissions!K836</f>
        <v>1.1565855819999999</v>
      </c>
      <c r="M391" s="6">
        <f>[1]Emissions!L836</f>
        <v>1.1778139700000001</v>
      </c>
      <c r="N391" s="6">
        <f>[1]Emissions!M836</f>
        <v>1.2029335139999999</v>
      </c>
      <c r="O391" s="6">
        <f>[1]Emissions!N836</f>
        <v>1.228943648</v>
      </c>
      <c r="P391" s="6">
        <f>[1]Emissions!O836</f>
        <v>1.2551499310000001</v>
      </c>
      <c r="Q391" s="6">
        <f>[1]Emissions!P836</f>
        <v>1.281017141</v>
      </c>
      <c r="R391" s="6">
        <f>[1]Emissions!Q836</f>
        <v>1.306029331</v>
      </c>
      <c r="S391" s="6">
        <f>[1]Emissions!R836</f>
        <v>1.329568995</v>
      </c>
      <c r="T391" s="6">
        <f>[1]Emissions!S836</f>
        <v>1.351424696</v>
      </c>
      <c r="U391" s="6">
        <f>[1]Emissions!T836</f>
        <v>1.371407418</v>
      </c>
      <c r="V391" s="6">
        <f>[1]Emissions!U836</f>
        <v>1.38944241</v>
      </c>
      <c r="W391" s="6">
        <f>[1]Emissions!V836</f>
        <v>1.404215623</v>
      </c>
      <c r="X391" s="6">
        <f>[1]Emissions!W836</f>
        <v>1.4180369479999999</v>
      </c>
      <c r="Y391" s="6">
        <f>[1]Emissions!X836</f>
        <v>1.430366781</v>
      </c>
      <c r="Z391" s="6">
        <f>[1]Emissions!Y836</f>
        <v>1.441327255</v>
      </c>
      <c r="AA391" s="6">
        <f>[1]Emissions!Z836</f>
        <v>1.451129286</v>
      </c>
      <c r="AB391" s="6">
        <f>[1]Emissions!AA836</f>
        <v>1.4562526339999999</v>
      </c>
      <c r="AC391" s="6">
        <f>[1]Emissions!AB836</f>
        <v>1.4614159840000001</v>
      </c>
      <c r="AD391" s="6">
        <f>[1]Emissions!AC836</f>
        <v>1.4659336519999999</v>
      </c>
      <c r="AE391" s="6">
        <f>[1]Emissions!AD836</f>
        <v>1.4700118689999999</v>
      </c>
      <c r="AF391" s="6">
        <f>[1]Emissions!AE836</f>
        <v>1.473935362</v>
      </c>
      <c r="AG391" s="6">
        <f>[1]Emissions!AF836</f>
        <v>1.4779564329999999</v>
      </c>
      <c r="AH391" s="6">
        <f>[1]Emissions!AG836</f>
        <v>1.482333694</v>
      </c>
      <c r="AI391" s="6">
        <f>[1]Emissions!AH836</f>
        <v>1.4872081399999999</v>
      </c>
      <c r="AJ391" s="6">
        <f>[1]Emissions!AI836</f>
        <v>1.492715461</v>
      </c>
      <c r="AK391" s="6">
        <f>[1]Emissions!AJ836</f>
        <v>1.498955743</v>
      </c>
      <c r="AL391" s="6">
        <f>[1]Emissions!AK836</f>
        <v>1.5059925439999999</v>
      </c>
      <c r="AM391" s="6">
        <f>[1]Emissions!AL836</f>
        <v>1.5134794380000001</v>
      </c>
      <c r="AN391" s="6">
        <f>[1]Emissions!AM836</f>
        <v>1.5216738430000001</v>
      </c>
      <c r="AO391" s="6">
        <f>[1]Emissions!AN836</f>
        <v>1.530675451</v>
      </c>
      <c r="AP391" s="6">
        <f>[1]Emissions!AO836</f>
        <v>1.540517731</v>
      </c>
      <c r="AQ391" s="6">
        <f>[1]Emissions!AP836</f>
        <v>1.5511866160000001</v>
      </c>
      <c r="AR391" s="6">
        <f>[1]Emissions!AQ836</f>
        <v>1.562708816</v>
      </c>
      <c r="AS391" s="6">
        <f>[1]Emissions!AR836</f>
        <v>1.574981296</v>
      </c>
      <c r="AT391" s="6">
        <f>[1]Emissions!AS836</f>
        <v>1.5879463469999999</v>
      </c>
      <c r="AU391" s="6">
        <f>[1]Emissions!AT836</f>
        <v>1.6015471939999999</v>
      </c>
      <c r="AV391" s="6">
        <f>[1]Emissions!AU836</f>
        <v>1.615724581</v>
      </c>
      <c r="AW391" s="6">
        <f>[1]Emissions!AV836</f>
        <v>1.6307366510000001</v>
      </c>
      <c r="AX391" s="6">
        <f>[1]Emissions!AW836</f>
        <v>1.646326033</v>
      </c>
      <c r="AY391" s="6">
        <f>[1]Emissions!AX836</f>
        <v>1.6624475569999999</v>
      </c>
      <c r="AZ391" s="6">
        <f>[1]Emissions!AY836</f>
        <v>1.679058766</v>
      </c>
      <c r="BA391" s="6">
        <f>[1]Emissions!AZ836</f>
        <v>1.6960988829999999</v>
      </c>
      <c r="BB391" s="6">
        <f>[1]Emissions!BA836</f>
        <v>2.502649833</v>
      </c>
      <c r="BC391" s="6">
        <f>[1]Emissions!BB836</f>
        <v>2.5424036750000001</v>
      </c>
      <c r="BD391" s="6">
        <f>[1]Emissions!BC836</f>
        <v>2.5831347830000002</v>
      </c>
      <c r="BE391" s="6">
        <f>[1]Emissions!BD836</f>
        <v>2.6249114059999998</v>
      </c>
      <c r="BF391" s="6">
        <f>[1]Emissions!BE836</f>
        <v>2.6677897210000001</v>
      </c>
    </row>
    <row r="392" spans="1:58" x14ac:dyDescent="0.35">
      <c r="B392" s="6" t="str">
        <f>[1]Emissions!A838</f>
        <v>ems_ci_co2_sgla_2</v>
      </c>
      <c r="C392" s="6">
        <f>[1]Emissions!B838</f>
        <v>7.7180885359999998</v>
      </c>
      <c r="D392" s="6">
        <f>[1]Emissions!C838</f>
        <v>7.759410753</v>
      </c>
      <c r="E392" s="6">
        <f>[1]Emissions!D838</f>
        <v>7.8228849260000004</v>
      </c>
      <c r="F392" s="6">
        <f>[1]Emissions!E838</f>
        <v>7.8999798889999999</v>
      </c>
      <c r="G392" s="6">
        <f>[1]Emissions!F838</f>
        <v>7.9883231920000002</v>
      </c>
      <c r="H392" s="6">
        <f>[1]Emissions!G838</f>
        <v>8.0863352699999993</v>
      </c>
      <c r="I392" s="6">
        <f>[1]Emissions!H838</f>
        <v>8.1884848340000005</v>
      </c>
      <c r="J392" s="6">
        <f>[1]Emissions!I838</f>
        <v>8.2952488970000005</v>
      </c>
      <c r="K392" s="6">
        <f>[1]Emissions!J838</f>
        <v>8.4062009740000008</v>
      </c>
      <c r="L392" s="6">
        <f>[1]Emissions!K838</f>
        <v>8.5208121329999997</v>
      </c>
      <c r="M392" s="6">
        <f>[1]Emissions!L838</f>
        <v>8.6355983649999999</v>
      </c>
      <c r="N392" s="6">
        <f>[1]Emissions!M838</f>
        <v>8.7625923290000003</v>
      </c>
      <c r="O392" s="6">
        <f>[1]Emissions!N838</f>
        <v>8.894888109</v>
      </c>
      <c r="P392" s="6">
        <f>[1]Emissions!O838</f>
        <v>9.0308438679999998</v>
      </c>
      <c r="Q392" s="6">
        <f>[1]Emissions!P838</f>
        <v>9.1698128160000003</v>
      </c>
      <c r="R392" s="6">
        <f>[1]Emissions!Q838</f>
        <v>9.3114292630000008</v>
      </c>
      <c r="S392" s="6">
        <f>[1]Emissions!R838</f>
        <v>9.4550350440000006</v>
      </c>
      <c r="T392" s="6">
        <f>[1]Emissions!S838</f>
        <v>9.6007642289999993</v>
      </c>
      <c r="U392" s="6">
        <f>[1]Emissions!T838</f>
        <v>9.7486028810000001</v>
      </c>
      <c r="V392" s="6">
        <f>[1]Emissions!U838</f>
        <v>9.8985521169999995</v>
      </c>
      <c r="W392" s="6">
        <f>[1]Emissions!V838</f>
        <v>10.04564877</v>
      </c>
      <c r="X392" s="6">
        <f>[1]Emissions!W838</f>
        <v>10.19703165</v>
      </c>
      <c r="Y392" s="6">
        <f>[1]Emissions!X838</f>
        <v>10.351477859999999</v>
      </c>
      <c r="Z392" s="6">
        <f>[1]Emissions!Y838</f>
        <v>10.50873322</v>
      </c>
      <c r="AA392" s="6">
        <f>[1]Emissions!Z838</f>
        <v>10.66876581</v>
      </c>
      <c r="AB392" s="6">
        <f>[1]Emissions!AA838</f>
        <v>10.81723635</v>
      </c>
      <c r="AC392" s="6">
        <f>[1]Emissions!AB838</f>
        <v>10.96787061</v>
      </c>
      <c r="AD392" s="6">
        <f>[1]Emissions!AC838</f>
        <v>11.119617440000001</v>
      </c>
      <c r="AE392" s="6">
        <f>[1]Emissions!AD838</f>
        <v>11.272549209999999</v>
      </c>
      <c r="AF392" s="6">
        <f>[1]Emissions!AE838</f>
        <v>11.42692452</v>
      </c>
      <c r="AG392" s="6">
        <f>[1]Emissions!AF838</f>
        <v>11.58298746</v>
      </c>
      <c r="AH392" s="6">
        <f>[1]Emissions!AG838</f>
        <v>11.741053539999999</v>
      </c>
      <c r="AI392" s="6">
        <f>[1]Emissions!AH838</f>
        <v>11.90116971</v>
      </c>
      <c r="AJ392" s="6">
        <f>[1]Emissions!AI838</f>
        <v>12.06338766</v>
      </c>
      <c r="AK392" s="6">
        <f>[1]Emissions!AJ838</f>
        <v>12.227719159999999</v>
      </c>
      <c r="AL392" s="6">
        <f>[1]Emissions!AK838</f>
        <v>12.394139389999999</v>
      </c>
      <c r="AM392" s="6">
        <f>[1]Emissions!AL838</f>
        <v>12.56037456</v>
      </c>
      <c r="AN392" s="6">
        <f>[1]Emissions!AM838</f>
        <v>12.72698263</v>
      </c>
      <c r="AO392" s="6">
        <f>[1]Emissions!AN838</f>
        <v>12.89427384</v>
      </c>
      <c r="AP392" s="6">
        <f>[1]Emissions!AO838</f>
        <v>13.062419950000001</v>
      </c>
      <c r="AQ392" s="6">
        <f>[1]Emissions!AP838</f>
        <v>13.23152546</v>
      </c>
      <c r="AR392" s="6">
        <f>[1]Emissions!AQ838</f>
        <v>13.40186714</v>
      </c>
      <c r="AS392" s="6">
        <f>[1]Emissions!AR838</f>
        <v>13.57337003</v>
      </c>
      <c r="AT392" s="6">
        <f>[1]Emissions!AS838</f>
        <v>13.746042149999999</v>
      </c>
      <c r="AU392" s="6">
        <f>[1]Emissions!AT838</f>
        <v>13.91988972</v>
      </c>
      <c r="AV392" s="6">
        <f>[1]Emissions!AU838</f>
        <v>14.09490768</v>
      </c>
      <c r="AW392" s="6">
        <f>[1]Emissions!AV838</f>
        <v>14.27213562</v>
      </c>
      <c r="AX392" s="6">
        <f>[1]Emissions!AW838</f>
        <v>14.450998630000001</v>
      </c>
      <c r="AY392" s="6">
        <f>[1]Emissions!AX838</f>
        <v>14.631355689999999</v>
      </c>
      <c r="AZ392" s="6">
        <f>[1]Emissions!AY838</f>
        <v>14.81313587</v>
      </c>
      <c r="BA392" s="6">
        <f>[1]Emissions!AZ838</f>
        <v>14.99628594</v>
      </c>
      <c r="BB392" s="6">
        <f>[1]Emissions!BA838</f>
        <v>18.902690150000002</v>
      </c>
      <c r="BC392" s="6">
        <f>[1]Emissions!BB838</f>
        <v>19.241249150000002</v>
      </c>
      <c r="BD392" s="6">
        <f>[1]Emissions!BC838</f>
        <v>19.583814780000001</v>
      </c>
      <c r="BE392" s="6">
        <f>[1]Emissions!BD838</f>
        <v>19.930375250000001</v>
      </c>
      <c r="BF392" s="6">
        <f>[1]Emissions!BE838</f>
        <v>20.28092526</v>
      </c>
    </row>
    <row r="393" spans="1:58" x14ac:dyDescent="0.35">
      <c r="B393" s="6" t="str">
        <f>[1]Emissions!A840</f>
        <v>ems_ci_co2_spap_2</v>
      </c>
      <c r="C393" s="6">
        <f>[1]Emissions!B840</f>
        <v>2.501478471</v>
      </c>
      <c r="D393" s="6">
        <f>[1]Emissions!C840</f>
        <v>2.510049719</v>
      </c>
      <c r="E393" s="6">
        <f>[1]Emissions!D840</f>
        <v>2.5288050040000001</v>
      </c>
      <c r="F393" s="6">
        <f>[1]Emissions!E840</f>
        <v>2.5527094510000001</v>
      </c>
      <c r="G393" s="6">
        <f>[1]Emissions!F840</f>
        <v>2.580582927</v>
      </c>
      <c r="H393" s="6">
        <f>[1]Emissions!G840</f>
        <v>2.6117635350000001</v>
      </c>
      <c r="I393" s="6">
        <f>[1]Emissions!H840</f>
        <v>2.643916097</v>
      </c>
      <c r="J393" s="6">
        <f>[1]Emissions!I840</f>
        <v>2.6776028549999999</v>
      </c>
      <c r="K393" s="6">
        <f>[1]Emissions!J840</f>
        <v>2.7126562029999999</v>
      </c>
      <c r="L393" s="6">
        <f>[1]Emissions!K840</f>
        <v>2.7488155399999998</v>
      </c>
      <c r="M393" s="6">
        <f>[1]Emissions!L840</f>
        <v>2.7838939119999999</v>
      </c>
      <c r="N393" s="6">
        <f>[1]Emissions!M840</f>
        <v>2.8245603240000001</v>
      </c>
      <c r="O393" s="6">
        <f>[1]Emissions!N840</f>
        <v>2.866758999</v>
      </c>
      <c r="P393" s="6">
        <f>[1]Emissions!O840</f>
        <v>2.909723965</v>
      </c>
      <c r="Q393" s="6">
        <f>[1]Emissions!P840</f>
        <v>2.953232002</v>
      </c>
      <c r="R393" s="6">
        <f>[1]Emissions!Q840</f>
        <v>2.997171195</v>
      </c>
      <c r="S393" s="6">
        <f>[1]Emissions!R840</f>
        <v>3.0412403979999998</v>
      </c>
      <c r="T393" s="6">
        <f>[1]Emissions!S840</f>
        <v>3.085559978</v>
      </c>
      <c r="U393" s="6">
        <f>[1]Emissions!T840</f>
        <v>3.130131746</v>
      </c>
      <c r="V393" s="6">
        <f>[1]Emissions!U840</f>
        <v>3.1749539090000001</v>
      </c>
      <c r="W393" s="6">
        <f>[1]Emissions!V840</f>
        <v>3.217926335</v>
      </c>
      <c r="X393" s="6">
        <f>[1]Emissions!W840</f>
        <v>3.2624655649999998</v>
      </c>
      <c r="Y393" s="6">
        <f>[1]Emissions!X840</f>
        <v>3.307658644</v>
      </c>
      <c r="Z393" s="6">
        <f>[1]Emissions!Y840</f>
        <v>3.3533508919999999</v>
      </c>
      <c r="AA393" s="6">
        <f>[1]Emissions!Z840</f>
        <v>3.3995372740000001</v>
      </c>
      <c r="AB393" s="6">
        <f>[1]Emissions!AA840</f>
        <v>3.4401956459999998</v>
      </c>
      <c r="AC393" s="6">
        <f>[1]Emissions!AB840</f>
        <v>3.4823096570000001</v>
      </c>
      <c r="AD393" s="6">
        <f>[1]Emissions!AC840</f>
        <v>3.5248327929999999</v>
      </c>
      <c r="AE393" s="6">
        <f>[1]Emissions!AD840</f>
        <v>3.5676817779999999</v>
      </c>
      <c r="AF393" s="6">
        <f>[1]Emissions!AE840</f>
        <v>3.61094435</v>
      </c>
      <c r="AG393" s="6">
        <f>[1]Emissions!AF840</f>
        <v>3.654720685</v>
      </c>
      <c r="AH393" s="6">
        <f>[1]Emissions!AG840</f>
        <v>3.6991600450000002</v>
      </c>
      <c r="AI393" s="6">
        <f>[1]Emissions!AH840</f>
        <v>3.7442709270000001</v>
      </c>
      <c r="AJ393" s="6">
        <f>[1]Emissions!AI840</f>
        <v>3.7900819120000002</v>
      </c>
      <c r="AK393" s="6">
        <f>[1]Emissions!AJ840</f>
        <v>3.8366109989999999</v>
      </c>
      <c r="AL393" s="6">
        <f>[1]Emissions!AK840</f>
        <v>3.8838647979999998</v>
      </c>
      <c r="AM393" s="6">
        <f>[1]Emissions!AL840</f>
        <v>3.9310514909999998</v>
      </c>
      <c r="AN393" s="6">
        <f>[1]Emissions!AM840</f>
        <v>3.9785460349999999</v>
      </c>
      <c r="AO393" s="6">
        <f>[1]Emissions!AN840</f>
        <v>4.026486953</v>
      </c>
      <c r="AP393" s="6">
        <f>[1]Emissions!AO840</f>
        <v>4.0749413859999999</v>
      </c>
      <c r="AQ393" s="6">
        <f>[1]Emissions!AP840</f>
        <v>4.1239538769999999</v>
      </c>
      <c r="AR393" s="6">
        <f>[1]Emissions!AQ840</f>
        <v>4.1736684200000003</v>
      </c>
      <c r="AS393" s="6">
        <f>[1]Emissions!AR840</f>
        <v>4.2240311909999999</v>
      </c>
      <c r="AT393" s="6">
        <f>[1]Emissions!AS840</f>
        <v>4.27504537</v>
      </c>
      <c r="AU393" s="6">
        <f>[1]Emissions!AT840</f>
        <v>4.3267159059999996</v>
      </c>
      <c r="AV393" s="6">
        <f>[1]Emissions!AU840</f>
        <v>4.3790427579999998</v>
      </c>
      <c r="AW393" s="6">
        <f>[1]Emissions!AV840</f>
        <v>4.4325463049999998</v>
      </c>
      <c r="AX393" s="6">
        <f>[1]Emissions!AW840</f>
        <v>4.4868622650000001</v>
      </c>
      <c r="AY393" s="6">
        <f>[1]Emissions!AX840</f>
        <v>4.5419144200000003</v>
      </c>
      <c r="AZ393" s="6">
        <f>[1]Emissions!AY840</f>
        <v>4.5976718119999997</v>
      </c>
      <c r="BA393" s="6">
        <f>[1]Emissions!AZ840</f>
        <v>4.6541122259999996</v>
      </c>
      <c r="BB393" s="6">
        <f>[1]Emissions!BA840</f>
        <v>5.7686918350000003</v>
      </c>
      <c r="BC393" s="6">
        <f>[1]Emissions!BB840</f>
        <v>5.8662594649999997</v>
      </c>
      <c r="BD393" s="6">
        <f>[1]Emissions!BC840</f>
        <v>5.9654531390000001</v>
      </c>
      <c r="BE393" s="6">
        <f>[1]Emissions!BD840</f>
        <v>6.0663068249999998</v>
      </c>
      <c r="BF393" s="6">
        <f>[1]Emissions!BE840</f>
        <v>6.1688547480000002</v>
      </c>
    </row>
    <row r="394" spans="1:58" x14ac:dyDescent="0.35">
      <c r="B394" s="6" t="str">
        <f>[1]Emissions!A842</f>
        <v>ems_ci_co2_sche_2</v>
      </c>
      <c r="C394" s="6">
        <f>[1]Emissions!B842</f>
        <v>13.23538132</v>
      </c>
      <c r="D394" s="6">
        <f>[1]Emissions!C842</f>
        <v>13.29816973</v>
      </c>
      <c r="E394" s="6">
        <f>[1]Emissions!D842</f>
        <v>13.424616220000001</v>
      </c>
      <c r="F394" s="6">
        <f>[1]Emissions!E842</f>
        <v>13.574341970000001</v>
      </c>
      <c r="G394" s="6">
        <f>[1]Emissions!F842</f>
        <v>13.739790230000001</v>
      </c>
      <c r="H394" s="6">
        <f>[1]Emissions!G842</f>
        <v>13.91779824</v>
      </c>
      <c r="I394" s="6">
        <f>[1]Emissions!H842</f>
        <v>14.095008460000001</v>
      </c>
      <c r="J394" s="6">
        <f>[1]Emissions!I842</f>
        <v>14.277239059999999</v>
      </c>
      <c r="K394" s="6">
        <f>[1]Emissions!J842</f>
        <v>14.4640115</v>
      </c>
      <c r="L394" s="6">
        <f>[1]Emissions!K842</f>
        <v>14.65413766</v>
      </c>
      <c r="M394" s="6">
        <f>[1]Emissions!L842</f>
        <v>14.83024516</v>
      </c>
      <c r="N394" s="6">
        <f>[1]Emissions!M842</f>
        <v>15.044255769999999</v>
      </c>
      <c r="O394" s="6">
        <f>[1]Emissions!N842</f>
        <v>15.26501721</v>
      </c>
      <c r="P394" s="6">
        <f>[1]Emissions!O842</f>
        <v>15.487565500000001</v>
      </c>
      <c r="Q394" s="6">
        <f>[1]Emissions!P842</f>
        <v>15.710871579999999</v>
      </c>
      <c r="R394" s="6">
        <f>[1]Emissions!Q842</f>
        <v>15.934624700000001</v>
      </c>
      <c r="S394" s="6">
        <f>[1]Emissions!R842</f>
        <v>16.157148729999999</v>
      </c>
      <c r="T394" s="6">
        <f>[1]Emissions!S842</f>
        <v>16.379763830000002</v>
      </c>
      <c r="U394" s="6">
        <f>[1]Emissions!T842</f>
        <v>16.602780469999999</v>
      </c>
      <c r="V394" s="6">
        <f>[1]Emissions!U842</f>
        <v>16.82643783</v>
      </c>
      <c r="W394" s="6">
        <f>[1]Emissions!V842</f>
        <v>17.038166870000001</v>
      </c>
      <c r="X394" s="6">
        <f>[1]Emissions!W842</f>
        <v>17.26075647</v>
      </c>
      <c r="Y394" s="6">
        <f>[1]Emissions!X842</f>
        <v>17.486704419999999</v>
      </c>
      <c r="Z394" s="6">
        <f>[1]Emissions!Y842</f>
        <v>17.715157909999999</v>
      </c>
      <c r="AA394" s="6">
        <f>[1]Emissions!Z842</f>
        <v>17.946251050000001</v>
      </c>
      <c r="AB394" s="6">
        <f>[1]Emissions!AA842</f>
        <v>18.143543430000001</v>
      </c>
      <c r="AC394" s="6">
        <f>[1]Emissions!AB842</f>
        <v>18.354776380000001</v>
      </c>
      <c r="AD394" s="6">
        <f>[1]Emissions!AC842</f>
        <v>18.569928390000001</v>
      </c>
      <c r="AE394" s="6">
        <f>[1]Emissions!AD842</f>
        <v>18.78802619</v>
      </c>
      <c r="AF394" s="6">
        <f>[1]Emissions!AE842</f>
        <v>19.009365119999998</v>
      </c>
      <c r="AG394" s="6">
        <f>[1]Emissions!AF842</f>
        <v>19.234339569999999</v>
      </c>
      <c r="AH394" s="6">
        <f>[1]Emissions!AG842</f>
        <v>19.463727859999999</v>
      </c>
      <c r="AI394" s="6">
        <f>[1]Emissions!AH842</f>
        <v>19.69735442</v>
      </c>
      <c r="AJ394" s="6">
        <f>[1]Emissions!AI842</f>
        <v>19.93527302</v>
      </c>
      <c r="AK394" s="6">
        <f>[1]Emissions!AJ842</f>
        <v>20.177502799999999</v>
      </c>
      <c r="AL394" s="6">
        <f>[1]Emissions!AK842</f>
        <v>20.424011180000001</v>
      </c>
      <c r="AM394" s="6">
        <f>[1]Emissions!AL842</f>
        <v>20.67046981</v>
      </c>
      <c r="AN394" s="6">
        <f>[1]Emissions!AM842</f>
        <v>20.919561720000001</v>
      </c>
      <c r="AO394" s="6">
        <f>[1]Emissions!AN842</f>
        <v>21.171866219999998</v>
      </c>
      <c r="AP394" s="6">
        <f>[1]Emissions!AO842</f>
        <v>21.42756176</v>
      </c>
      <c r="AQ394" s="6">
        <f>[1]Emissions!AP842</f>
        <v>21.686734220000002</v>
      </c>
      <c r="AR394" s="6">
        <f>[1]Emissions!AQ842</f>
        <v>21.950191319999998</v>
      </c>
      <c r="AS394" s="6">
        <f>[1]Emissions!AR842</f>
        <v>22.217352389999999</v>
      </c>
      <c r="AT394" s="6">
        <f>[1]Emissions!AS842</f>
        <v>22.48813431</v>
      </c>
      <c r="AU394" s="6">
        <f>[1]Emissions!AT842</f>
        <v>22.762499170000002</v>
      </c>
      <c r="AV394" s="6">
        <f>[1]Emissions!AU842</f>
        <v>23.040400040000002</v>
      </c>
      <c r="AW394" s="6">
        <f>[1]Emissions!AV842</f>
        <v>23.325276689999999</v>
      </c>
      <c r="AX394" s="6">
        <f>[1]Emissions!AW842</f>
        <v>23.61433448</v>
      </c>
      <c r="AY394" s="6">
        <f>[1]Emissions!AX842</f>
        <v>23.907111910000001</v>
      </c>
      <c r="AZ394" s="6">
        <f>[1]Emissions!AY842</f>
        <v>24.20346524</v>
      </c>
      <c r="BA394" s="6">
        <f>[1]Emissions!AZ842</f>
        <v>24.503301990000001</v>
      </c>
      <c r="BB394" s="6">
        <f>[1]Emissions!BA842</f>
        <v>30.561713749999999</v>
      </c>
      <c r="BC394" s="6">
        <f>[1]Emissions!BB842</f>
        <v>31.087305239999999</v>
      </c>
      <c r="BD394" s="6">
        <f>[1]Emissions!BC842</f>
        <v>31.622493739999999</v>
      </c>
      <c r="BE394" s="6">
        <f>[1]Emissions!BD842</f>
        <v>32.167449670000003</v>
      </c>
      <c r="BF394" s="6">
        <f>[1]Emissions!BE842</f>
        <v>32.722338440000001</v>
      </c>
    </row>
    <row r="395" spans="1:58" x14ac:dyDescent="0.35">
      <c r="B395" s="6" t="str">
        <f>[1]Emissions!A844</f>
        <v>ems_ci_co2_spla_2</v>
      </c>
      <c r="C395" s="6">
        <f>[1]Emissions!B844</f>
        <v>1.4661717990000001</v>
      </c>
      <c r="D395" s="6">
        <f>[1]Emissions!C844</f>
        <v>1.470208001</v>
      </c>
      <c r="E395" s="6">
        <f>[1]Emissions!D844</f>
        <v>1.480896322</v>
      </c>
      <c r="F395" s="6">
        <f>[1]Emissions!E844</f>
        <v>1.4944467770000001</v>
      </c>
      <c r="G395" s="6">
        <f>[1]Emissions!F844</f>
        <v>1.5102561430000001</v>
      </c>
      <c r="H395" s="6">
        <f>[1]Emissions!G844</f>
        <v>1.5280759150000001</v>
      </c>
      <c r="I395" s="6">
        <f>[1]Emissions!H844</f>
        <v>1.5465369920000001</v>
      </c>
      <c r="J395" s="6">
        <f>[1]Emissions!I844</f>
        <v>1.566021661</v>
      </c>
      <c r="K395" s="6">
        <f>[1]Emissions!J844</f>
        <v>1.5863741609999999</v>
      </c>
      <c r="L395" s="6">
        <f>[1]Emissions!K844</f>
        <v>1.607369866</v>
      </c>
      <c r="M395" s="6">
        <f>[1]Emissions!L844</f>
        <v>1.627141516</v>
      </c>
      <c r="N395" s="6">
        <f>[1]Emissions!M844</f>
        <v>1.6508226349999999</v>
      </c>
      <c r="O395" s="6">
        <f>[1]Emissions!N844</f>
        <v>1.675446499</v>
      </c>
      <c r="P395" s="6">
        <f>[1]Emissions!O844</f>
        <v>1.700428372</v>
      </c>
      <c r="Q395" s="6">
        <f>[1]Emissions!P844</f>
        <v>1.7255951890000001</v>
      </c>
      <c r="R395" s="6">
        <f>[1]Emissions!Q844</f>
        <v>1.7508585729999999</v>
      </c>
      <c r="S395" s="6">
        <f>[1]Emissions!R844</f>
        <v>1.776001406</v>
      </c>
      <c r="T395" s="6">
        <f>[1]Emissions!S844</f>
        <v>1.801111788</v>
      </c>
      <c r="U395" s="6">
        <f>[1]Emissions!T844</f>
        <v>1.8261972909999999</v>
      </c>
      <c r="V395" s="6">
        <f>[1]Emissions!U844</f>
        <v>1.8512674339999999</v>
      </c>
      <c r="W395" s="6">
        <f>[1]Emissions!V844</f>
        <v>1.8750598430000001</v>
      </c>
      <c r="X395" s="6">
        <f>[1]Emissions!W844</f>
        <v>1.8997322219999999</v>
      </c>
      <c r="Y395" s="6">
        <f>[1]Emissions!X844</f>
        <v>1.9246797040000001</v>
      </c>
      <c r="Z395" s="6">
        <f>[1]Emissions!Y844</f>
        <v>1.949823512</v>
      </c>
      <c r="AA395" s="6">
        <f>[1]Emissions!Z844</f>
        <v>1.9751833029999999</v>
      </c>
      <c r="AB395" s="6">
        <f>[1]Emissions!AA844</f>
        <v>1.99713067</v>
      </c>
      <c r="AC395" s="6">
        <f>[1]Emissions!AB844</f>
        <v>2.0201032510000001</v>
      </c>
      <c r="AD395" s="6">
        <f>[1]Emissions!AC844</f>
        <v>2.043353588</v>
      </c>
      <c r="AE395" s="6">
        <f>[1]Emissions!AD844</f>
        <v>2.0668160000000002</v>
      </c>
      <c r="AF395" s="6">
        <f>[1]Emissions!AE844</f>
        <v>2.0905420609999998</v>
      </c>
      <c r="AG395" s="6">
        <f>[1]Emissions!AF844</f>
        <v>2.1145934510000002</v>
      </c>
      <c r="AH395" s="6">
        <f>[1]Emissions!AG844</f>
        <v>2.139069117</v>
      </c>
      <c r="AI395" s="6">
        <f>[1]Emissions!AH844</f>
        <v>2.163971815</v>
      </c>
      <c r="AJ395" s="6">
        <f>[1]Emissions!AI844</f>
        <v>2.1893210669999998</v>
      </c>
      <c r="AK395" s="6">
        <f>[1]Emissions!AJ844</f>
        <v>2.2151292809999998</v>
      </c>
      <c r="AL395" s="6">
        <f>[1]Emissions!AK844</f>
        <v>2.2413998550000001</v>
      </c>
      <c r="AM395" s="6">
        <f>[1]Emissions!AL844</f>
        <v>2.2677132270000002</v>
      </c>
      <c r="AN395" s="6">
        <f>[1]Emissions!AM844</f>
        <v>2.294279527</v>
      </c>
      <c r="AO395" s="6">
        <f>[1]Emissions!AN844</f>
        <v>2.3211670820000001</v>
      </c>
      <c r="AP395" s="6">
        <f>[1]Emissions!AO844</f>
        <v>2.348401924</v>
      </c>
      <c r="AQ395" s="6">
        <f>[1]Emissions!AP844</f>
        <v>2.3759943020000001</v>
      </c>
      <c r="AR395" s="6">
        <f>[1]Emissions!AQ844</f>
        <v>2.4040231759999999</v>
      </c>
      <c r="AS395" s="6">
        <f>[1]Emissions!AR844</f>
        <v>2.4324312699999999</v>
      </c>
      <c r="AT395" s="6">
        <f>[1]Emissions!AS844</f>
        <v>2.4612061679999999</v>
      </c>
      <c r="AU395" s="6">
        <f>[1]Emissions!AT844</f>
        <v>2.4903400050000002</v>
      </c>
      <c r="AV395" s="6">
        <f>[1]Emissions!AU844</f>
        <v>2.519823707</v>
      </c>
      <c r="AW395" s="6">
        <f>[1]Emissions!AV844</f>
        <v>2.5499968850000001</v>
      </c>
      <c r="AX395" s="6">
        <f>[1]Emissions!AW844</f>
        <v>2.5806010540000002</v>
      </c>
      <c r="AY395" s="6">
        <f>[1]Emissions!AX844</f>
        <v>2.6115859870000002</v>
      </c>
      <c r="AZ395" s="6">
        <f>[1]Emissions!AY844</f>
        <v>2.6429328999999999</v>
      </c>
      <c r="BA395" s="6">
        <f>[1]Emissions!AZ844</f>
        <v>2.6746266040000002</v>
      </c>
      <c r="BB395" s="6">
        <f>[1]Emissions!BA844</f>
        <v>3.4308599389999999</v>
      </c>
      <c r="BC395" s="6">
        <f>[1]Emissions!BB844</f>
        <v>3.489882326</v>
      </c>
      <c r="BD395" s="6">
        <f>[1]Emissions!BC844</f>
        <v>3.5498856779999999</v>
      </c>
      <c r="BE395" s="6">
        <f>[1]Emissions!BD844</f>
        <v>3.6108895250000002</v>
      </c>
      <c r="BF395" s="6">
        <f>[1]Emissions!BE844</f>
        <v>3.6729123210000001</v>
      </c>
    </row>
    <row r="396" spans="1:58" x14ac:dyDescent="0.35">
      <c r="B396" s="6" t="str">
        <f>[1]Emissions!A846</f>
        <v>ems_ci_co2_smet_2</v>
      </c>
      <c r="C396" s="6">
        <f>[1]Emissions!B846</f>
        <v>19.235773900000002</v>
      </c>
      <c r="D396" s="6">
        <f>[1]Emissions!C846</f>
        <v>19.328130229999999</v>
      </c>
      <c r="E396" s="6">
        <f>[1]Emissions!D846</f>
        <v>19.516894950000001</v>
      </c>
      <c r="F396" s="6">
        <f>[1]Emissions!E846</f>
        <v>19.73743314</v>
      </c>
      <c r="G396" s="6">
        <f>[1]Emissions!F846</f>
        <v>19.974615230000001</v>
      </c>
      <c r="H396" s="6">
        <f>[1]Emissions!G846</f>
        <v>20.224070449999999</v>
      </c>
      <c r="I396" s="6">
        <f>[1]Emissions!H846</f>
        <v>20.470271700000001</v>
      </c>
      <c r="J396" s="6">
        <f>[1]Emissions!I846</f>
        <v>20.72129005</v>
      </c>
      <c r="K396" s="6">
        <f>[1]Emissions!J846</f>
        <v>20.978288989999999</v>
      </c>
      <c r="L396" s="6">
        <f>[1]Emissions!K846</f>
        <v>21.24088253</v>
      </c>
      <c r="M396" s="6">
        <f>[1]Emissions!L846</f>
        <v>21.48650524</v>
      </c>
      <c r="N396" s="6">
        <f>[1]Emissions!M846</f>
        <v>21.78347655</v>
      </c>
      <c r="O396" s="6">
        <f>[1]Emissions!N846</f>
        <v>22.09405542</v>
      </c>
      <c r="P396" s="6">
        <f>[1]Emissions!O846</f>
        <v>22.41042504</v>
      </c>
      <c r="Q396" s="6">
        <f>[1]Emissions!P846</f>
        <v>22.730731810000002</v>
      </c>
      <c r="R396" s="6">
        <f>[1]Emissions!Q846</f>
        <v>23.05447032</v>
      </c>
      <c r="S396" s="6">
        <f>[1]Emissions!R846</f>
        <v>23.37954491</v>
      </c>
      <c r="T396" s="6">
        <f>[1]Emissions!S846</f>
        <v>23.70765076</v>
      </c>
      <c r="U396" s="6">
        <f>[1]Emissions!T846</f>
        <v>24.03923657</v>
      </c>
      <c r="V396" s="6">
        <f>[1]Emissions!U846</f>
        <v>24.37455829</v>
      </c>
      <c r="W396" s="6">
        <f>[1]Emissions!V846</f>
        <v>24.697596269999998</v>
      </c>
      <c r="X396" s="6">
        <f>[1]Emissions!W846</f>
        <v>25.03580479</v>
      </c>
      <c r="Y396" s="6">
        <f>[1]Emissions!X846</f>
        <v>25.38124041</v>
      </c>
      <c r="Z396" s="6">
        <f>[1]Emissions!Y846</f>
        <v>25.732446960000001</v>
      </c>
      <c r="AA396" s="6">
        <f>[1]Emissions!Z846</f>
        <v>26.089325949999999</v>
      </c>
      <c r="AB396" s="6">
        <f>[1]Emissions!AA846</f>
        <v>26.405441280000002</v>
      </c>
      <c r="AC396" s="6">
        <f>[1]Emissions!AB846</f>
        <v>26.73753215</v>
      </c>
      <c r="AD396" s="6">
        <f>[1]Emissions!AC846</f>
        <v>27.075849059999999</v>
      </c>
      <c r="AE396" s="6">
        <f>[1]Emissions!AD846</f>
        <v>27.418846510000002</v>
      </c>
      <c r="AF396" s="6">
        <f>[1]Emissions!AE846</f>
        <v>27.766602580000001</v>
      </c>
      <c r="AG396" s="6">
        <f>[1]Emissions!AF846</f>
        <v>28.119439759999999</v>
      </c>
      <c r="AH396" s="6">
        <f>[1]Emissions!AG846</f>
        <v>28.478234350000001</v>
      </c>
      <c r="AI396" s="6">
        <f>[1]Emissions!AH846</f>
        <v>28.84268982</v>
      </c>
      <c r="AJ396" s="6">
        <f>[1]Emissions!AI846</f>
        <v>29.212803019999999</v>
      </c>
      <c r="AK396" s="6">
        <f>[1]Emissions!AJ846</f>
        <v>29.588554420000001</v>
      </c>
      <c r="AL396" s="6">
        <f>[1]Emissions!AK846</f>
        <v>29.96986794</v>
      </c>
      <c r="AM396" s="6">
        <f>[1]Emissions!AL846</f>
        <v>30.351158380000001</v>
      </c>
      <c r="AN396" s="6">
        <f>[1]Emissions!AM846</f>
        <v>30.734931110000002</v>
      </c>
      <c r="AO396" s="6">
        <f>[1]Emissions!AN846</f>
        <v>31.12200532</v>
      </c>
      <c r="AP396" s="6">
        <f>[1]Emissions!AO846</f>
        <v>31.512710349999999</v>
      </c>
      <c r="AQ396" s="6">
        <f>[1]Emissions!AP846</f>
        <v>31.907210500000001</v>
      </c>
      <c r="AR396" s="6">
        <f>[1]Emissions!AQ846</f>
        <v>32.306560400000002</v>
      </c>
      <c r="AS396" s="6">
        <f>[1]Emissions!AR846</f>
        <v>32.710042459999997</v>
      </c>
      <c r="AT396" s="6">
        <f>[1]Emissions!AS846</f>
        <v>33.117545919999998</v>
      </c>
      <c r="AU396" s="6">
        <f>[1]Emissions!AT846</f>
        <v>33.529048500000002</v>
      </c>
      <c r="AV396" s="6">
        <f>[1]Emissions!AU846</f>
        <v>33.94452484</v>
      </c>
      <c r="AW396" s="6">
        <f>[1]Emissions!AV846</f>
        <v>34.368386510000001</v>
      </c>
      <c r="AX396" s="6">
        <f>[1]Emissions!AW846</f>
        <v>34.797194380000001</v>
      </c>
      <c r="AY396" s="6">
        <f>[1]Emissions!AX846</f>
        <v>35.230285330000001</v>
      </c>
      <c r="AZ396" s="6">
        <f>[1]Emissions!AY846</f>
        <v>35.667518510000001</v>
      </c>
      <c r="BA396" s="6">
        <f>[1]Emissions!AZ846</f>
        <v>36.108850330000003</v>
      </c>
      <c r="BB396" s="6">
        <f>[1]Emissions!BA846</f>
        <v>45.68449012</v>
      </c>
      <c r="BC396" s="6">
        <f>[1]Emissions!BB846</f>
        <v>46.492077760000001</v>
      </c>
      <c r="BD396" s="6">
        <f>[1]Emissions!BC846</f>
        <v>47.312222509999998</v>
      </c>
      <c r="BE396" s="6">
        <f>[1]Emissions!BD846</f>
        <v>48.1450423</v>
      </c>
      <c r="BF396" s="6">
        <f>[1]Emissions!BE846</f>
        <v>48.99065882</v>
      </c>
    </row>
    <row r="397" spans="1:58" x14ac:dyDescent="0.35">
      <c r="B397" s="6" t="str">
        <f>[1]Emissions!A848</f>
        <v>ems_ci_co2_sigo_2</v>
      </c>
      <c r="C397" s="6">
        <f>[1]Emissions!B848</f>
        <v>1.183527123</v>
      </c>
      <c r="D397" s="6">
        <f>[1]Emissions!C848</f>
        <v>1.188450805</v>
      </c>
      <c r="E397" s="6">
        <f>[1]Emissions!D848</f>
        <v>1.1985437480000001</v>
      </c>
      <c r="F397" s="6">
        <f>[1]Emissions!E848</f>
        <v>1.210071567</v>
      </c>
      <c r="G397" s="6">
        <f>[1]Emissions!F848</f>
        <v>1.2230450989999999</v>
      </c>
      <c r="H397" s="6">
        <f>[1]Emissions!G848</f>
        <v>1.237596151</v>
      </c>
      <c r="I397" s="6">
        <f>[1]Emissions!H848</f>
        <v>1.252562741</v>
      </c>
      <c r="J397" s="6">
        <f>[1]Emissions!I848</f>
        <v>1.2685333459999999</v>
      </c>
      <c r="K397" s="6">
        <f>[1]Emissions!J848</f>
        <v>1.285338635</v>
      </c>
      <c r="L397" s="6">
        <f>[1]Emissions!K848</f>
        <v>1.302734512</v>
      </c>
      <c r="M397" s="6">
        <f>[1]Emissions!L848</f>
        <v>1.3183566760000001</v>
      </c>
      <c r="N397" s="6">
        <f>[1]Emissions!M848</f>
        <v>1.338432896</v>
      </c>
      <c r="O397" s="6">
        <f>[1]Emissions!N848</f>
        <v>1.3593327209999999</v>
      </c>
      <c r="P397" s="6">
        <f>[1]Emissions!O848</f>
        <v>1.3805088860000001</v>
      </c>
      <c r="Q397" s="6">
        <f>[1]Emissions!P848</f>
        <v>1.401794159</v>
      </c>
      <c r="R397" s="6">
        <f>[1]Emissions!Q848</f>
        <v>1.4230802600000001</v>
      </c>
      <c r="S397" s="6">
        <f>[1]Emissions!R848</f>
        <v>1.444111167</v>
      </c>
      <c r="T397" s="6">
        <f>[1]Emissions!S848</f>
        <v>1.4649841180000001</v>
      </c>
      <c r="U397" s="6">
        <f>[1]Emissions!T848</f>
        <v>1.4856843070000001</v>
      </c>
      <c r="V397" s="6">
        <f>[1]Emissions!U848</f>
        <v>1.506203881</v>
      </c>
      <c r="W397" s="6">
        <f>[1]Emissions!V848</f>
        <v>1.5252892490000001</v>
      </c>
      <c r="X397" s="6">
        <f>[1]Emissions!W848</f>
        <v>1.545220925</v>
      </c>
      <c r="Y397" s="6">
        <f>[1]Emissions!X848</f>
        <v>1.565187538</v>
      </c>
      <c r="Z397" s="6">
        <f>[1]Emissions!Y848</f>
        <v>1.58512963</v>
      </c>
      <c r="AA397" s="6">
        <f>[1]Emissions!Z848</f>
        <v>1.6050858910000001</v>
      </c>
      <c r="AB397" s="6">
        <f>[1]Emissions!AA848</f>
        <v>1.621499067</v>
      </c>
      <c r="AC397" s="6">
        <f>[1]Emissions!AB848</f>
        <v>1.6392278339999999</v>
      </c>
      <c r="AD397" s="6">
        <f>[1]Emissions!AC848</f>
        <v>1.657133454</v>
      </c>
      <c r="AE397" s="6">
        <f>[1]Emissions!AD848</f>
        <v>1.675142235</v>
      </c>
      <c r="AF397" s="6">
        <f>[1]Emissions!AE848</f>
        <v>1.693311971</v>
      </c>
      <c r="AG397" s="6">
        <f>[1]Emissions!AF848</f>
        <v>1.7117089990000001</v>
      </c>
      <c r="AH397" s="6">
        <f>[1]Emissions!AG848</f>
        <v>1.730442603</v>
      </c>
      <c r="AI397" s="6">
        <f>[1]Emissions!AH848</f>
        <v>1.7495150399999999</v>
      </c>
      <c r="AJ397" s="6">
        <f>[1]Emissions!AI848</f>
        <v>1.768959044</v>
      </c>
      <c r="AK397" s="6">
        <f>[1]Emissions!AJ848</f>
        <v>1.7888013650000001</v>
      </c>
      <c r="AL397" s="6">
        <f>[1]Emissions!AK848</f>
        <v>1.8090588860000001</v>
      </c>
      <c r="AM397" s="6">
        <f>[1]Emissions!AL848</f>
        <v>1.8293756210000001</v>
      </c>
      <c r="AN397" s="6">
        <f>[1]Emissions!AM848</f>
        <v>1.849979987</v>
      </c>
      <c r="AO397" s="6">
        <f>[1]Emissions!AN848</f>
        <v>1.8709280129999999</v>
      </c>
      <c r="AP397" s="6">
        <f>[1]Emissions!AO848</f>
        <v>1.892243235</v>
      </c>
      <c r="AQ397" s="6">
        <f>[1]Emissions!AP848</f>
        <v>1.9139341809999999</v>
      </c>
      <c r="AR397" s="6">
        <f>[1]Emissions!AQ848</f>
        <v>1.936081334</v>
      </c>
      <c r="AS397" s="6">
        <f>[1]Emissions!AR848</f>
        <v>1.9586060219999999</v>
      </c>
      <c r="AT397" s="6">
        <f>[1]Emissions!AS848</f>
        <v>1.9814927769999999</v>
      </c>
      <c r="AU397" s="6">
        <f>[1]Emissions!AT848</f>
        <v>2.0047315459999999</v>
      </c>
      <c r="AV397" s="6">
        <f>[1]Emissions!AU848</f>
        <v>2.028310866</v>
      </c>
      <c r="AW397" s="6">
        <f>[1]Emissions!AV848</f>
        <v>2.0525857859999999</v>
      </c>
      <c r="AX397" s="6">
        <f>[1]Emissions!AW848</f>
        <v>2.0772306679999999</v>
      </c>
      <c r="AY397" s="6">
        <f>[1]Emissions!AX848</f>
        <v>2.1022070369999999</v>
      </c>
      <c r="AZ397" s="6">
        <f>[1]Emissions!AY848</f>
        <v>2.127507338</v>
      </c>
      <c r="BA397" s="6">
        <f>[1]Emissions!AZ848</f>
        <v>2.153122255</v>
      </c>
      <c r="BB397" s="6">
        <f>[1]Emissions!BA848</f>
        <v>2.8515174139999999</v>
      </c>
      <c r="BC397" s="6">
        <f>[1]Emissions!BB848</f>
        <v>2.9011489689999999</v>
      </c>
      <c r="BD397" s="6">
        <f>[1]Emissions!BC848</f>
        <v>2.9516550380000002</v>
      </c>
      <c r="BE397" s="6">
        <f>[1]Emissions!BD848</f>
        <v>3.0030616079999999</v>
      </c>
      <c r="BF397" s="6">
        <f>[1]Emissions!BE848</f>
        <v>3.0553923369999998</v>
      </c>
    </row>
    <row r="398" spans="1:58" x14ac:dyDescent="0.35">
      <c r="B398" s="6" t="str">
        <f>[1]Emissions!A850</f>
        <v>ems_ci_co2_scgo_2</v>
      </c>
      <c r="C398" s="6">
        <f>[1]Emissions!B850</f>
        <v>2.2470536170000002</v>
      </c>
      <c r="D398" s="6">
        <f>[1]Emissions!C850</f>
        <v>2.2459799249999999</v>
      </c>
      <c r="E398" s="6">
        <f>[1]Emissions!D850</f>
        <v>2.253417298</v>
      </c>
      <c r="F398" s="6">
        <f>[1]Emissions!E850</f>
        <v>2.267165946</v>
      </c>
      <c r="G398" s="6">
        <f>[1]Emissions!F850</f>
        <v>2.28666627</v>
      </c>
      <c r="H398" s="6">
        <f>[1]Emissions!G850</f>
        <v>2.3112252780000002</v>
      </c>
      <c r="I398" s="6">
        <f>[1]Emissions!H850</f>
        <v>2.338527188</v>
      </c>
      <c r="J398" s="6">
        <f>[1]Emissions!I850</f>
        <v>2.3684165529999999</v>
      </c>
      <c r="K398" s="6">
        <f>[1]Emissions!J850</f>
        <v>2.4003426170000002</v>
      </c>
      <c r="L398" s="6">
        <f>[1]Emissions!K850</f>
        <v>2.4337818900000001</v>
      </c>
      <c r="M398" s="6">
        <f>[1]Emissions!L850</f>
        <v>2.4668956230000001</v>
      </c>
      <c r="N398" s="6">
        <f>[1]Emissions!M850</f>
        <v>2.5043284780000001</v>
      </c>
      <c r="O398" s="6">
        <f>[1]Emissions!N850</f>
        <v>2.5433884510000002</v>
      </c>
      <c r="P398" s="6">
        <f>[1]Emissions!O850</f>
        <v>2.5833910919999998</v>
      </c>
      <c r="Q398" s="6">
        <f>[1]Emissions!P850</f>
        <v>2.6240088529999999</v>
      </c>
      <c r="R398" s="6">
        <f>[1]Emissions!Q850</f>
        <v>2.6650055039999998</v>
      </c>
      <c r="S398" s="6">
        <f>[1]Emissions!R850</f>
        <v>2.7060201859999999</v>
      </c>
      <c r="T398" s="6">
        <f>[1]Emissions!S850</f>
        <v>2.7470217410000002</v>
      </c>
      <c r="U398" s="6">
        <f>[1]Emissions!T850</f>
        <v>2.7879474609999999</v>
      </c>
      <c r="V398" s="6">
        <f>[1]Emissions!U850</f>
        <v>2.8287648679999999</v>
      </c>
      <c r="W398" s="6">
        <f>[1]Emissions!V850</f>
        <v>2.8677224830000001</v>
      </c>
      <c r="X398" s="6">
        <f>[1]Emissions!W850</f>
        <v>2.907477836</v>
      </c>
      <c r="Y398" s="6">
        <f>[1]Emissions!X850</f>
        <v>2.9474800710000002</v>
      </c>
      <c r="Z398" s="6">
        <f>[1]Emissions!Y850</f>
        <v>2.9876476049999998</v>
      </c>
      <c r="AA398" s="6">
        <f>[1]Emissions!Z850</f>
        <v>3.0280071049999999</v>
      </c>
      <c r="AB398" s="6">
        <f>[1]Emissions!AA850</f>
        <v>3.0636024040000001</v>
      </c>
      <c r="AC398" s="6">
        <f>[1]Emissions!AB850</f>
        <v>3.0997231099999998</v>
      </c>
      <c r="AD398" s="6">
        <f>[1]Emissions!AC850</f>
        <v>3.1358473839999998</v>
      </c>
      <c r="AE398" s="6">
        <f>[1]Emissions!AD850</f>
        <v>3.1720067460000001</v>
      </c>
      <c r="AF398" s="6">
        <f>[1]Emissions!AE850</f>
        <v>3.2083384700000002</v>
      </c>
      <c r="AG398" s="6">
        <f>[1]Emissions!AF850</f>
        <v>3.2449804979999999</v>
      </c>
      <c r="AH398" s="6">
        <f>[1]Emissions!AG850</f>
        <v>3.282102005</v>
      </c>
      <c r="AI398" s="6">
        <f>[1]Emissions!AH850</f>
        <v>3.3197655020000001</v>
      </c>
      <c r="AJ398" s="6">
        <f>[1]Emissions!AI850</f>
        <v>3.3580321130000002</v>
      </c>
      <c r="AK398" s="6">
        <f>[1]Emissions!AJ850</f>
        <v>3.3969438260000002</v>
      </c>
      <c r="AL398" s="6">
        <f>[1]Emissions!AK850</f>
        <v>3.4365240859999999</v>
      </c>
      <c r="AM398" s="6">
        <f>[1]Emissions!AL850</f>
        <v>3.4761031309999999</v>
      </c>
      <c r="AN398" s="6">
        <f>[1]Emissions!AM850</f>
        <v>3.5159891480000001</v>
      </c>
      <c r="AO398" s="6">
        <f>[1]Emissions!AN850</f>
        <v>3.5563115330000001</v>
      </c>
      <c r="AP398" s="6">
        <f>[1]Emissions!AO850</f>
        <v>3.5971261170000002</v>
      </c>
      <c r="AQ398" s="6">
        <f>[1]Emissions!AP850</f>
        <v>3.6384581410000001</v>
      </c>
      <c r="AR398" s="6">
        <f>[1]Emissions!AQ850</f>
        <v>3.6804035509999999</v>
      </c>
      <c r="AS398" s="6">
        <f>[1]Emissions!AR850</f>
        <v>3.7229217710000002</v>
      </c>
      <c r="AT398" s="6">
        <f>[1]Emissions!AS850</f>
        <v>3.7660032559999999</v>
      </c>
      <c r="AU398" s="6">
        <f>[1]Emissions!AT850</f>
        <v>3.8096378729999998</v>
      </c>
      <c r="AV398" s="6">
        <f>[1]Emissions!AU850</f>
        <v>3.8538114569999999</v>
      </c>
      <c r="AW398" s="6">
        <f>[1]Emissions!AV850</f>
        <v>3.8989164249999999</v>
      </c>
      <c r="AX398" s="6">
        <f>[1]Emissions!AW850</f>
        <v>3.9447286610000001</v>
      </c>
      <c r="AY398" s="6">
        <f>[1]Emissions!AX850</f>
        <v>3.9911861439999998</v>
      </c>
      <c r="AZ398" s="6">
        <f>[1]Emissions!AY850</f>
        <v>4.0382469790000002</v>
      </c>
      <c r="BA398" s="6">
        <f>[1]Emissions!AZ850</f>
        <v>4.085870313</v>
      </c>
      <c r="BB398" s="6">
        <f>[1]Emissions!BA850</f>
        <v>5.2745794760000004</v>
      </c>
      <c r="BC398" s="6">
        <f>[1]Emissions!BB850</f>
        <v>5.3645123290000001</v>
      </c>
      <c r="BD398" s="6">
        <f>[1]Emissions!BC850</f>
        <v>5.4558339399999998</v>
      </c>
      <c r="BE398" s="6">
        <f>[1]Emissions!BD850</f>
        <v>5.5485816579999998</v>
      </c>
      <c r="BF398" s="6">
        <f>[1]Emissions!BE850</f>
        <v>5.642790593</v>
      </c>
    </row>
    <row r="399" spans="1:58" x14ac:dyDescent="0.35">
      <c r="B399" s="6" t="str">
        <f>[1]Emissions!A852</f>
        <v>ems_ci_co2_scon_2</v>
      </c>
      <c r="C399" s="6">
        <f>[1]Emissions!B852</f>
        <v>7.677824438</v>
      </c>
      <c r="D399" s="6">
        <f>[1]Emissions!C852</f>
        <v>7.6457035439999999</v>
      </c>
      <c r="E399" s="6">
        <f>[1]Emissions!D852</f>
        <v>7.600417599</v>
      </c>
      <c r="F399" s="6">
        <f>[1]Emissions!E852</f>
        <v>7.5685321859999997</v>
      </c>
      <c r="G399" s="6">
        <f>[1]Emissions!F852</f>
        <v>7.5658160619999997</v>
      </c>
      <c r="H399" s="6">
        <f>[1]Emissions!G852</f>
        <v>7.5977021919999999</v>
      </c>
      <c r="I399" s="6">
        <f>[1]Emissions!H852</f>
        <v>7.6598872450000002</v>
      </c>
      <c r="J399" s="6">
        <f>[1]Emissions!I852</f>
        <v>7.7478491710000004</v>
      </c>
      <c r="K399" s="6">
        <f>[1]Emissions!J852</f>
        <v>7.8568250849999997</v>
      </c>
      <c r="L399" s="6">
        <f>[1]Emissions!K852</f>
        <v>7.9825595390000004</v>
      </c>
      <c r="M399" s="6">
        <f>[1]Emissions!L852</f>
        <v>8.1203277220000007</v>
      </c>
      <c r="N399" s="6">
        <f>[1]Emissions!M852</f>
        <v>8.2716087340000009</v>
      </c>
      <c r="O399" s="6">
        <f>[1]Emissions!N852</f>
        <v>8.4367201529999996</v>
      </c>
      <c r="P399" s="6">
        <f>[1]Emissions!O852</f>
        <v>8.6144593680000003</v>
      </c>
      <c r="Q399" s="6">
        <f>[1]Emissions!P852</f>
        <v>8.8026829800000002</v>
      </c>
      <c r="R399" s="6">
        <f>[1]Emissions!Q852</f>
        <v>8.9989861009999998</v>
      </c>
      <c r="S399" s="6">
        <f>[1]Emissions!R852</f>
        <v>9.2011229330000006</v>
      </c>
      <c r="T399" s="6">
        <f>[1]Emissions!S852</f>
        <v>9.4071523020000001</v>
      </c>
      <c r="U399" s="6">
        <f>[1]Emissions!T852</f>
        <v>9.6155210770000004</v>
      </c>
      <c r="V399" s="6">
        <f>[1]Emissions!U852</f>
        <v>9.8250946399999997</v>
      </c>
      <c r="W399" s="6">
        <f>[1]Emissions!V852</f>
        <v>10.03086143</v>
      </c>
      <c r="X399" s="6">
        <f>[1]Emissions!W852</f>
        <v>10.23599602</v>
      </c>
      <c r="Y399" s="6">
        <f>[1]Emissions!X852</f>
        <v>10.44092045</v>
      </c>
      <c r="Z399" s="6">
        <f>[1]Emissions!Y852</f>
        <v>10.645787199999999</v>
      </c>
      <c r="AA399" s="6">
        <f>[1]Emissions!Z852</f>
        <v>10.850756329999999</v>
      </c>
      <c r="AB399" s="6">
        <f>[1]Emissions!AA852</f>
        <v>11.04355178</v>
      </c>
      <c r="AC399" s="6">
        <f>[1]Emissions!AB852</f>
        <v>11.22920542</v>
      </c>
      <c r="AD399" s="6">
        <f>[1]Emissions!AC852</f>
        <v>11.40911807</v>
      </c>
      <c r="AE399" s="6">
        <f>[1]Emissions!AD852</f>
        <v>11.5843702</v>
      </c>
      <c r="AF399" s="6">
        <f>[1]Emissions!AE852</f>
        <v>11.755968190000001</v>
      </c>
      <c r="AG399" s="6">
        <f>[1]Emissions!AF852</f>
        <v>11.92483017</v>
      </c>
      <c r="AH399" s="6">
        <f>[1]Emissions!AG852</f>
        <v>12.091776080000001</v>
      </c>
      <c r="AI399" s="6">
        <f>[1]Emissions!AH852</f>
        <v>12.25758572</v>
      </c>
      <c r="AJ399" s="6">
        <f>[1]Emissions!AI852</f>
        <v>12.42295994</v>
      </c>
      <c r="AK399" s="6">
        <f>[1]Emissions!AJ852</f>
        <v>12.588473349999999</v>
      </c>
      <c r="AL399" s="6">
        <f>[1]Emissions!AK852</f>
        <v>12.75455554</v>
      </c>
      <c r="AM399" s="6">
        <f>[1]Emissions!AL852</f>
        <v>12.918301319999999</v>
      </c>
      <c r="AN399" s="6">
        <f>[1]Emissions!AM852</f>
        <v>13.079760869999999</v>
      </c>
      <c r="AO399" s="6">
        <f>[1]Emissions!AN852</f>
        <v>13.23954153</v>
      </c>
      <c r="AP399" s="6">
        <f>[1]Emissions!AO852</f>
        <v>13.398168999999999</v>
      </c>
      <c r="AQ399" s="6">
        <f>[1]Emissions!AP852</f>
        <v>13.5559347</v>
      </c>
      <c r="AR399" s="6">
        <f>[1]Emissions!AQ852</f>
        <v>13.71288799</v>
      </c>
      <c r="AS399" s="6">
        <f>[1]Emissions!AR852</f>
        <v>13.86905097</v>
      </c>
      <c r="AT399" s="6">
        <f>[1]Emissions!AS852</f>
        <v>14.02442654</v>
      </c>
      <c r="AU399" s="6">
        <f>[1]Emissions!AT852</f>
        <v>14.178978020000001</v>
      </c>
      <c r="AV399" s="6">
        <f>[1]Emissions!AU852</f>
        <v>14.33263309</v>
      </c>
      <c r="AW399" s="6">
        <f>[1]Emissions!AV852</f>
        <v>14.485407289999999</v>
      </c>
      <c r="AX399" s="6">
        <f>[1]Emissions!AW852</f>
        <v>14.637455020000001</v>
      </c>
      <c r="AY399" s="6">
        <f>[1]Emissions!AX852</f>
        <v>14.78902555</v>
      </c>
      <c r="AZ399" s="6">
        <f>[1]Emissions!AY852</f>
        <v>14.94026367</v>
      </c>
      <c r="BA399" s="6">
        <f>[1]Emissions!AZ852</f>
        <v>15.09117028</v>
      </c>
      <c r="BB399" s="6">
        <f>[1]Emissions!BA852</f>
        <v>23.246582029999999</v>
      </c>
      <c r="BC399" s="6">
        <f>[1]Emissions!BB852</f>
        <v>23.652213870000001</v>
      </c>
      <c r="BD399" s="6">
        <f>[1]Emissions!BC852</f>
        <v>24.054386350000001</v>
      </c>
      <c r="BE399" s="6">
        <f>[1]Emissions!BD852</f>
        <v>24.453275439999999</v>
      </c>
      <c r="BF399" s="6">
        <f>[1]Emissions!BE852</f>
        <v>24.84906221</v>
      </c>
    </row>
    <row r="400" spans="1:58" x14ac:dyDescent="0.35">
      <c r="B400" s="6" t="str">
        <f>[1]Emissions!A854</f>
        <v>ems_ci_co2_srai_2</v>
      </c>
      <c r="C400" s="6">
        <f>[1]Emissions!B854</f>
        <v>1.7148477479999999</v>
      </c>
      <c r="D400" s="6">
        <f>[1]Emissions!C854</f>
        <v>1.724595358</v>
      </c>
      <c r="E400" s="6">
        <f>[1]Emissions!D854</f>
        <v>1.738136154</v>
      </c>
      <c r="F400" s="6">
        <f>[1]Emissions!E854</f>
        <v>1.7539784439999999</v>
      </c>
      <c r="G400" s="6">
        <f>[1]Emissions!F854</f>
        <v>1.7718515420000001</v>
      </c>
      <c r="H400" s="6">
        <f>[1]Emissions!G854</f>
        <v>1.7915617479999999</v>
      </c>
      <c r="I400" s="6">
        <f>[1]Emissions!H854</f>
        <v>1.811902981</v>
      </c>
      <c r="J400" s="6">
        <f>[1]Emissions!I854</f>
        <v>1.8331577530000001</v>
      </c>
      <c r="K400" s="6">
        <f>[1]Emissions!J854</f>
        <v>1.85525578</v>
      </c>
      <c r="L400" s="6">
        <f>[1]Emissions!K854</f>
        <v>1.878057673</v>
      </c>
      <c r="M400" s="6">
        <f>[1]Emissions!L854</f>
        <v>1.901043724</v>
      </c>
      <c r="N400" s="6">
        <f>[1]Emissions!M854</f>
        <v>1.9262024470000001</v>
      </c>
      <c r="O400" s="6">
        <f>[1]Emissions!N854</f>
        <v>1.95217675</v>
      </c>
      <c r="P400" s="6">
        <f>[1]Emissions!O854</f>
        <v>1.978633477</v>
      </c>
      <c r="Q400" s="6">
        <f>[1]Emissions!P854</f>
        <v>2.0054406199999999</v>
      </c>
      <c r="R400" s="6">
        <f>[1]Emissions!Q854</f>
        <v>2.032519084</v>
      </c>
      <c r="S400" s="6">
        <f>[1]Emissions!R854</f>
        <v>2.0597232459999999</v>
      </c>
      <c r="T400" s="6">
        <f>[1]Emissions!S854</f>
        <v>2.0870778510000001</v>
      </c>
      <c r="U400" s="6">
        <f>[1]Emissions!T854</f>
        <v>2.114573563</v>
      </c>
      <c r="V400" s="6">
        <f>[1]Emissions!U854</f>
        <v>2.1422043230000001</v>
      </c>
      <c r="W400" s="6">
        <f>[1]Emissions!V854</f>
        <v>2.1687827880000001</v>
      </c>
      <c r="X400" s="6">
        <f>[1]Emissions!W854</f>
        <v>2.1961606279999999</v>
      </c>
      <c r="Y400" s="6">
        <f>[1]Emissions!X854</f>
        <v>2.2239152880000002</v>
      </c>
      <c r="Z400" s="6">
        <f>[1]Emissions!Y854</f>
        <v>2.2519608980000001</v>
      </c>
      <c r="AA400" s="6">
        <f>[1]Emissions!Z854</f>
        <v>2.2802913939999998</v>
      </c>
      <c r="AB400" s="6">
        <f>[1]Emissions!AA854</f>
        <v>2.3055080879999998</v>
      </c>
      <c r="AC400" s="6">
        <f>[1]Emissions!AB854</f>
        <v>2.3313270670000001</v>
      </c>
      <c r="AD400" s="6">
        <f>[1]Emissions!AC854</f>
        <v>2.35733821</v>
      </c>
      <c r="AE400" s="6">
        <f>[1]Emissions!AD854</f>
        <v>2.3835229259999999</v>
      </c>
      <c r="AF400" s="6">
        <f>[1]Emissions!AE854</f>
        <v>2.4099441879999999</v>
      </c>
      <c r="AG400" s="6">
        <f>[1]Emissions!AF854</f>
        <v>2.4366682310000001</v>
      </c>
      <c r="AH400" s="6">
        <f>[1]Emissions!AG854</f>
        <v>2.463774473</v>
      </c>
      <c r="AI400" s="6">
        <f>[1]Emissions!AH854</f>
        <v>2.4912814700000001</v>
      </c>
      <c r="AJ400" s="6">
        <f>[1]Emissions!AI854</f>
        <v>2.519208678</v>
      </c>
      <c r="AK400" s="6">
        <f>[1]Emissions!AJ854</f>
        <v>2.5475678780000002</v>
      </c>
      <c r="AL400" s="6">
        <f>[1]Emissions!AK854</f>
        <v>2.5763640460000001</v>
      </c>
      <c r="AM400" s="6">
        <f>[1]Emissions!AL854</f>
        <v>2.6050426390000001</v>
      </c>
      <c r="AN400" s="6">
        <f>[1]Emissions!AM854</f>
        <v>2.6338621039999999</v>
      </c>
      <c r="AO400" s="6">
        <f>[1]Emissions!AN854</f>
        <v>2.6629219380000002</v>
      </c>
      <c r="AP400" s="6">
        <f>[1]Emissions!AO854</f>
        <v>2.6922742159999999</v>
      </c>
      <c r="AQ400" s="6">
        <f>[1]Emissions!AP854</f>
        <v>2.7219555629999999</v>
      </c>
      <c r="AR400" s="6">
        <f>[1]Emissions!AQ854</f>
        <v>2.7520377169999999</v>
      </c>
      <c r="AS400" s="6">
        <f>[1]Emissions!AR854</f>
        <v>2.7825120669999999</v>
      </c>
      <c r="AT400" s="6">
        <f>[1]Emissions!AS854</f>
        <v>2.8133859110000001</v>
      </c>
      <c r="AU400" s="6">
        <f>[1]Emissions!AT854</f>
        <v>2.8446646169999998</v>
      </c>
      <c r="AV400" s="6">
        <f>[1]Emissions!AU854</f>
        <v>2.8763496329999998</v>
      </c>
      <c r="AW400" s="6">
        <f>[1]Emissions!AV854</f>
        <v>2.9086686369999999</v>
      </c>
      <c r="AX400" s="6">
        <f>[1]Emissions!AW854</f>
        <v>2.9414745120000001</v>
      </c>
      <c r="AY400" s="6">
        <f>[1]Emissions!AX854</f>
        <v>2.9747279679999998</v>
      </c>
      <c r="AZ400" s="6">
        <f>[1]Emissions!AY854</f>
        <v>3.0084113860000001</v>
      </c>
      <c r="BA400" s="6">
        <f>[1]Emissions!AZ854</f>
        <v>3.0425129329999998</v>
      </c>
      <c r="BB400" s="6">
        <f>[1]Emissions!BA854</f>
        <v>3.575424505</v>
      </c>
      <c r="BC400" s="6">
        <f>[1]Emissions!BB854</f>
        <v>3.6299902319999999</v>
      </c>
      <c r="BD400" s="6">
        <f>[1]Emissions!BC854</f>
        <v>3.6854330360000001</v>
      </c>
      <c r="BE400" s="6">
        <f>[1]Emissions!BD854</f>
        <v>3.7417713899999998</v>
      </c>
      <c r="BF400" s="6">
        <f>[1]Emissions!BE854</f>
        <v>3.7990240829999999</v>
      </c>
    </row>
    <row r="401" spans="2:58" x14ac:dyDescent="0.35">
      <c r="B401" s="6" t="str">
        <f>[1]Emissions!A856</f>
        <v>ems_ci_co2_sroa_2</v>
      </c>
      <c r="C401" s="6">
        <f>[1]Emissions!B856</f>
        <v>17.121105549999999</v>
      </c>
      <c r="D401" s="6">
        <f>[1]Emissions!C856</f>
        <v>17.220384630000002</v>
      </c>
      <c r="E401" s="6">
        <f>[1]Emissions!D856</f>
        <v>17.358073860000001</v>
      </c>
      <c r="F401" s="6">
        <f>[1]Emissions!E856</f>
        <v>17.51866124</v>
      </c>
      <c r="G401" s="6">
        <f>[1]Emissions!F856</f>
        <v>17.699038720000001</v>
      </c>
      <c r="H401" s="6">
        <f>[1]Emissions!G856</f>
        <v>17.897111219999999</v>
      </c>
      <c r="I401" s="6">
        <f>[1]Emissions!H856</f>
        <v>18.100857380000001</v>
      </c>
      <c r="J401" s="6">
        <f>[1]Emissions!I856</f>
        <v>18.3132123</v>
      </c>
      <c r="K401" s="6">
        <f>[1]Emissions!J856</f>
        <v>18.53360627</v>
      </c>
      <c r="L401" s="6">
        <f>[1]Emissions!K856</f>
        <v>18.760766520000001</v>
      </c>
      <c r="M401" s="6">
        <f>[1]Emissions!L856</f>
        <v>18.989652499999998</v>
      </c>
      <c r="N401" s="6">
        <f>[1]Emissions!M856</f>
        <v>19.240125450000001</v>
      </c>
      <c r="O401" s="6">
        <f>[1]Emissions!N856</f>
        <v>19.498619059999999</v>
      </c>
      <c r="P401" s="6">
        <f>[1]Emissions!O856</f>
        <v>19.761828820000002</v>
      </c>
      <c r="Q401" s="6">
        <f>[1]Emissions!P856</f>
        <v>20.028483609999999</v>
      </c>
      <c r="R401" s="6">
        <f>[1]Emissions!Q856</f>
        <v>20.297847430000001</v>
      </c>
      <c r="S401" s="6">
        <f>[1]Emissions!R856</f>
        <v>20.568511319999999</v>
      </c>
      <c r="T401" s="6">
        <f>[1]Emissions!S856</f>
        <v>20.8407619</v>
      </c>
      <c r="U401" s="6">
        <f>[1]Emissions!T856</f>
        <v>21.11453474</v>
      </c>
      <c r="V401" s="6">
        <f>[1]Emissions!U856</f>
        <v>21.389786650000001</v>
      </c>
      <c r="W401" s="6">
        <f>[1]Emissions!V856</f>
        <v>21.654688530000001</v>
      </c>
      <c r="X401" s="6">
        <f>[1]Emissions!W856</f>
        <v>21.92772583</v>
      </c>
      <c r="Y401" s="6">
        <f>[1]Emissions!X856</f>
        <v>22.20466489</v>
      </c>
      <c r="Z401" s="6">
        <f>[1]Emissions!Y856</f>
        <v>22.4846325</v>
      </c>
      <c r="AA401" s="6">
        <f>[1]Emissions!Z856</f>
        <v>22.767553230000001</v>
      </c>
      <c r="AB401" s="6">
        <f>[1]Emissions!AA856</f>
        <v>23.019530499999998</v>
      </c>
      <c r="AC401" s="6">
        <f>[1]Emissions!AB856</f>
        <v>23.27767046</v>
      </c>
      <c r="AD401" s="6">
        <f>[1]Emissions!AC856</f>
        <v>23.53785706</v>
      </c>
      <c r="AE401" s="6">
        <f>[1]Emissions!AD856</f>
        <v>23.7998768</v>
      </c>
      <c r="AF401" s="6">
        <f>[1]Emissions!AE856</f>
        <v>24.064331559999999</v>
      </c>
      <c r="AG401" s="6">
        <f>[1]Emissions!AF856</f>
        <v>24.331858879999999</v>
      </c>
      <c r="AH401" s="6">
        <f>[1]Emissions!AG856</f>
        <v>24.603232169999998</v>
      </c>
      <c r="AI401" s="6">
        <f>[1]Emissions!AH856</f>
        <v>24.878617859999999</v>
      </c>
      <c r="AJ401" s="6">
        <f>[1]Emissions!AI856</f>
        <v>25.158193480000001</v>
      </c>
      <c r="AK401" s="6">
        <f>[1]Emissions!AJ856</f>
        <v>25.442063000000001</v>
      </c>
      <c r="AL401" s="6">
        <f>[1]Emissions!AK856</f>
        <v>25.730265859999999</v>
      </c>
      <c r="AM401" s="6">
        <f>[1]Emissions!AL856</f>
        <v>26.01728202</v>
      </c>
      <c r="AN401" s="6">
        <f>[1]Emissions!AM856</f>
        <v>26.305692270000002</v>
      </c>
      <c r="AO401" s="6">
        <f>[1]Emissions!AN856</f>
        <v>26.596481050000001</v>
      </c>
      <c r="AP401" s="6">
        <f>[1]Emissions!AO856</f>
        <v>26.890159690000001</v>
      </c>
      <c r="AQ401" s="6">
        <f>[1]Emissions!AP856</f>
        <v>27.187089459999999</v>
      </c>
      <c r="AR401" s="6">
        <f>[1]Emissions!AQ856</f>
        <v>27.48798897</v>
      </c>
      <c r="AS401" s="6">
        <f>[1]Emissions!AR856</f>
        <v>27.79277351</v>
      </c>
      <c r="AT401" s="6">
        <f>[1]Emissions!AS856</f>
        <v>28.1015175</v>
      </c>
      <c r="AU401" s="6">
        <f>[1]Emissions!AT856</f>
        <v>28.414276910000002</v>
      </c>
      <c r="AV401" s="6">
        <f>[1]Emissions!AU856</f>
        <v>28.731069389999998</v>
      </c>
      <c r="AW401" s="6">
        <f>[1]Emissions!AV856</f>
        <v>29.054180859999999</v>
      </c>
      <c r="AX401" s="6">
        <f>[1]Emissions!AW856</f>
        <v>29.382141050000001</v>
      </c>
      <c r="AY401" s="6">
        <f>[1]Emissions!AX856</f>
        <v>29.71455349</v>
      </c>
      <c r="AZ401" s="6">
        <f>[1]Emissions!AY856</f>
        <v>30.05124052</v>
      </c>
      <c r="BA401" s="6">
        <f>[1]Emissions!AZ856</f>
        <v>30.3920858</v>
      </c>
      <c r="BB401" s="6">
        <f>[1]Emissions!BA856</f>
        <v>35.672975299999997</v>
      </c>
      <c r="BC401" s="6">
        <f>[1]Emissions!BB856</f>
        <v>36.217518470000002</v>
      </c>
      <c r="BD401" s="6">
        <f>[1]Emissions!BC856</f>
        <v>36.770833889999999</v>
      </c>
      <c r="BE401" s="6">
        <f>[1]Emissions!BD856</f>
        <v>37.33310058</v>
      </c>
      <c r="BF401" s="6">
        <f>[1]Emissions!BE856</f>
        <v>37.904501580000002</v>
      </c>
    </row>
    <row r="402" spans="2:58" x14ac:dyDescent="0.35">
      <c r="B402" s="6" t="str">
        <f>[1]Emissions!A858</f>
        <v>ems_ci_co2_swat_2</v>
      </c>
      <c r="C402" s="6">
        <f>[1]Emissions!B858</f>
        <v>3.6706452170000001</v>
      </c>
      <c r="D402" s="6">
        <f>[1]Emissions!C858</f>
        <v>3.6975314199999998</v>
      </c>
      <c r="E402" s="6">
        <f>[1]Emissions!D858</f>
        <v>3.745471819</v>
      </c>
      <c r="F402" s="6">
        <f>[1]Emissions!E858</f>
        <v>3.7973242329999999</v>
      </c>
      <c r="G402" s="6">
        <f>[1]Emissions!F858</f>
        <v>3.850869543</v>
      </c>
      <c r="H402" s="6">
        <f>[1]Emissions!G858</f>
        <v>3.9054366580000002</v>
      </c>
      <c r="I402" s="6">
        <f>[1]Emissions!H858</f>
        <v>3.9567973470000002</v>
      </c>
      <c r="J402" s="6">
        <f>[1]Emissions!I858</f>
        <v>4.0077913030000003</v>
      </c>
      <c r="K402" s="6">
        <f>[1]Emissions!J858</f>
        <v>4.0584941370000003</v>
      </c>
      <c r="L402" s="6">
        <f>[1]Emissions!K858</f>
        <v>4.1087529529999998</v>
      </c>
      <c r="M402" s="6">
        <f>[1]Emissions!L858</f>
        <v>4.1503043210000001</v>
      </c>
      <c r="N402" s="6">
        <f>[1]Emissions!M858</f>
        <v>4.2074793489999998</v>
      </c>
      <c r="O402" s="6">
        <f>[1]Emissions!N858</f>
        <v>4.2659729979999996</v>
      </c>
      <c r="P402" s="6">
        <f>[1]Emissions!O858</f>
        <v>4.3240817150000002</v>
      </c>
      <c r="Q402" s="6">
        <f>[1]Emissions!P858</f>
        <v>4.3816126840000003</v>
      </c>
      <c r="R402" s="6">
        <f>[1]Emissions!Q858</f>
        <v>4.4385916480000001</v>
      </c>
      <c r="S402" s="6">
        <f>[1]Emissions!R858</f>
        <v>4.4944121880000001</v>
      </c>
      <c r="T402" s="6">
        <f>[1]Emissions!S858</f>
        <v>4.5497994229999996</v>
      </c>
      <c r="U402" s="6">
        <f>[1]Emissions!T858</f>
        <v>4.604955747</v>
      </c>
      <c r="V402" s="6">
        <f>[1]Emissions!U858</f>
        <v>4.660031461</v>
      </c>
      <c r="W402" s="6">
        <f>[1]Emissions!V858</f>
        <v>4.7109085239999997</v>
      </c>
      <c r="X402" s="6">
        <f>[1]Emissions!W858</f>
        <v>4.7658582760000003</v>
      </c>
      <c r="Y402" s="6">
        <f>[1]Emissions!X858</f>
        <v>4.8216212680000003</v>
      </c>
      <c r="Z402" s="6">
        <f>[1]Emissions!Y858</f>
        <v>4.8779327810000002</v>
      </c>
      <c r="AA402" s="6">
        <f>[1]Emissions!Z858</f>
        <v>4.9348684289999998</v>
      </c>
      <c r="AB402" s="6">
        <f>[1]Emissions!AA858</f>
        <v>4.9804009310000001</v>
      </c>
      <c r="AC402" s="6">
        <f>[1]Emissions!AB858</f>
        <v>5.0323155609999999</v>
      </c>
      <c r="AD402" s="6">
        <f>[1]Emissions!AC858</f>
        <v>5.0858302289999999</v>
      </c>
      <c r="AE402" s="6">
        <f>[1]Emissions!AD858</f>
        <v>5.1404606859999999</v>
      </c>
      <c r="AF402" s="6">
        <f>[1]Emissions!AE858</f>
        <v>5.1962073059999998</v>
      </c>
      <c r="AG402" s="6">
        <f>[1]Emissions!AF858</f>
        <v>5.2531099560000003</v>
      </c>
      <c r="AH402" s="6">
        <f>[1]Emissions!AG858</f>
        <v>5.3114014430000003</v>
      </c>
      <c r="AI402" s="6">
        <f>[1]Emissions!AH858</f>
        <v>5.3709162749999999</v>
      </c>
      <c r="AJ402" s="6">
        <f>[1]Emissions!AI858</f>
        <v>5.4316344719999998</v>
      </c>
      <c r="AK402" s="6">
        <f>[1]Emissions!AJ858</f>
        <v>5.4935415589999996</v>
      </c>
      <c r="AL402" s="6">
        <f>[1]Emissions!AK858</f>
        <v>5.5566145669999996</v>
      </c>
      <c r="AM402" s="6">
        <f>[1]Emissions!AL858</f>
        <v>5.6198946980000004</v>
      </c>
      <c r="AN402" s="6">
        <f>[1]Emissions!AM858</f>
        <v>5.6841882290000001</v>
      </c>
      <c r="AO402" s="6">
        <f>[1]Emissions!AN858</f>
        <v>5.7495786659999997</v>
      </c>
      <c r="AP402" s="6">
        <f>[1]Emissions!AO858</f>
        <v>5.8160542800000004</v>
      </c>
      <c r="AQ402" s="6">
        <f>[1]Emissions!AP858</f>
        <v>5.8835844799999997</v>
      </c>
      <c r="AR402" s="6">
        <f>[1]Emissions!AQ858</f>
        <v>5.9524619149999998</v>
      </c>
      <c r="AS402" s="6">
        <f>[1]Emissions!AR858</f>
        <v>6.0223634439999998</v>
      </c>
      <c r="AT402" s="6">
        <f>[1]Emissions!AS858</f>
        <v>6.093224663</v>
      </c>
      <c r="AU402" s="6">
        <f>[1]Emissions!AT858</f>
        <v>6.1650121029999996</v>
      </c>
      <c r="AV402" s="6">
        <f>[1]Emissions!AU858</f>
        <v>6.2376970509999996</v>
      </c>
      <c r="AW402" s="6">
        <f>[1]Emissions!AV858</f>
        <v>6.3126860340000004</v>
      </c>
      <c r="AX402" s="6">
        <f>[1]Emissions!AW858</f>
        <v>6.388701535</v>
      </c>
      <c r="AY402" s="6">
        <f>[1]Emissions!AX858</f>
        <v>6.4655876990000003</v>
      </c>
      <c r="AZ402" s="6">
        <f>[1]Emissions!AY858</f>
        <v>6.5433160969999999</v>
      </c>
      <c r="BA402" s="6">
        <f>[1]Emissions!AZ858</f>
        <v>6.6218715000000001</v>
      </c>
      <c r="BB402" s="6">
        <f>[1]Emissions!BA858</f>
        <v>8.6662657089999993</v>
      </c>
      <c r="BC402" s="6">
        <f>[1]Emissions!BB858</f>
        <v>8.818578381</v>
      </c>
      <c r="BD402" s="6">
        <f>[1]Emissions!BC858</f>
        <v>8.9739205159999997</v>
      </c>
      <c r="BE402" s="6">
        <f>[1]Emissions!BD858</f>
        <v>9.1323441750000001</v>
      </c>
      <c r="BF402" s="6">
        <f>[1]Emissions!BE858</f>
        <v>9.2938972399999997</v>
      </c>
    </row>
    <row r="403" spans="2:58" x14ac:dyDescent="0.35">
      <c r="B403" s="6" t="str">
        <f>[1]Emissions!A860</f>
        <v>ems_ci_co2_sair_2</v>
      </c>
      <c r="C403" s="6">
        <f>[1]Emissions!B860</f>
        <v>18.832664780000002</v>
      </c>
      <c r="D403" s="6">
        <f>[1]Emissions!C860</f>
        <v>18.986667659999998</v>
      </c>
      <c r="E403" s="6">
        <f>[1]Emissions!D860</f>
        <v>19.215794590000002</v>
      </c>
      <c r="F403" s="6">
        <f>[1]Emissions!E860</f>
        <v>19.473722810000002</v>
      </c>
      <c r="G403" s="6">
        <f>[1]Emissions!F860</f>
        <v>19.754226589999998</v>
      </c>
      <c r="H403" s="6">
        <f>[1]Emissions!G860</f>
        <v>20.055576720000001</v>
      </c>
      <c r="I403" s="6">
        <f>[1]Emissions!H860</f>
        <v>20.360268850000001</v>
      </c>
      <c r="J403" s="6">
        <f>[1]Emissions!I860</f>
        <v>20.675335919999998</v>
      </c>
      <c r="K403" s="6">
        <f>[1]Emissions!J860</f>
        <v>21.00039993</v>
      </c>
      <c r="L403" s="6">
        <f>[1]Emissions!K860</f>
        <v>21.333912309999999</v>
      </c>
      <c r="M403" s="6">
        <f>[1]Emissions!L860</f>
        <v>21.65836255</v>
      </c>
      <c r="N403" s="6">
        <f>[1]Emissions!M860</f>
        <v>22.03131308</v>
      </c>
      <c r="O403" s="6">
        <f>[1]Emissions!N860</f>
        <v>22.416070990000001</v>
      </c>
      <c r="P403" s="6">
        <f>[1]Emissions!O860</f>
        <v>22.807285499999999</v>
      </c>
      <c r="Q403" s="6">
        <f>[1]Emissions!P860</f>
        <v>23.203578799999999</v>
      </c>
      <c r="R403" s="6">
        <f>[1]Emissions!Q860</f>
        <v>23.604185180000002</v>
      </c>
      <c r="S403" s="6">
        <f>[1]Emissions!R860</f>
        <v>24.00646338</v>
      </c>
      <c r="T403" s="6">
        <f>[1]Emissions!S860</f>
        <v>24.41156178</v>
      </c>
      <c r="U403" s="6">
        <f>[1]Emissions!T860</f>
        <v>24.819481249999999</v>
      </c>
      <c r="V403" s="6">
        <f>[1]Emissions!U860</f>
        <v>25.230209970000001</v>
      </c>
      <c r="W403" s="6">
        <f>[1]Emissions!V860</f>
        <v>25.62447835</v>
      </c>
      <c r="X403" s="6">
        <f>[1]Emissions!W860</f>
        <v>26.03316298</v>
      </c>
      <c r="Y403" s="6">
        <f>[1]Emissions!X860</f>
        <v>26.448203589999999</v>
      </c>
      <c r="Z403" s="6">
        <f>[1]Emissions!Y860</f>
        <v>26.868604399999999</v>
      </c>
      <c r="AA403" s="6">
        <f>[1]Emissions!Z860</f>
        <v>27.294449019999998</v>
      </c>
      <c r="AB403" s="6">
        <f>[1]Emissions!AA860</f>
        <v>27.669892860000001</v>
      </c>
      <c r="AC403" s="6">
        <f>[1]Emissions!AB860</f>
        <v>28.057906970000001</v>
      </c>
      <c r="AD403" s="6">
        <f>[1]Emissions!AC860</f>
        <v>28.449120839999999</v>
      </c>
      <c r="AE403" s="6">
        <f>[1]Emissions!AD860</f>
        <v>28.843624210000002</v>
      </c>
      <c r="AF403" s="6">
        <f>[1]Emissions!AE860</f>
        <v>29.24271293</v>
      </c>
      <c r="AG403" s="6">
        <f>[1]Emissions!AF860</f>
        <v>29.647613310000001</v>
      </c>
      <c r="AH403" s="6">
        <f>[1]Emissions!AG860</f>
        <v>30.059901369999999</v>
      </c>
      <c r="AI403" s="6">
        <f>[1]Emissions!AH860</f>
        <v>30.47979651</v>
      </c>
      <c r="AJ403" s="6">
        <f>[1]Emissions!AI860</f>
        <v>30.907668600000001</v>
      </c>
      <c r="AK403" s="6">
        <f>[1]Emissions!AJ860</f>
        <v>31.34376082</v>
      </c>
      <c r="AL403" s="6">
        <f>[1]Emissions!AK860</f>
        <v>31.788202980000001</v>
      </c>
      <c r="AM403" s="6">
        <f>[1]Emissions!AL860</f>
        <v>32.2333924</v>
      </c>
      <c r="AN403" s="6">
        <f>[1]Emissions!AM860</f>
        <v>32.682485229999998</v>
      </c>
      <c r="AO403" s="6">
        <f>[1]Emissions!AN860</f>
        <v>33.136785889999999</v>
      </c>
      <c r="AP403" s="6">
        <f>[1]Emissions!AO860</f>
        <v>33.597138450000003</v>
      </c>
      <c r="AQ403" s="6">
        <f>[1]Emissions!AP860</f>
        <v>34.06423272</v>
      </c>
      <c r="AR403" s="6">
        <f>[1]Emissions!AQ860</f>
        <v>34.539658590000002</v>
      </c>
      <c r="AS403" s="6">
        <f>[1]Emissions!AR860</f>
        <v>35.02313899</v>
      </c>
      <c r="AT403" s="6">
        <f>[1]Emissions!AS860</f>
        <v>35.514879430000001</v>
      </c>
      <c r="AU403" s="6">
        <f>[1]Emissions!AT860</f>
        <v>36.01504628</v>
      </c>
      <c r="AV403" s="6">
        <f>[1]Emissions!AU860</f>
        <v>36.52372759</v>
      </c>
      <c r="AW403" s="6">
        <f>[1]Emissions!AV860</f>
        <v>37.045842309999998</v>
      </c>
      <c r="AX403" s="6">
        <f>[1]Emissions!AW860</f>
        <v>37.578109689999998</v>
      </c>
      <c r="AY403" s="6">
        <f>[1]Emissions!AX860</f>
        <v>38.119901800000001</v>
      </c>
      <c r="AZ403" s="6">
        <f>[1]Emissions!AY860</f>
        <v>38.670948760000002</v>
      </c>
      <c r="BA403" s="6">
        <f>[1]Emissions!AZ860</f>
        <v>39.231067950000003</v>
      </c>
      <c r="BB403" s="6">
        <f>[1]Emissions!BA860</f>
        <v>48.979044649999999</v>
      </c>
      <c r="BC403" s="6">
        <f>[1]Emissions!BB860</f>
        <v>49.925197480000001</v>
      </c>
      <c r="BD403" s="6">
        <f>[1]Emissions!BC860</f>
        <v>50.890454120000001</v>
      </c>
      <c r="BE403" s="6">
        <f>[1]Emissions!BD860</f>
        <v>51.87530229</v>
      </c>
      <c r="BF403" s="6">
        <f>[1]Emissions!BE860</f>
        <v>52.880249550000002</v>
      </c>
    </row>
    <row r="404" spans="2:58" x14ac:dyDescent="0.35">
      <c r="B404" s="6" t="str">
        <f>[1]Emissions!A862</f>
        <v>ems_ci_co2_spri_2</v>
      </c>
      <c r="C404" s="6">
        <f>[1]Emissions!B862</f>
        <v>30.98421312</v>
      </c>
      <c r="D404" s="6">
        <f>[1]Emissions!C862</f>
        <v>31.13916622</v>
      </c>
      <c r="E404" s="6">
        <f>[1]Emissions!D862</f>
        <v>31.349196160000002</v>
      </c>
      <c r="F404" s="6">
        <f>[1]Emissions!E862</f>
        <v>31.613463079999999</v>
      </c>
      <c r="G404" s="6">
        <f>[1]Emissions!F862</f>
        <v>31.938947580000001</v>
      </c>
      <c r="H404" s="6">
        <f>[1]Emissions!G862</f>
        <v>32.32710522</v>
      </c>
      <c r="I404" s="6">
        <f>[1]Emissions!H862</f>
        <v>32.756111439999998</v>
      </c>
      <c r="J404" s="6">
        <f>[1]Emissions!I862</f>
        <v>33.225769749999998</v>
      </c>
      <c r="K404" s="6">
        <f>[1]Emissions!J862</f>
        <v>33.731143109999998</v>
      </c>
      <c r="L404" s="6">
        <f>[1]Emissions!K862</f>
        <v>34.266479580000002</v>
      </c>
      <c r="M404" s="6">
        <f>[1]Emissions!L862</f>
        <v>34.821690660000002</v>
      </c>
      <c r="N404" s="6">
        <f>[1]Emissions!M862</f>
        <v>35.427859820000002</v>
      </c>
      <c r="O404" s="6">
        <f>[1]Emissions!N862</f>
        <v>36.063795319999997</v>
      </c>
      <c r="P404" s="6">
        <f>[1]Emissions!O862</f>
        <v>36.722938679999999</v>
      </c>
      <c r="Q404" s="6">
        <f>[1]Emissions!P862</f>
        <v>37.401052219999997</v>
      </c>
      <c r="R404" s="6">
        <f>[1]Emissions!Q862</f>
        <v>38.094441430000003</v>
      </c>
      <c r="S404" s="6">
        <f>[1]Emissions!R862</f>
        <v>38.80258757</v>
      </c>
      <c r="T404" s="6">
        <f>[1]Emissions!S862</f>
        <v>39.520232229999998</v>
      </c>
      <c r="U404" s="6">
        <f>[1]Emissions!T862</f>
        <v>40.245084159999998</v>
      </c>
      <c r="V404" s="6">
        <f>[1]Emissions!U862</f>
        <v>40.975665509999999</v>
      </c>
      <c r="W404" s="6">
        <f>[1]Emissions!V862</f>
        <v>41.687112120000002</v>
      </c>
      <c r="X404" s="6">
        <f>[1]Emissions!W862</f>
        <v>42.411985229999999</v>
      </c>
      <c r="Y404" s="6">
        <f>[1]Emissions!X862</f>
        <v>43.144745729999997</v>
      </c>
      <c r="Z404" s="6">
        <f>[1]Emissions!Y862</f>
        <v>43.884061950000003</v>
      </c>
      <c r="AA404" s="6">
        <f>[1]Emissions!Z862</f>
        <v>44.629808769999997</v>
      </c>
      <c r="AB404" s="6">
        <f>[1]Emissions!AA862</f>
        <v>45.31251795</v>
      </c>
      <c r="AC404" s="6">
        <f>[1]Emissions!AB862</f>
        <v>45.994439210000003</v>
      </c>
      <c r="AD404" s="6">
        <f>[1]Emissions!AC862</f>
        <v>46.674143389999998</v>
      </c>
      <c r="AE404" s="6">
        <f>[1]Emissions!AD862</f>
        <v>47.3531987</v>
      </c>
      <c r="AF404" s="6">
        <f>[1]Emissions!AE862</f>
        <v>48.0340761</v>
      </c>
      <c r="AG404" s="6">
        <f>[1]Emissions!AF862</f>
        <v>48.71913928</v>
      </c>
      <c r="AH404" s="6">
        <f>[1]Emissions!AG862</f>
        <v>49.409588390000003</v>
      </c>
      <c r="AI404" s="6">
        <f>[1]Emissions!AH862</f>
        <v>50.10782553</v>
      </c>
      <c r="AJ404" s="6">
        <f>[1]Emissions!AI862</f>
        <v>50.815205839999997</v>
      </c>
      <c r="AK404" s="6">
        <f>[1]Emissions!AJ862</f>
        <v>51.532711190000001</v>
      </c>
      <c r="AL404" s="6">
        <f>[1]Emissions!AK862</f>
        <v>52.261059940000003</v>
      </c>
      <c r="AM404" s="6">
        <f>[1]Emissions!AL862</f>
        <v>52.976385270000002</v>
      </c>
      <c r="AN404" s="6">
        <f>[1]Emissions!AM862</f>
        <v>53.692896130000001</v>
      </c>
      <c r="AO404" s="6">
        <f>[1]Emissions!AN862</f>
        <v>54.414415679999998</v>
      </c>
      <c r="AP404" s="6">
        <f>[1]Emissions!AO862</f>
        <v>55.142941120000003</v>
      </c>
      <c r="AQ404" s="6">
        <f>[1]Emissions!AP862</f>
        <v>55.879881560000001</v>
      </c>
      <c r="AR404" s="6">
        <f>[1]Emissions!AQ862</f>
        <v>56.625023650000003</v>
      </c>
      <c r="AS404" s="6">
        <f>[1]Emissions!AR862</f>
        <v>57.380370499999998</v>
      </c>
      <c r="AT404" s="6">
        <f>[1]Emissions!AS862</f>
        <v>58.146599930000001</v>
      </c>
      <c r="AU404" s="6">
        <f>[1]Emissions!AT862</f>
        <v>58.924081139999998</v>
      </c>
      <c r="AV404" s="6">
        <f>[1]Emissions!AU862</f>
        <v>59.713006900000003</v>
      </c>
      <c r="AW404" s="6">
        <f>[1]Emissions!AV862</f>
        <v>60.5105565</v>
      </c>
      <c r="AX404" s="6">
        <f>[1]Emissions!AW862</f>
        <v>61.320585690000001</v>
      </c>
      <c r="AY404" s="6">
        <f>[1]Emissions!AX862</f>
        <v>62.143403319999997</v>
      </c>
      <c r="AZ404" s="6">
        <f>[1]Emissions!AY862</f>
        <v>62.978940799999997</v>
      </c>
      <c r="BA404" s="6">
        <f>[1]Emissions!AZ862</f>
        <v>63.827010860000001</v>
      </c>
      <c r="BB404" s="6">
        <f>[1]Emissions!BA862</f>
        <v>72.575607649999995</v>
      </c>
      <c r="BC404" s="6">
        <f>[1]Emissions!BB862</f>
        <v>73.768639559999997</v>
      </c>
      <c r="BD404" s="6">
        <f>[1]Emissions!BC862</f>
        <v>74.977568120000001</v>
      </c>
      <c r="BE404" s="6">
        <f>[1]Emissions!BD862</f>
        <v>76.2029991</v>
      </c>
      <c r="BF404" s="6">
        <f>[1]Emissions!BE862</f>
        <v>77.445539460000006</v>
      </c>
    </row>
    <row r="405" spans="2:58" x14ac:dyDescent="0.35">
      <c r="B405" s="6" t="str">
        <f>[1]Emissions!A864</f>
        <v>ems_ci_co2_spub_2</v>
      </c>
      <c r="C405" s="6">
        <f>[1]Emissions!B864</f>
        <v>14.31038846</v>
      </c>
      <c r="D405" s="6">
        <f>[1]Emissions!C864</f>
        <v>14.476319139999999</v>
      </c>
      <c r="E405" s="6">
        <f>[1]Emissions!D864</f>
        <v>14.652129309999999</v>
      </c>
      <c r="F405" s="6">
        <f>[1]Emissions!E864</f>
        <v>14.833884299999999</v>
      </c>
      <c r="G405" s="6">
        <f>[1]Emissions!F864</f>
        <v>15.026301180000001</v>
      </c>
      <c r="H405" s="6">
        <f>[1]Emissions!G864</f>
        <v>15.23251421</v>
      </c>
      <c r="I405" s="6">
        <f>[1]Emissions!H864</f>
        <v>15.44096948</v>
      </c>
      <c r="J405" s="6">
        <f>[1]Emissions!I864</f>
        <v>15.66072902</v>
      </c>
      <c r="K405" s="6">
        <f>[1]Emissions!J864</f>
        <v>15.891837389999999</v>
      </c>
      <c r="L405" s="6">
        <f>[1]Emissions!K864</f>
        <v>16.133136560000001</v>
      </c>
      <c r="M405" s="6">
        <f>[1]Emissions!L864</f>
        <v>16.40108171</v>
      </c>
      <c r="N405" s="6">
        <f>[1]Emissions!M864</f>
        <v>16.663238010000001</v>
      </c>
      <c r="O405" s="6">
        <f>[1]Emissions!N864</f>
        <v>16.932842090000001</v>
      </c>
      <c r="P405" s="6">
        <f>[1]Emissions!O864</f>
        <v>17.210938460000001</v>
      </c>
      <c r="Q405" s="6">
        <f>[1]Emissions!P864</f>
        <v>17.496876879999999</v>
      </c>
      <c r="R405" s="6">
        <f>[1]Emissions!Q864</f>
        <v>17.789738409999998</v>
      </c>
      <c r="S405" s="6">
        <f>[1]Emissions!R864</f>
        <v>18.088653000000001</v>
      </c>
      <c r="T405" s="6">
        <f>[1]Emissions!S864</f>
        <v>18.39289591</v>
      </c>
      <c r="U405" s="6">
        <f>[1]Emissions!T864</f>
        <v>18.701810630000001</v>
      </c>
      <c r="V405" s="6">
        <f>[1]Emissions!U864</f>
        <v>19.01487852</v>
      </c>
      <c r="W405" s="6">
        <f>[1]Emissions!V864</f>
        <v>19.315393350000001</v>
      </c>
      <c r="X405" s="6">
        <f>[1]Emissions!W864</f>
        <v>19.632090730000002</v>
      </c>
      <c r="Y405" s="6">
        <f>[1]Emissions!X864</f>
        <v>19.953771549999999</v>
      </c>
      <c r="Z405" s="6">
        <f>[1]Emissions!Y864</f>
        <v>20.279036349999998</v>
      </c>
      <c r="AA405" s="6">
        <f>[1]Emissions!Z864</f>
        <v>20.607750100000001</v>
      </c>
      <c r="AB405" s="6">
        <f>[1]Emissions!AA864</f>
        <v>20.892462290000001</v>
      </c>
      <c r="AC405" s="6">
        <f>[1]Emissions!AB864</f>
        <v>21.195047160000001</v>
      </c>
      <c r="AD405" s="6">
        <f>[1]Emissions!AC864</f>
        <v>21.50067426</v>
      </c>
      <c r="AE405" s="6">
        <f>[1]Emissions!AD864</f>
        <v>21.807873270000002</v>
      </c>
      <c r="AF405" s="6">
        <f>[1]Emissions!AE864</f>
        <v>22.11688972</v>
      </c>
      <c r="AG405" s="6">
        <f>[1]Emissions!AF864</f>
        <v>22.428164649999999</v>
      </c>
      <c r="AH405" s="6">
        <f>[1]Emissions!AG864</f>
        <v>22.742114969999999</v>
      </c>
      <c r="AI405" s="6">
        <f>[1]Emissions!AH864</f>
        <v>23.059122339999998</v>
      </c>
      <c r="AJ405" s="6">
        <f>[1]Emissions!AI864</f>
        <v>23.37955607</v>
      </c>
      <c r="AK405" s="6">
        <f>[1]Emissions!AJ864</f>
        <v>23.703747190000001</v>
      </c>
      <c r="AL405" s="6">
        <f>[1]Emissions!AK864</f>
        <v>24.031981800000001</v>
      </c>
      <c r="AM405" s="6">
        <f>[1]Emissions!AL864</f>
        <v>24.35280234</v>
      </c>
      <c r="AN405" s="6">
        <f>[1]Emissions!AM864</f>
        <v>24.67518776</v>
      </c>
      <c r="AO405" s="6">
        <f>[1]Emissions!AN864</f>
        <v>25.000616390000001</v>
      </c>
      <c r="AP405" s="6">
        <f>[1]Emissions!AO864</f>
        <v>25.32961779</v>
      </c>
      <c r="AQ405" s="6">
        <f>[1]Emissions!AP864</f>
        <v>25.662540459999999</v>
      </c>
      <c r="AR405" s="6">
        <f>[1]Emissions!AQ864</f>
        <v>25.99961454</v>
      </c>
      <c r="AS405" s="6">
        <f>[1]Emissions!AR864</f>
        <v>26.341016570000001</v>
      </c>
      <c r="AT405" s="6">
        <f>[1]Emissions!AS864</f>
        <v>26.68692274</v>
      </c>
      <c r="AU405" s="6">
        <f>[1]Emissions!AT864</f>
        <v>27.037477840000001</v>
      </c>
      <c r="AV405" s="6">
        <f>[1]Emissions!AU864</f>
        <v>27.392793009999998</v>
      </c>
      <c r="AW405" s="6">
        <f>[1]Emissions!AV864</f>
        <v>27.753889260000001</v>
      </c>
      <c r="AX405" s="6">
        <f>[1]Emissions!AW864</f>
        <v>28.11997684</v>
      </c>
      <c r="AY405" s="6">
        <f>[1]Emissions!AX864</f>
        <v>28.491126999999999</v>
      </c>
      <c r="AZ405" s="6">
        <f>[1]Emissions!AY864</f>
        <v>28.86748673</v>
      </c>
      <c r="BA405" s="6">
        <f>[1]Emissions!AZ864</f>
        <v>29.249158170000001</v>
      </c>
      <c r="BB405" s="6">
        <f>[1]Emissions!BA864</f>
        <v>33.704159480000001</v>
      </c>
      <c r="BC405" s="6">
        <f>[1]Emissions!BB864</f>
        <v>34.277441899999999</v>
      </c>
      <c r="BD405" s="6">
        <f>[1]Emissions!BC864</f>
        <v>34.858916180000001</v>
      </c>
      <c r="BE405" s="6">
        <f>[1]Emissions!BD864</f>
        <v>35.448836919999998</v>
      </c>
      <c r="BF405" s="6">
        <f>[1]Emissions!BE864</f>
        <v>36.047462230000001</v>
      </c>
    </row>
    <row r="406" spans="2:58" x14ac:dyDescent="0.35">
      <c r="B406" s="6" t="str">
        <f>[1]Emissions!A866</f>
        <v>ems_ci_co2_smin_2</v>
      </c>
      <c r="C406" s="6">
        <f>[1]Emissions!B866</f>
        <v>1.0325176149999999</v>
      </c>
      <c r="D406" s="6">
        <f>[1]Emissions!C866</f>
        <v>1.0359256130000001</v>
      </c>
      <c r="E406" s="6">
        <f>[1]Emissions!D866</f>
        <v>1.043636274</v>
      </c>
      <c r="F406" s="6">
        <f>[1]Emissions!E866</f>
        <v>1.0537734480000001</v>
      </c>
      <c r="G406" s="6">
        <f>[1]Emissions!F866</f>
        <v>1.0657013209999999</v>
      </c>
      <c r="H406" s="6">
        <f>[1]Emissions!G866</f>
        <v>1.0790326750000001</v>
      </c>
      <c r="I406" s="6">
        <f>[1]Emissions!H866</f>
        <v>1.0928231690000001</v>
      </c>
      <c r="J406" s="6">
        <f>[1]Emissions!I866</f>
        <v>1.107146575</v>
      </c>
      <c r="K406" s="6">
        <f>[1]Emissions!J866</f>
        <v>1.121919831</v>
      </c>
      <c r="L406" s="6">
        <f>[1]Emissions!K866</f>
        <v>1.137035056</v>
      </c>
      <c r="M406" s="6">
        <f>[1]Emissions!L866</f>
        <v>1.1517969729999999</v>
      </c>
      <c r="N406" s="6">
        <f>[1]Emissions!M866</f>
        <v>1.1683773470000001</v>
      </c>
      <c r="O406" s="6">
        <f>[1]Emissions!N866</f>
        <v>1.1855235669999999</v>
      </c>
      <c r="P406" s="6">
        <f>[1]Emissions!O866</f>
        <v>1.202891699</v>
      </c>
      <c r="Q406" s="6">
        <f>[1]Emissions!P866</f>
        <v>1.22037514</v>
      </c>
      <c r="R406" s="6">
        <f>[1]Emissions!Q866</f>
        <v>1.2379331170000001</v>
      </c>
      <c r="S406" s="6">
        <f>[1]Emissions!R866</f>
        <v>1.255471998</v>
      </c>
      <c r="T406" s="6">
        <f>[1]Emissions!S866</f>
        <v>1.273039569</v>
      </c>
      <c r="U406" s="6">
        <f>[1]Emissions!T866</f>
        <v>1.290656407</v>
      </c>
      <c r="V406" s="6">
        <f>[1]Emissions!U866</f>
        <v>1.308341255</v>
      </c>
      <c r="W406" s="6">
        <f>[1]Emissions!V866</f>
        <v>1.3253553469999999</v>
      </c>
      <c r="X406" s="6">
        <f>[1]Emissions!W866</f>
        <v>1.342883531</v>
      </c>
      <c r="Y406" s="6">
        <f>[1]Emissions!X866</f>
        <v>1.3607060040000001</v>
      </c>
      <c r="Z406" s="6">
        <f>[1]Emissions!Y866</f>
        <v>1.378769854</v>
      </c>
      <c r="AA406" s="6">
        <f>[1]Emissions!Z866</f>
        <v>1.397076167</v>
      </c>
      <c r="AB406" s="6">
        <f>[1]Emissions!AA866</f>
        <v>1.4134645729999999</v>
      </c>
      <c r="AC406" s="6">
        <f>[1]Emissions!AB866</f>
        <v>1.430270092</v>
      </c>
      <c r="AD406" s="6">
        <f>[1]Emissions!AC866</f>
        <v>1.447309639</v>
      </c>
      <c r="AE406" s="6">
        <f>[1]Emissions!AD866</f>
        <v>1.4645651369999999</v>
      </c>
      <c r="AF406" s="6">
        <f>[1]Emissions!AE866</f>
        <v>1.4820696360000001</v>
      </c>
      <c r="AG406" s="6">
        <f>[1]Emissions!AF866</f>
        <v>1.499860105</v>
      </c>
      <c r="AH406" s="6">
        <f>[1]Emissions!AG866</f>
        <v>1.517988162</v>
      </c>
      <c r="AI406" s="6">
        <f>[1]Emissions!AH866</f>
        <v>1.536457465</v>
      </c>
      <c r="AJ406" s="6">
        <f>[1]Emissions!AI866</f>
        <v>1.555272939</v>
      </c>
      <c r="AK406" s="6">
        <f>[1]Emissions!AJ866</f>
        <v>1.5744345369999999</v>
      </c>
      <c r="AL406" s="6">
        <f>[1]Emissions!AK866</f>
        <v>1.5939375330000001</v>
      </c>
      <c r="AM406" s="6">
        <f>[1]Emissions!AL866</f>
        <v>1.6134769689999999</v>
      </c>
      <c r="AN406" s="6">
        <f>[1]Emissions!AM866</f>
        <v>1.633167874</v>
      </c>
      <c r="AO406" s="6">
        <f>[1]Emissions!AN866</f>
        <v>1.6530645639999999</v>
      </c>
      <c r="AP406" s="6">
        <f>[1]Emissions!AO866</f>
        <v>1.673191431</v>
      </c>
      <c r="AQ406" s="6">
        <f>[1]Emissions!AP866</f>
        <v>1.693561844</v>
      </c>
      <c r="AR406" s="6">
        <f>[1]Emissions!AQ866</f>
        <v>1.7142218810000001</v>
      </c>
      <c r="AS406" s="6">
        <f>[1]Emissions!AR866</f>
        <v>1.7351539499999999</v>
      </c>
      <c r="AT406" s="6">
        <f>[1]Emissions!AS866</f>
        <v>1.756354427</v>
      </c>
      <c r="AU406" s="6">
        <f>[1]Emissions!AT866</f>
        <v>1.777820795</v>
      </c>
      <c r="AV406" s="6">
        <f>[1]Emissions!AU866</f>
        <v>1.7995493069999999</v>
      </c>
      <c r="AW406" s="6">
        <f>[1]Emissions!AV866</f>
        <v>1.8217160379999999</v>
      </c>
      <c r="AX406" s="6">
        <f>[1]Emissions!AW866</f>
        <v>1.844209945</v>
      </c>
      <c r="AY406" s="6">
        <f>[1]Emissions!AX866</f>
        <v>1.8669946319999999</v>
      </c>
      <c r="AZ406" s="6">
        <f>[1]Emissions!AY866</f>
        <v>1.890052399</v>
      </c>
      <c r="BA406" s="6">
        <f>[1]Emissions!AZ866</f>
        <v>1.9133713910000001</v>
      </c>
      <c r="BB406" s="6">
        <f>[1]Emissions!BA866</f>
        <v>2.3194195799999999</v>
      </c>
      <c r="BC406" s="6">
        <f>[1]Emissions!BB866</f>
        <v>2.3587256729999999</v>
      </c>
      <c r="BD406" s="6">
        <f>[1]Emissions!BC866</f>
        <v>2.398702202</v>
      </c>
      <c r="BE406" s="6">
        <f>[1]Emissions!BD866</f>
        <v>2.4393586269999998</v>
      </c>
      <c r="BF406" s="6">
        <f>[1]Emissions!BE866</f>
        <v>2.4807043590000002</v>
      </c>
    </row>
    <row r="407" spans="2:58" x14ac:dyDescent="0.35">
      <c r="B407" s="6" t="str">
        <f>[1]Emissions!A868</f>
        <v>ems_ci_co2_soil_2</v>
      </c>
      <c r="C407" s="6">
        <f>[1]Emissions!B868</f>
        <v>16.347775420000001</v>
      </c>
      <c r="D407" s="6">
        <f>[1]Emissions!C868</f>
        <v>16.383923840000001</v>
      </c>
      <c r="E407" s="6">
        <f>[1]Emissions!D868</f>
        <v>16.44210915</v>
      </c>
      <c r="F407" s="6">
        <f>[1]Emissions!E868</f>
        <v>16.518606389999999</v>
      </c>
      <c r="G407" s="6">
        <f>[1]Emissions!F868</f>
        <v>16.61802849</v>
      </c>
      <c r="H407" s="6">
        <f>[1]Emissions!G868</f>
        <v>16.740085390000001</v>
      </c>
      <c r="I407" s="6">
        <f>[1]Emissions!H868</f>
        <v>16.872748390000002</v>
      </c>
      <c r="J407" s="6">
        <f>[1]Emissions!I868</f>
        <v>17.01763467</v>
      </c>
      <c r="K407" s="6">
        <f>[1]Emissions!J868</f>
        <v>17.172585649999998</v>
      </c>
      <c r="L407" s="6">
        <f>[1]Emissions!K868</f>
        <v>17.334931829999999</v>
      </c>
      <c r="M407" s="6">
        <f>[1]Emissions!L868</f>
        <v>17.490872190000001</v>
      </c>
      <c r="N407" s="6">
        <f>[1]Emissions!M868</f>
        <v>17.678173040000001</v>
      </c>
      <c r="O407" s="6">
        <f>[1]Emissions!N868</f>
        <v>17.874862419999999</v>
      </c>
      <c r="P407" s="6">
        <f>[1]Emissions!O868</f>
        <v>18.076237670000001</v>
      </c>
      <c r="Q407" s="6">
        <f>[1]Emissions!P868</f>
        <v>18.28106769</v>
      </c>
      <c r="R407" s="6">
        <f>[1]Emissions!Q868</f>
        <v>18.488806570000001</v>
      </c>
      <c r="S407" s="6">
        <f>[1]Emissions!R868</f>
        <v>18.697947209999999</v>
      </c>
      <c r="T407" s="6">
        <f>[1]Emissions!S868</f>
        <v>18.909012019999999</v>
      </c>
      <c r="U407" s="6">
        <f>[1]Emissions!T868</f>
        <v>19.121937679999998</v>
      </c>
      <c r="V407" s="6">
        <f>[1]Emissions!U868</f>
        <v>19.336603090000001</v>
      </c>
      <c r="W407" s="6">
        <f>[1]Emissions!V868</f>
        <v>19.542449300000001</v>
      </c>
      <c r="X407" s="6">
        <f>[1]Emissions!W868</f>
        <v>19.756404759999999</v>
      </c>
      <c r="Y407" s="6">
        <f>[1]Emissions!X868</f>
        <v>19.973797619999999</v>
      </c>
      <c r="Z407" s="6">
        <f>[1]Emissions!Y868</f>
        <v>20.193598439999999</v>
      </c>
      <c r="AA407" s="6">
        <f>[1]Emissions!Z868</f>
        <v>20.415655009999998</v>
      </c>
      <c r="AB407" s="6">
        <f>[1]Emissions!AA868</f>
        <v>20.610072450000001</v>
      </c>
      <c r="AC407" s="6">
        <f>[1]Emissions!AB868</f>
        <v>20.811678520000001</v>
      </c>
      <c r="AD407" s="6">
        <f>[1]Emissions!AC868</f>
        <v>21.01530571</v>
      </c>
      <c r="AE407" s="6">
        <f>[1]Emissions!AD868</f>
        <v>21.22018396</v>
      </c>
      <c r="AF407" s="6">
        <f>[1]Emissions!AE868</f>
        <v>21.426565719999999</v>
      </c>
      <c r="AG407" s="6">
        <f>[1]Emissions!AF868</f>
        <v>21.63485734</v>
      </c>
      <c r="AH407" s="6">
        <f>[1]Emissions!AG868</f>
        <v>21.845752959999999</v>
      </c>
      <c r="AI407" s="6">
        <f>[1]Emissions!AH868</f>
        <v>22.059302679999998</v>
      </c>
      <c r="AJ407" s="6">
        <f>[1]Emissions!AI868</f>
        <v>22.27567213</v>
      </c>
      <c r="AK407" s="6">
        <f>[1]Emissions!AJ868</f>
        <v>22.494995339999999</v>
      </c>
      <c r="AL407" s="6">
        <f>[1]Emissions!AK868</f>
        <v>22.717368929999999</v>
      </c>
      <c r="AM407" s="6">
        <f>[1]Emissions!AL868</f>
        <v>22.938878150000001</v>
      </c>
      <c r="AN407" s="6">
        <f>[1]Emissions!AM868</f>
        <v>23.161571519999999</v>
      </c>
      <c r="AO407" s="6">
        <f>[1]Emissions!AN868</f>
        <v>23.386221089999999</v>
      </c>
      <c r="AP407" s="6">
        <f>[1]Emissions!AO868</f>
        <v>23.613199529999999</v>
      </c>
      <c r="AQ407" s="6">
        <f>[1]Emissions!AP868</f>
        <v>23.842757559999999</v>
      </c>
      <c r="AR407" s="6">
        <f>[1]Emissions!AQ868</f>
        <v>24.075614259999998</v>
      </c>
      <c r="AS407" s="6">
        <f>[1]Emissions!AR868</f>
        <v>24.31154549</v>
      </c>
      <c r="AT407" s="6">
        <f>[1]Emissions!AS868</f>
        <v>24.550604969999998</v>
      </c>
      <c r="AU407" s="6">
        <f>[1]Emissions!AT868</f>
        <v>24.79287261</v>
      </c>
      <c r="AV407" s="6">
        <f>[1]Emissions!AU868</f>
        <v>25.03841233</v>
      </c>
      <c r="AW407" s="6">
        <f>[1]Emissions!AV868</f>
        <v>25.28976484</v>
      </c>
      <c r="AX407" s="6">
        <f>[1]Emissions!AW868</f>
        <v>25.545226209999999</v>
      </c>
      <c r="AY407" s="6">
        <f>[1]Emissions!AX868</f>
        <v>25.804478230000001</v>
      </c>
      <c r="AZ407" s="6">
        <f>[1]Emissions!AY868</f>
        <v>26.067465779999999</v>
      </c>
      <c r="BA407" s="6">
        <f>[1]Emissions!AZ868</f>
        <v>26.33418288</v>
      </c>
      <c r="BB407" s="6">
        <f>[1]Emissions!BA868</f>
        <v>31.883603999999998</v>
      </c>
      <c r="BC407" s="6">
        <f>[1]Emissions!BB868</f>
        <v>32.347674509999997</v>
      </c>
      <c r="BD407" s="6">
        <f>[1]Emissions!BC868</f>
        <v>32.819326539999999</v>
      </c>
      <c r="BE407" s="6">
        <f>[1]Emissions!BD868</f>
        <v>33.298744659999997</v>
      </c>
      <c r="BF407" s="6">
        <f>[1]Emissions!BE868</f>
        <v>33.786124770000001</v>
      </c>
    </row>
    <row r="408" spans="2:58" x14ac:dyDescent="0.35">
      <c r="B408" s="6" t="str">
        <f>[1]Emissions!A870</f>
        <v>ems_ci_co2_sbfu_2</v>
      </c>
      <c r="C408" s="6">
        <f>[1]Emissions!B870</f>
        <v>3.814392733</v>
      </c>
      <c r="D408" s="6">
        <f>[1]Emissions!C870</f>
        <v>3.8177129330000001</v>
      </c>
      <c r="E408" s="6">
        <f>[1]Emissions!D870</f>
        <v>3.8229428109999999</v>
      </c>
      <c r="F408" s="6">
        <f>[1]Emissions!E870</f>
        <v>3.8331779300000002</v>
      </c>
      <c r="G408" s="6">
        <f>[1]Emissions!F870</f>
        <v>3.8503266909999998</v>
      </c>
      <c r="H408" s="6">
        <f>[1]Emissions!G870</f>
        <v>3.8741543530000002</v>
      </c>
      <c r="I408" s="6">
        <f>[1]Emissions!H870</f>
        <v>3.9017933249999999</v>
      </c>
      <c r="J408" s="6">
        <f>[1]Emissions!I870</f>
        <v>3.933163269</v>
      </c>
      <c r="K408" s="6">
        <f>[1]Emissions!J870</f>
        <v>3.967497023</v>
      </c>
      <c r="L408" s="6">
        <f>[1]Emissions!K870</f>
        <v>4.0040895350000003</v>
      </c>
      <c r="M408" s="6">
        <f>[1]Emissions!L870</f>
        <v>4.0398079280000001</v>
      </c>
      <c r="N408" s="6">
        <f>[1]Emissions!M870</f>
        <v>4.0827120419999998</v>
      </c>
      <c r="O408" s="6">
        <f>[1]Emissions!N870</f>
        <v>4.1279173289999997</v>
      </c>
      <c r="P408" s="6">
        <f>[1]Emissions!O870</f>
        <v>4.1744333859999996</v>
      </c>
      <c r="Q408" s="6">
        <f>[1]Emissions!P870</f>
        <v>4.2219590240000002</v>
      </c>
      <c r="R408" s="6">
        <f>[1]Emissions!Q870</f>
        <v>4.2703234759999997</v>
      </c>
      <c r="S408" s="6">
        <f>[1]Emissions!R870</f>
        <v>4.3191727320000002</v>
      </c>
      <c r="T408" s="6">
        <f>[1]Emissions!S870</f>
        <v>4.368562152</v>
      </c>
      <c r="U408" s="6">
        <f>[1]Emissions!T870</f>
        <v>4.4184263589999997</v>
      </c>
      <c r="V408" s="6">
        <f>[1]Emissions!U870</f>
        <v>4.4686996299999997</v>
      </c>
      <c r="W408" s="6">
        <f>[1]Emissions!V870</f>
        <v>4.5172070069999997</v>
      </c>
      <c r="X408" s="6">
        <f>[1]Emissions!W870</f>
        <v>4.5673350519999998</v>
      </c>
      <c r="Y408" s="6">
        <f>[1]Emissions!X870</f>
        <v>4.61807152</v>
      </c>
      <c r="Z408" s="6">
        <f>[1]Emissions!Y870</f>
        <v>4.6692313529999998</v>
      </c>
      <c r="AA408" s="6">
        <f>[1]Emissions!Z870</f>
        <v>4.7207871450000001</v>
      </c>
      <c r="AB408" s="6">
        <f>[1]Emissions!AA870</f>
        <v>4.7666607560000003</v>
      </c>
      <c r="AC408" s="6">
        <f>[1]Emissions!AB870</f>
        <v>4.813869446</v>
      </c>
      <c r="AD408" s="6">
        <f>[1]Emissions!AC870</f>
        <v>4.8612200999999997</v>
      </c>
      <c r="AE408" s="6">
        <f>[1]Emissions!AD870</f>
        <v>4.9086037749999996</v>
      </c>
      <c r="AF408" s="6">
        <f>[1]Emissions!AE870</f>
        <v>4.9561084180000003</v>
      </c>
      <c r="AG408" s="6">
        <f>[1]Emissions!AF870</f>
        <v>5.0038442710000002</v>
      </c>
      <c r="AH408" s="6">
        <f>[1]Emissions!AG870</f>
        <v>5.0519743699999999</v>
      </c>
      <c r="AI408" s="6">
        <f>[1]Emissions!AH870</f>
        <v>5.1005291829999999</v>
      </c>
      <c r="AJ408" s="6">
        <f>[1]Emissions!AI870</f>
        <v>5.1495641299999999</v>
      </c>
      <c r="AK408" s="6">
        <f>[1]Emissions!AJ870</f>
        <v>5.1991260290000003</v>
      </c>
      <c r="AL408" s="6">
        <f>[1]Emissions!AK870</f>
        <v>5.2492511720000001</v>
      </c>
      <c r="AM408" s="6">
        <f>[1]Emissions!AL870</f>
        <v>5.2991454210000004</v>
      </c>
      <c r="AN408" s="6">
        <f>[1]Emissions!AM870</f>
        <v>5.3492254140000002</v>
      </c>
      <c r="AO408" s="6">
        <f>[1]Emissions!AN870</f>
        <v>5.3996453029999998</v>
      </c>
      <c r="AP408" s="6">
        <f>[1]Emissions!AO870</f>
        <v>5.4504915479999996</v>
      </c>
      <c r="AQ408" s="6">
        <f>[1]Emissions!AP870</f>
        <v>5.5018321700000001</v>
      </c>
      <c r="AR408" s="6">
        <f>[1]Emissions!AQ870</f>
        <v>5.5538310190000004</v>
      </c>
      <c r="AS408" s="6">
        <f>[1]Emissions!AR870</f>
        <v>5.6064603159999997</v>
      </c>
      <c r="AT408" s="6">
        <f>[1]Emissions!AS870</f>
        <v>5.6597522529999997</v>
      </c>
      <c r="AU408" s="6">
        <f>[1]Emissions!AT870</f>
        <v>5.713740606</v>
      </c>
      <c r="AV408" s="6">
        <f>[1]Emissions!AU870</f>
        <v>5.7684533949999999</v>
      </c>
      <c r="AW408" s="6">
        <f>[1]Emissions!AV870</f>
        <v>5.8244162350000002</v>
      </c>
      <c r="AX408" s="6">
        <f>[1]Emissions!AW870</f>
        <v>5.8812893160000002</v>
      </c>
      <c r="AY408" s="6">
        <f>[1]Emissions!AX870</f>
        <v>5.9390332040000002</v>
      </c>
      <c r="AZ408" s="6">
        <f>[1]Emissions!AY870</f>
        <v>5.9976516889999996</v>
      </c>
      <c r="BA408" s="6">
        <f>[1]Emissions!AZ870</f>
        <v>6.0571540769999999</v>
      </c>
      <c r="BB408" s="6">
        <f>[1]Emissions!BA870</f>
        <v>7.2498662630000004</v>
      </c>
      <c r="BC408" s="6">
        <f>[1]Emissions!BB870</f>
        <v>7.3506676459999998</v>
      </c>
      <c r="BD408" s="6">
        <f>[1]Emissions!BC870</f>
        <v>7.4530505619999996</v>
      </c>
      <c r="BE408" s="6">
        <f>[1]Emissions!BD870</f>
        <v>7.5570639120000003</v>
      </c>
      <c r="BF408" s="6">
        <f>[1]Emissions!BE870</f>
        <v>7.662759103</v>
      </c>
    </row>
    <row r="409" spans="2:58" x14ac:dyDescent="0.35">
      <c r="B409" s="6" t="str">
        <f>[1]Emissions!A872</f>
        <v>ems_ci_co2_seoi_2</v>
      </c>
      <c r="C409" s="6">
        <f>[1]Emissions!B872</f>
        <v>3.0702890150000002</v>
      </c>
      <c r="D409" s="6">
        <f>[1]Emissions!C872</f>
        <v>3.0869070989999998</v>
      </c>
      <c r="E409" s="6">
        <f>[1]Emissions!D872</f>
        <v>3.0997489919999999</v>
      </c>
      <c r="F409" s="6">
        <f>[1]Emissions!E872</f>
        <v>3.114397613</v>
      </c>
      <c r="G409" s="6">
        <f>[1]Emissions!F872</f>
        <v>3.1329274979999999</v>
      </c>
      <c r="H409" s="6">
        <f>[1]Emissions!G872</f>
        <v>3.1557250639999999</v>
      </c>
      <c r="I409" s="6">
        <f>[1]Emissions!H872</f>
        <v>3.180901097</v>
      </c>
      <c r="J409" s="6">
        <f>[1]Emissions!I872</f>
        <v>3.208150624</v>
      </c>
      <c r="K409" s="6">
        <f>[1]Emissions!J872</f>
        <v>3.2368210369999999</v>
      </c>
      <c r="L409" s="6">
        <f>[1]Emissions!K872</f>
        <v>3.2661466259999998</v>
      </c>
      <c r="M409" s="6">
        <f>[1]Emissions!L872</f>
        <v>3.2951284749999998</v>
      </c>
      <c r="N409" s="6">
        <f>[1]Emissions!M872</f>
        <v>3.327016983</v>
      </c>
      <c r="O409" s="6">
        <f>[1]Emissions!N872</f>
        <v>3.3596360299999999</v>
      </c>
      <c r="P409" s="6">
        <f>[1]Emissions!O872</f>
        <v>3.392498357</v>
      </c>
      <c r="Q409" s="6">
        <f>[1]Emissions!P872</f>
        <v>3.4255057579999999</v>
      </c>
      <c r="R409" s="6">
        <f>[1]Emissions!Q872</f>
        <v>3.4586292570000001</v>
      </c>
      <c r="S409" s="6">
        <f>[1]Emissions!R872</f>
        <v>3.4921863929999999</v>
      </c>
      <c r="T409" s="6">
        <f>[1]Emissions!S872</f>
        <v>3.525791721</v>
      </c>
      <c r="U409" s="6">
        <f>[1]Emissions!T872</f>
        <v>3.5594415100000001</v>
      </c>
      <c r="V409" s="6">
        <f>[1]Emissions!U872</f>
        <v>3.5931861409999999</v>
      </c>
      <c r="W409" s="6">
        <f>[1]Emissions!V872</f>
        <v>3.6252944980000001</v>
      </c>
      <c r="X409" s="6">
        <f>[1]Emissions!W872</f>
        <v>3.658498647</v>
      </c>
      <c r="Y409" s="6">
        <f>[1]Emissions!X872</f>
        <v>3.6924191259999999</v>
      </c>
      <c r="Z409" s="6">
        <f>[1]Emissions!Y872</f>
        <v>3.7269155700000001</v>
      </c>
      <c r="AA409" s="6">
        <f>[1]Emissions!Z872</f>
        <v>3.7619854020000001</v>
      </c>
      <c r="AB409" s="6">
        <f>[1]Emissions!AA872</f>
        <v>3.7925316050000002</v>
      </c>
      <c r="AC409" s="6">
        <f>[1]Emissions!AB872</f>
        <v>3.8236349860000001</v>
      </c>
      <c r="AD409" s="6">
        <f>[1]Emissions!AC872</f>
        <v>3.855402829</v>
      </c>
      <c r="AE409" s="6">
        <f>[1]Emissions!AD872</f>
        <v>3.8878232320000001</v>
      </c>
      <c r="AF409" s="6">
        <f>[1]Emissions!AE872</f>
        <v>3.920963403</v>
      </c>
      <c r="AG409" s="6">
        <f>[1]Emissions!AF872</f>
        <v>3.9549072980000002</v>
      </c>
      <c r="AH409" s="6">
        <f>[1]Emissions!AG872</f>
        <v>3.9896292469999999</v>
      </c>
      <c r="AI409" s="6">
        <f>[1]Emissions!AH872</f>
        <v>4.0252943559999999</v>
      </c>
      <c r="AJ409" s="6">
        <f>[1]Emissions!AI872</f>
        <v>4.0619433899999997</v>
      </c>
      <c r="AK409" s="6">
        <f>[1]Emissions!AJ872</f>
        <v>4.0995879129999997</v>
      </c>
      <c r="AL409" s="6">
        <f>[1]Emissions!AK872</f>
        <v>4.1382256049999997</v>
      </c>
      <c r="AM409" s="6">
        <f>[1]Emissions!AL872</f>
        <v>4.1757002119999997</v>
      </c>
      <c r="AN409" s="6">
        <f>[1]Emissions!AM872</f>
        <v>4.2136255199999999</v>
      </c>
      <c r="AO409" s="6">
        <f>[1]Emissions!AN872</f>
        <v>4.2523186519999996</v>
      </c>
      <c r="AP409" s="6">
        <f>[1]Emissions!AO872</f>
        <v>4.2918329430000002</v>
      </c>
      <c r="AQ409" s="6">
        <f>[1]Emissions!AP872</f>
        <v>4.3321662720000003</v>
      </c>
      <c r="AR409" s="6">
        <f>[1]Emissions!AQ872</f>
        <v>4.373149078</v>
      </c>
      <c r="AS409" s="6">
        <f>[1]Emissions!AR872</f>
        <v>4.4149441899999999</v>
      </c>
      <c r="AT409" s="6">
        <f>[1]Emissions!AS872</f>
        <v>4.4575492140000001</v>
      </c>
      <c r="AU409" s="6">
        <f>[1]Emissions!AT872</f>
        <v>4.5009402879999998</v>
      </c>
      <c r="AV409" s="6">
        <f>[1]Emissions!AU872</f>
        <v>4.5450909370000003</v>
      </c>
      <c r="AW409" s="6">
        <f>[1]Emissions!AV872</f>
        <v>4.5895256069999997</v>
      </c>
      <c r="AX409" s="6">
        <f>[1]Emissions!AW872</f>
        <v>4.6347965039999997</v>
      </c>
      <c r="AY409" s="6">
        <f>[1]Emissions!AX872</f>
        <v>4.6808999179999997</v>
      </c>
      <c r="AZ409" s="6">
        <f>[1]Emissions!AY872</f>
        <v>4.7277723299999996</v>
      </c>
      <c r="BA409" s="6">
        <f>[1]Emissions!AZ872</f>
        <v>4.7753537130000003</v>
      </c>
      <c r="BB409" s="6">
        <f>[1]Emissions!BA872</f>
        <v>4.9407715779999997</v>
      </c>
      <c r="BC409" s="6">
        <f>[1]Emissions!BB872</f>
        <v>5.0032921830000001</v>
      </c>
      <c r="BD409" s="6">
        <f>[1]Emissions!BC872</f>
        <v>5.0669809370000003</v>
      </c>
      <c r="BE409" s="6">
        <f>[1]Emissions!BD872</f>
        <v>5.1318433590000003</v>
      </c>
      <c r="BF409" s="6">
        <f>[1]Emissions!BE872</f>
        <v>5.197886574</v>
      </c>
    </row>
    <row r="410" spans="2:58" x14ac:dyDescent="0.35">
      <c r="B410" s="6" t="str">
        <f>[1]Emissions!A874</f>
        <v>ems_ci_co2_sega_2</v>
      </c>
      <c r="C410" s="6">
        <f>[1]Emissions!B874</f>
        <v>3.632691012</v>
      </c>
      <c r="D410" s="6">
        <f>[1]Emissions!C874</f>
        <v>3.652353535</v>
      </c>
      <c r="E410" s="6">
        <f>[1]Emissions!D874</f>
        <v>3.6675482289999999</v>
      </c>
      <c r="F410" s="6">
        <f>[1]Emissions!E874</f>
        <v>3.6848805699999998</v>
      </c>
      <c r="G410" s="6">
        <f>[1]Emissions!F874</f>
        <v>3.7068050050000001</v>
      </c>
      <c r="H410" s="6">
        <f>[1]Emissions!G874</f>
        <v>3.7337786689999999</v>
      </c>
      <c r="I410" s="6">
        <f>[1]Emissions!H874</f>
        <v>3.763566279</v>
      </c>
      <c r="J410" s="6">
        <f>[1]Emissions!I874</f>
        <v>3.7958070130000001</v>
      </c>
      <c r="K410" s="6">
        <f>[1]Emissions!J874</f>
        <v>3.8297287500000001</v>
      </c>
      <c r="L410" s="6">
        <f>[1]Emissions!K874</f>
        <v>3.8644255630000002</v>
      </c>
      <c r="M410" s="6">
        <f>[1]Emissions!L874</f>
        <v>3.8987156089999999</v>
      </c>
      <c r="N410" s="6">
        <f>[1]Emissions!M874</f>
        <v>3.9364446910000002</v>
      </c>
      <c r="O410" s="6">
        <f>[1]Emissions!N874</f>
        <v>3.9750380939999999</v>
      </c>
      <c r="P410" s="6">
        <f>[1]Emissions!O874</f>
        <v>4.0139193280000001</v>
      </c>
      <c r="Q410" s="6">
        <f>[1]Emissions!P874</f>
        <v>4.0529722210000001</v>
      </c>
      <c r="R410" s="6">
        <f>[1]Emissions!Q874</f>
        <v>4.0921625129999999</v>
      </c>
      <c r="S410" s="6">
        <f>[1]Emissions!R874</f>
        <v>4.1318659249999996</v>
      </c>
      <c r="T410" s="6">
        <f>[1]Emissions!S874</f>
        <v>4.1716264230000002</v>
      </c>
      <c r="U410" s="6">
        <f>[1]Emissions!T874</f>
        <v>4.2114395990000002</v>
      </c>
      <c r="V410" s="6">
        <f>[1]Emissions!U874</f>
        <v>4.2513650710000004</v>
      </c>
      <c r="W410" s="6">
        <f>[1]Emissions!V874</f>
        <v>4.2893546369999997</v>
      </c>
      <c r="X410" s="6">
        <f>[1]Emissions!W874</f>
        <v>4.3286407980000003</v>
      </c>
      <c r="Y410" s="6">
        <f>[1]Emissions!X874</f>
        <v>4.3687745700000002</v>
      </c>
      <c r="Z410" s="6">
        <f>[1]Emissions!Y874</f>
        <v>4.4095898680000003</v>
      </c>
      <c r="AA410" s="6">
        <f>[1]Emissions!Z874</f>
        <v>4.4510836300000003</v>
      </c>
      <c r="AB410" s="6">
        <f>[1]Emissions!AA874</f>
        <v>4.4872252289999999</v>
      </c>
      <c r="AC410" s="6">
        <f>[1]Emissions!AB874</f>
        <v>4.524026128</v>
      </c>
      <c r="AD410" s="6">
        <f>[1]Emissions!AC874</f>
        <v>4.5616132440000001</v>
      </c>
      <c r="AE410" s="6">
        <f>[1]Emissions!AD874</f>
        <v>4.5999724799999999</v>
      </c>
      <c r="AF410" s="6">
        <f>[1]Emissions!AE874</f>
        <v>4.6391833389999997</v>
      </c>
      <c r="AG410" s="6">
        <f>[1]Emissions!AF874</f>
        <v>4.6793451419999998</v>
      </c>
      <c r="AH410" s="6">
        <f>[1]Emissions!AG874</f>
        <v>4.7204275080000002</v>
      </c>
      <c r="AI410" s="6">
        <f>[1]Emissions!AH874</f>
        <v>4.7626257790000004</v>
      </c>
      <c r="AJ410" s="6">
        <f>[1]Emissions!AI874</f>
        <v>4.8059881820000001</v>
      </c>
      <c r="AK410" s="6">
        <f>[1]Emissions!AJ874</f>
        <v>4.8505283910000001</v>
      </c>
      <c r="AL410" s="6">
        <f>[1]Emissions!AK874</f>
        <v>4.8962436619999998</v>
      </c>
      <c r="AM410" s="6">
        <f>[1]Emissions!AL874</f>
        <v>4.9405827750000002</v>
      </c>
      <c r="AN410" s="6">
        <f>[1]Emissions!AM874</f>
        <v>4.9854551249999997</v>
      </c>
      <c r="AO410" s="6">
        <f>[1]Emissions!AN874</f>
        <v>5.0312359219999996</v>
      </c>
      <c r="AP410" s="6">
        <f>[1]Emissions!AO874</f>
        <v>5.0779882719999998</v>
      </c>
      <c r="AQ410" s="6">
        <f>[1]Emissions!AP874</f>
        <v>5.1257096640000004</v>
      </c>
      <c r="AR410" s="6">
        <f>[1]Emissions!AQ874</f>
        <v>5.1741994790000003</v>
      </c>
      <c r="AS410" s="6">
        <f>[1]Emissions!AR874</f>
        <v>5.2236503709999997</v>
      </c>
      <c r="AT410" s="6">
        <f>[1]Emissions!AS874</f>
        <v>5.274059512</v>
      </c>
      <c r="AU410" s="6">
        <f>[1]Emissions!AT874</f>
        <v>5.3253986700000002</v>
      </c>
      <c r="AV410" s="6">
        <f>[1]Emissions!AU874</f>
        <v>5.3776365239999997</v>
      </c>
      <c r="AW410" s="6">
        <f>[1]Emissions!AV874</f>
        <v>5.430210411</v>
      </c>
      <c r="AX410" s="6">
        <f>[1]Emissions!AW874</f>
        <v>5.4837736919999998</v>
      </c>
      <c r="AY410" s="6">
        <f>[1]Emissions!AX874</f>
        <v>5.5383219759999998</v>
      </c>
      <c r="AZ410" s="6">
        <f>[1]Emissions!AY874</f>
        <v>5.5937801130000002</v>
      </c>
      <c r="BA410" s="6">
        <f>[1]Emissions!AZ874</f>
        <v>5.6500770830000002</v>
      </c>
      <c r="BB410" s="6">
        <f>[1]Emissions!BA874</f>
        <v>5.8457940060000002</v>
      </c>
      <c r="BC410" s="6">
        <f>[1]Emissions!BB874</f>
        <v>5.9197668380000001</v>
      </c>
      <c r="BD410" s="6">
        <f>[1]Emissions!BC874</f>
        <v>5.9951217950000002</v>
      </c>
      <c r="BE410" s="6">
        <f>[1]Emissions!BD874</f>
        <v>6.0718654030000003</v>
      </c>
      <c r="BF410" s="6">
        <f>[1]Emissions!BE874</f>
        <v>6.150006093</v>
      </c>
    </row>
    <row r="411" spans="2:58" x14ac:dyDescent="0.35">
      <c r="B411" s="6" t="str">
        <f>[1]Emissions!A876</f>
        <v>ems_ci_co2_seco_2</v>
      </c>
      <c r="C411" s="6">
        <f>[1]Emissions!B876</f>
        <v>7.4879740559999997</v>
      </c>
      <c r="D411" s="6">
        <f>[1]Emissions!C876</f>
        <v>7.5285039170000001</v>
      </c>
      <c r="E411" s="6">
        <f>[1]Emissions!D876</f>
        <v>7.5598243539999999</v>
      </c>
      <c r="F411" s="6">
        <f>[1]Emissions!E876</f>
        <v>7.59555107</v>
      </c>
      <c r="G411" s="6">
        <f>[1]Emissions!F876</f>
        <v>7.6407433539999996</v>
      </c>
      <c r="H411" s="6">
        <f>[1]Emissions!G876</f>
        <v>7.6963434849999999</v>
      </c>
      <c r="I411" s="6">
        <f>[1]Emissions!H876</f>
        <v>7.7577439310000003</v>
      </c>
      <c r="J411" s="6">
        <f>[1]Emissions!I876</f>
        <v>7.8242009399999999</v>
      </c>
      <c r="K411" s="6">
        <f>[1]Emissions!J876</f>
        <v>7.8941229589999997</v>
      </c>
      <c r="L411" s="6">
        <f>[1]Emissions!K876</f>
        <v>7.9656426219999998</v>
      </c>
      <c r="M411" s="6">
        <f>[1]Emissions!L876</f>
        <v>8.0363238260000003</v>
      </c>
      <c r="N411" s="6">
        <f>[1]Emissions!M876</f>
        <v>8.1140938269999996</v>
      </c>
      <c r="O411" s="6">
        <f>[1]Emissions!N876</f>
        <v>8.1936454330000004</v>
      </c>
      <c r="P411" s="6">
        <f>[1]Emissions!O876</f>
        <v>8.2737903359999994</v>
      </c>
      <c r="Q411" s="6">
        <f>[1]Emissions!P876</f>
        <v>8.3542890770000007</v>
      </c>
      <c r="R411" s="6">
        <f>[1]Emissions!Q876</f>
        <v>8.4350710329999998</v>
      </c>
      <c r="S411" s="6">
        <f>[1]Emissions!R876</f>
        <v>8.5169106719999998</v>
      </c>
      <c r="T411" s="6">
        <f>[1]Emissions!S876</f>
        <v>8.5988679789999996</v>
      </c>
      <c r="U411" s="6">
        <f>[1]Emissions!T876</f>
        <v>8.6809338720000007</v>
      </c>
      <c r="V411" s="6">
        <f>[1]Emissions!U876</f>
        <v>8.7632312369999994</v>
      </c>
      <c r="W411" s="6">
        <f>[1]Emissions!V876</f>
        <v>8.8415381689999997</v>
      </c>
      <c r="X411" s="6">
        <f>[1]Emissions!W876</f>
        <v>8.9225177379999998</v>
      </c>
      <c r="Y411" s="6">
        <f>[1]Emissions!X876</f>
        <v>9.0052444660000006</v>
      </c>
      <c r="Z411" s="6">
        <f>[1]Emissions!Y876</f>
        <v>9.0893760070000003</v>
      </c>
      <c r="AA411" s="6">
        <f>[1]Emissions!Z876</f>
        <v>9.1749060490000005</v>
      </c>
      <c r="AB411" s="6">
        <f>[1]Emissions!AA876</f>
        <v>9.2494038130000007</v>
      </c>
      <c r="AC411" s="6">
        <f>[1]Emissions!AB876</f>
        <v>9.3252605749999997</v>
      </c>
      <c r="AD411" s="6">
        <f>[1]Emissions!AC876</f>
        <v>9.4027379460000002</v>
      </c>
      <c r="AE411" s="6">
        <f>[1]Emissions!AD876</f>
        <v>9.4818068679999996</v>
      </c>
      <c r="AF411" s="6">
        <f>[1]Emissions!AE876</f>
        <v>9.5626312179999999</v>
      </c>
      <c r="AG411" s="6">
        <f>[1]Emissions!AF876</f>
        <v>9.6454157259999995</v>
      </c>
      <c r="AH411" s="6">
        <f>[1]Emissions!AG876</f>
        <v>9.7300977680000003</v>
      </c>
      <c r="AI411" s="6">
        <f>[1]Emissions!AH876</f>
        <v>9.8170799970000004</v>
      </c>
      <c r="AJ411" s="6">
        <f>[1]Emissions!AI876</f>
        <v>9.9064618200000005</v>
      </c>
      <c r="AK411" s="6">
        <f>[1]Emissions!AJ876</f>
        <v>9.9982714260000005</v>
      </c>
      <c r="AL411" s="6">
        <f>[1]Emissions!AK876</f>
        <v>10.09250316</v>
      </c>
      <c r="AM411" s="6">
        <f>[1]Emissions!AL876</f>
        <v>10.18389825</v>
      </c>
      <c r="AN411" s="6">
        <f>[1]Emissions!AM876</f>
        <v>10.276392489999999</v>
      </c>
      <c r="AO411" s="6">
        <f>[1]Emissions!AN876</f>
        <v>10.370759290000001</v>
      </c>
      <c r="AP411" s="6">
        <f>[1]Emissions!AO876</f>
        <v>10.46712872</v>
      </c>
      <c r="AQ411" s="6">
        <f>[1]Emissions!AP876</f>
        <v>10.56549562</v>
      </c>
      <c r="AR411" s="6">
        <f>[1]Emissions!AQ876</f>
        <v>10.665446449999999</v>
      </c>
      <c r="AS411" s="6">
        <f>[1]Emissions!AR876</f>
        <v>10.767378320000001</v>
      </c>
      <c r="AT411" s="6">
        <f>[1]Emissions!AS876</f>
        <v>10.87128541</v>
      </c>
      <c r="AU411" s="6">
        <f>[1]Emissions!AT876</f>
        <v>10.977109520000001</v>
      </c>
      <c r="AV411" s="6">
        <f>[1]Emissions!AU876</f>
        <v>11.084786080000001</v>
      </c>
      <c r="AW411" s="6">
        <f>[1]Emissions!AV876</f>
        <v>11.19315531</v>
      </c>
      <c r="AX411" s="6">
        <f>[1]Emissions!AW876</f>
        <v>11.30356394</v>
      </c>
      <c r="AY411" s="6">
        <f>[1]Emissions!AX876</f>
        <v>11.41600294</v>
      </c>
      <c r="AZ411" s="6">
        <f>[1]Emissions!AY876</f>
        <v>11.53031739</v>
      </c>
      <c r="BA411" s="6">
        <f>[1]Emissions!AZ876</f>
        <v>11.64636091</v>
      </c>
      <c r="BB411" s="6">
        <f>[1]Emissions!BA876</f>
        <v>12.04978725</v>
      </c>
      <c r="BC411" s="6">
        <f>[1]Emissions!BB876</f>
        <v>12.202265580000001</v>
      </c>
      <c r="BD411" s="6">
        <f>[1]Emissions!BC876</f>
        <v>12.35759285</v>
      </c>
      <c r="BE411" s="6">
        <f>[1]Emissions!BD876</f>
        <v>12.5157825</v>
      </c>
      <c r="BF411" s="6">
        <f>[1]Emissions!BE876</f>
        <v>12.67685193</v>
      </c>
    </row>
    <row r="412" spans="2:58" x14ac:dyDescent="0.35">
      <c r="B412" s="6" t="str">
        <f>[1]Emissions!A878</f>
        <v>ems_ci_co2_sech_2</v>
      </c>
      <c r="C412" s="6">
        <f>[1]Emissions!B878</f>
        <v>9.7928455190000001</v>
      </c>
      <c r="D412" s="6">
        <f>[1]Emissions!C878</f>
        <v>9.885161987</v>
      </c>
      <c r="E412" s="6">
        <f>[1]Emissions!D878</f>
        <v>9.9616762580000007</v>
      </c>
      <c r="F412" s="6">
        <f>[1]Emissions!E878</f>
        <v>10.04058369</v>
      </c>
      <c r="G412" s="6">
        <f>[1]Emissions!F878</f>
        <v>10.126767409999999</v>
      </c>
      <c r="H412" s="6">
        <f>[1]Emissions!G878</f>
        <v>10.221399679999999</v>
      </c>
      <c r="I412" s="6">
        <f>[1]Emissions!H878</f>
        <v>10.317241109999999</v>
      </c>
      <c r="J412" s="6">
        <f>[1]Emissions!I878</f>
        <v>10.416301349999999</v>
      </c>
      <c r="K412" s="6">
        <f>[1]Emissions!J878</f>
        <v>10.51932985</v>
      </c>
      <c r="L412" s="6">
        <f>[1]Emissions!K878</f>
        <v>10.6259941</v>
      </c>
      <c r="M412" s="6">
        <f>[1]Emissions!L878</f>
        <v>10.73434602</v>
      </c>
      <c r="N412" s="6">
        <f>[1]Emissions!M878</f>
        <v>10.83998543</v>
      </c>
      <c r="O412" s="6">
        <f>[1]Emissions!N878</f>
        <v>10.941422169999999</v>
      </c>
      <c r="P412" s="6">
        <f>[1]Emissions!O878</f>
        <v>11.04061237</v>
      </c>
      <c r="Q412" s="6">
        <f>[1]Emissions!P878</f>
        <v>11.139137529999999</v>
      </c>
      <c r="R412" s="6">
        <f>[1]Emissions!Q878</f>
        <v>11.23787306</v>
      </c>
      <c r="S412" s="6">
        <f>[1]Emissions!R878</f>
        <v>11.338098459999999</v>
      </c>
      <c r="T412" s="6">
        <f>[1]Emissions!S878</f>
        <v>11.438867760000001</v>
      </c>
      <c r="U412" s="6">
        <f>[1]Emissions!T878</f>
        <v>11.540254239999999</v>
      </c>
      <c r="V412" s="6">
        <f>[1]Emissions!U878</f>
        <v>11.642371839999999</v>
      </c>
      <c r="W412" s="6">
        <f>[1]Emissions!V878</f>
        <v>11.73719635</v>
      </c>
      <c r="X412" s="6">
        <f>[1]Emissions!W878</f>
        <v>11.83686883</v>
      </c>
      <c r="Y412" s="6">
        <f>[1]Emissions!X878</f>
        <v>11.93978237</v>
      </c>
      <c r="Z412" s="6">
        <f>[1]Emissions!Y878</f>
        <v>12.044821430000001</v>
      </c>
      <c r="AA412" s="6">
        <f>[1]Emissions!Z878</f>
        <v>12.151550609999999</v>
      </c>
      <c r="AB412" s="6">
        <f>[1]Emissions!AA878</f>
        <v>12.2371493</v>
      </c>
      <c r="AC412" s="6">
        <f>[1]Emissions!AB878</f>
        <v>12.32422996</v>
      </c>
      <c r="AD412" s="6">
        <f>[1]Emissions!AC878</f>
        <v>12.413771860000001</v>
      </c>
      <c r="AE412" s="6">
        <f>[1]Emissions!AD878</f>
        <v>12.50536086</v>
      </c>
      <c r="AF412" s="6">
        <f>[1]Emissions!AE878</f>
        <v>12.59884448</v>
      </c>
      <c r="AG412" s="6">
        <f>[1]Emissions!AF878</f>
        <v>12.694230859999999</v>
      </c>
      <c r="AH412" s="6">
        <f>[1]Emissions!AG878</f>
        <v>12.791323240000001</v>
      </c>
      <c r="AI412" s="6">
        <f>[1]Emissions!AH878</f>
        <v>12.890504249999999</v>
      </c>
      <c r="AJ412" s="6">
        <f>[1]Emissions!AI878</f>
        <v>12.9918227</v>
      </c>
      <c r="AK412" s="6">
        <f>[1]Emissions!AJ878</f>
        <v>13.09528308</v>
      </c>
      <c r="AL412" s="6">
        <f>[1]Emissions!AK878</f>
        <v>13.20087682</v>
      </c>
      <c r="AM412" s="6">
        <f>[1]Emissions!AL878</f>
        <v>13.301043030000001</v>
      </c>
      <c r="AN412" s="6">
        <f>[1]Emissions!AM878</f>
        <v>13.401202530000001</v>
      </c>
      <c r="AO412" s="6">
        <f>[1]Emissions!AN878</f>
        <v>13.502706420000001</v>
      </c>
      <c r="AP412" s="6">
        <f>[1]Emissions!AO878</f>
        <v>13.60592589</v>
      </c>
      <c r="AQ412" s="6">
        <f>[1]Emissions!AP878</f>
        <v>13.71095609</v>
      </c>
      <c r="AR412" s="6">
        <f>[1]Emissions!AQ878</f>
        <v>13.817399930000001</v>
      </c>
      <c r="AS412" s="6">
        <f>[1]Emissions!AR878</f>
        <v>13.92574527</v>
      </c>
      <c r="AT412" s="6">
        <f>[1]Emissions!AS878</f>
        <v>14.03598144</v>
      </c>
      <c r="AU412" s="6">
        <f>[1]Emissions!AT878</f>
        <v>14.14805636</v>
      </c>
      <c r="AV412" s="6">
        <f>[1]Emissions!AU878</f>
        <v>14.26192442</v>
      </c>
      <c r="AW412" s="6">
        <f>[1]Emissions!AV878</f>
        <v>14.37652971</v>
      </c>
      <c r="AX412" s="6">
        <f>[1]Emissions!AW878</f>
        <v>14.493396239999999</v>
      </c>
      <c r="AY412" s="6">
        <f>[1]Emissions!AX878</f>
        <v>14.612413310000001</v>
      </c>
      <c r="AZ412" s="6">
        <f>[1]Emissions!AY878</f>
        <v>14.733395010000001</v>
      </c>
      <c r="BA412" s="6">
        <f>[1]Emissions!AZ878</f>
        <v>14.85622575</v>
      </c>
      <c r="BB412" s="6">
        <f>[1]Emissions!BA878</f>
        <v>14.959048920000001</v>
      </c>
      <c r="BC412" s="6">
        <f>[1]Emissions!BB878</f>
        <v>15.108809000000001</v>
      </c>
      <c r="BD412" s="6">
        <f>[1]Emissions!BC878</f>
        <v>15.2610198</v>
      </c>
      <c r="BE412" s="6">
        <f>[1]Emissions!BD878</f>
        <v>15.41566873</v>
      </c>
      <c r="BF412" s="6">
        <f>[1]Emissions!BE878</f>
        <v>15.57277088</v>
      </c>
    </row>
    <row r="413" spans="2:58" x14ac:dyDescent="0.35">
      <c r="B413" s="6" t="str">
        <f>[1]Emissions!A880</f>
        <v>ems_ci_co2_seot_2</v>
      </c>
      <c r="C413" s="6">
        <f>[1]Emissions!B880</f>
        <v>1.3327066409999999</v>
      </c>
      <c r="D413" s="6">
        <f>[1]Emissions!C880</f>
        <v>1.340396326</v>
      </c>
      <c r="E413" s="6">
        <f>[1]Emissions!D880</f>
        <v>1.3461778440000001</v>
      </c>
      <c r="F413" s="6">
        <f>[1]Emissions!E880</f>
        <v>1.3524527120000001</v>
      </c>
      <c r="G413" s="6">
        <f>[1]Emissions!F880</f>
        <v>1.3601975749999999</v>
      </c>
      <c r="H413" s="6">
        <f>[1]Emissions!G880</f>
        <v>1.369681269</v>
      </c>
      <c r="I413" s="6">
        <f>[1]Emissions!H880</f>
        <v>1.380173528</v>
      </c>
      <c r="J413" s="6">
        <f>[1]Emissions!I880</f>
        <v>1.3916050639999999</v>
      </c>
      <c r="K413" s="6">
        <f>[1]Emissions!J880</f>
        <v>1.403730073</v>
      </c>
      <c r="L413" s="6">
        <f>[1]Emissions!K880</f>
        <v>1.4162338750000001</v>
      </c>
      <c r="M413" s="6">
        <f>[1]Emissions!L880</f>
        <v>1.4286813570000001</v>
      </c>
      <c r="N413" s="6">
        <f>[1]Emissions!M880</f>
        <v>1.4424889190000001</v>
      </c>
      <c r="O413" s="6">
        <f>[1]Emissions!N880</f>
        <v>1.4567162890000001</v>
      </c>
      <c r="P413" s="6">
        <f>[1]Emissions!O880</f>
        <v>1.471150991</v>
      </c>
      <c r="Q413" s="6">
        <f>[1]Emissions!P880</f>
        <v>1.4857455079999999</v>
      </c>
      <c r="R413" s="6">
        <f>[1]Emissions!Q880</f>
        <v>1.500479847</v>
      </c>
      <c r="S413" s="6">
        <f>[1]Emissions!R880</f>
        <v>1.51548924</v>
      </c>
      <c r="T413" s="6">
        <f>[1]Emissions!S880</f>
        <v>1.5305979270000001</v>
      </c>
      <c r="U413" s="6">
        <f>[1]Emissions!T880</f>
        <v>1.545793113</v>
      </c>
      <c r="V413" s="6">
        <f>[1]Emissions!U880</f>
        <v>1.5610850519999999</v>
      </c>
      <c r="W413" s="6">
        <f>[1]Emissions!V880</f>
        <v>1.575708713</v>
      </c>
      <c r="X413" s="6">
        <f>[1]Emissions!W880</f>
        <v>1.590839661</v>
      </c>
      <c r="Y413" s="6">
        <f>[1]Emissions!X880</f>
        <v>1.606304798</v>
      </c>
      <c r="Z413" s="6">
        <f>[1]Emissions!Y880</f>
        <v>1.6220365569999999</v>
      </c>
      <c r="AA413" s="6">
        <f>[1]Emissions!Z880</f>
        <v>1.6380283680000001</v>
      </c>
      <c r="AB413" s="6">
        <f>[1]Emissions!AA880</f>
        <v>1.652050646</v>
      </c>
      <c r="AC413" s="6">
        <f>[1]Emissions!AB880</f>
        <v>1.6663015059999999</v>
      </c>
      <c r="AD413" s="6">
        <f>[1]Emissions!AC880</f>
        <v>1.6808209679999999</v>
      </c>
      <c r="AE413" s="6">
        <f>[1]Emissions!AD880</f>
        <v>1.695600979</v>
      </c>
      <c r="AF413" s="6">
        <f>[1]Emissions!AE880</f>
        <v>1.7106699679999999</v>
      </c>
      <c r="AG413" s="6">
        <f>[1]Emissions!AF880</f>
        <v>1.7260648089999999</v>
      </c>
      <c r="AH413" s="6">
        <f>[1]Emissions!AG880</f>
        <v>1.7417734520000001</v>
      </c>
      <c r="AI413" s="6">
        <f>[1]Emissions!AH880</f>
        <v>1.7578693219999999</v>
      </c>
      <c r="AJ413" s="6">
        <f>[1]Emissions!AI880</f>
        <v>1.77437285</v>
      </c>
      <c r="AK413" s="6">
        <f>[1]Emissions!AJ880</f>
        <v>1.7912923119999999</v>
      </c>
      <c r="AL413" s="6">
        <f>[1]Emissions!AK880</f>
        <v>1.808630127</v>
      </c>
      <c r="AM413" s="6">
        <f>[1]Emissions!AL880</f>
        <v>1.825428321</v>
      </c>
      <c r="AN413" s="6">
        <f>[1]Emissions!AM880</f>
        <v>1.8423902999999999</v>
      </c>
      <c r="AO413" s="6">
        <f>[1]Emissions!AN880</f>
        <v>1.8596597880000001</v>
      </c>
      <c r="AP413" s="6">
        <f>[1]Emissions!AO880</f>
        <v>1.877267282</v>
      </c>
      <c r="AQ413" s="6">
        <f>[1]Emissions!AP880</f>
        <v>1.895218603</v>
      </c>
      <c r="AR413" s="6">
        <f>[1]Emissions!AQ880</f>
        <v>1.9134419949999999</v>
      </c>
      <c r="AS413" s="6">
        <f>[1]Emissions!AR880</f>
        <v>1.9320122159999999</v>
      </c>
      <c r="AT413" s="6">
        <f>[1]Emissions!AS880</f>
        <v>1.950931829</v>
      </c>
      <c r="AU413" s="6">
        <f>[1]Emissions!AT880</f>
        <v>1.9701935829999999</v>
      </c>
      <c r="AV413" s="6">
        <f>[1]Emissions!AU880</f>
        <v>1.9897885209999999</v>
      </c>
      <c r="AW413" s="6">
        <f>[1]Emissions!AV880</f>
        <v>2.0094999520000001</v>
      </c>
      <c r="AX413" s="6">
        <f>[1]Emissions!AW880</f>
        <v>2.029569628</v>
      </c>
      <c r="AY413" s="6">
        <f>[1]Emissions!AX880</f>
        <v>2.0499997620000001</v>
      </c>
      <c r="AZ413" s="6">
        <f>[1]Emissions!AY880</f>
        <v>2.0707671990000001</v>
      </c>
      <c r="BA413" s="6">
        <f>[1]Emissions!AZ880</f>
        <v>2.0918496709999999</v>
      </c>
      <c r="BB413" s="6">
        <f>[1]Emissions!BA880</f>
        <v>2.1598708860000002</v>
      </c>
      <c r="BC413" s="6">
        <f>[1]Emissions!BB880</f>
        <v>2.187238834</v>
      </c>
      <c r="BD413" s="6">
        <f>[1]Emissions!BC880</f>
        <v>2.2150941770000001</v>
      </c>
      <c r="BE413" s="6">
        <f>[1]Emissions!BD880</f>
        <v>2.2434400540000001</v>
      </c>
      <c r="BF413" s="6">
        <f>[1]Emissions!BE880</f>
        <v>2.272280496</v>
      </c>
    </row>
    <row r="414" spans="2:58" x14ac:dyDescent="0.35">
      <c r="B414" s="6" t="str">
        <f>[1]Emissions!A882</f>
        <v>ems_y_co2_sagr_2</v>
      </c>
      <c r="C414" s="6">
        <f>[1]Emissions!B882</f>
        <v>2.7080309E-2</v>
      </c>
      <c r="D414" s="6">
        <f>[1]Emissions!C882</f>
        <v>2.7140754499999999E-2</v>
      </c>
      <c r="E414" s="6">
        <f>[1]Emissions!D882</f>
        <v>2.7276463099999999E-2</v>
      </c>
      <c r="F414" s="6">
        <f>[1]Emissions!E882</f>
        <v>2.7478323700000001E-2</v>
      </c>
      <c r="G414" s="6">
        <f>[1]Emissions!F882</f>
        <v>2.7738583099999999E-2</v>
      </c>
      <c r="H414" s="6">
        <f>[1]Emissions!G882</f>
        <v>2.8047606199999998E-2</v>
      </c>
      <c r="I414" s="6">
        <f>[1]Emissions!H882</f>
        <v>2.8378829099999999E-2</v>
      </c>
      <c r="J414" s="6">
        <f>[1]Emissions!I882</f>
        <v>2.87339377E-2</v>
      </c>
      <c r="K414" s="6">
        <f>[1]Emissions!J882</f>
        <v>2.9108509000000001E-2</v>
      </c>
      <c r="L414" s="6">
        <f>[1]Emissions!K882</f>
        <v>2.94987297E-2</v>
      </c>
      <c r="M414" s="6">
        <f>[1]Emissions!L882</f>
        <v>2.9890318200000002E-2</v>
      </c>
      <c r="N414" s="6">
        <f>[1]Emissions!M882</f>
        <v>3.0332158500000001E-2</v>
      </c>
      <c r="O414" s="6">
        <f>[1]Emissions!N882</f>
        <v>3.0786863800000001E-2</v>
      </c>
      <c r="P414" s="6">
        <f>[1]Emissions!O882</f>
        <v>3.1250801699999997E-2</v>
      </c>
      <c r="Q414" s="6">
        <f>[1]Emissions!P882</f>
        <v>3.1722000700000003E-2</v>
      </c>
      <c r="R414" s="6">
        <f>[1]Emissions!Q882</f>
        <v>3.2199026899999997E-2</v>
      </c>
      <c r="S414" s="6">
        <f>[1]Emissions!R882</f>
        <v>3.2679117600000002E-2</v>
      </c>
      <c r="T414" s="6">
        <f>[1]Emissions!S882</f>
        <v>3.3162344099999998E-2</v>
      </c>
      <c r="U414" s="6">
        <f>[1]Emissions!T882</f>
        <v>3.3648268500000002E-2</v>
      </c>
      <c r="V414" s="6">
        <f>[1]Emissions!U882</f>
        <v>3.4136717099999998E-2</v>
      </c>
      <c r="W414" s="6">
        <f>[1]Emissions!V882</f>
        <v>3.4606660999999997E-2</v>
      </c>
      <c r="X414" s="6">
        <f>[1]Emissions!W882</f>
        <v>3.5090690899999999E-2</v>
      </c>
      <c r="Y414" s="6">
        <f>[1]Emissions!X882</f>
        <v>3.5580259500000003E-2</v>
      </c>
      <c r="Z414" s="6">
        <f>[1]Emissions!Y882</f>
        <v>3.6074965799999997E-2</v>
      </c>
      <c r="AA414" s="6">
        <f>[1]Emissions!Z882</f>
        <v>3.6574833000000001E-2</v>
      </c>
      <c r="AB414" s="6">
        <f>[1]Emissions!AA882</f>
        <v>3.7019761700000001E-2</v>
      </c>
      <c r="AC414" s="6">
        <f>[1]Emissions!AB882</f>
        <v>3.7474841000000002E-2</v>
      </c>
      <c r="AD414" s="6">
        <f>[1]Emissions!AC882</f>
        <v>3.7930032099999997E-2</v>
      </c>
      <c r="AE414" s="6">
        <f>[1]Emissions!AD882</f>
        <v>3.8386954000000001E-2</v>
      </c>
      <c r="AF414" s="6">
        <f>[1]Emissions!AE882</f>
        <v>3.8847381399999999E-2</v>
      </c>
      <c r="AG414" s="6">
        <f>[1]Emissions!AF882</f>
        <v>3.9312775299999998E-2</v>
      </c>
      <c r="AH414" s="6">
        <f>[1]Emissions!AG882</f>
        <v>3.9784702200000001E-2</v>
      </c>
      <c r="AI414" s="6">
        <f>[1]Emissions!AH882</f>
        <v>4.0263635800000003E-2</v>
      </c>
      <c r="AJ414" s="6">
        <f>[1]Emissions!AI882</f>
        <v>4.0749977E-2</v>
      </c>
      <c r="AK414" s="6">
        <f>[1]Emissions!AJ882</f>
        <v>4.12439047E-2</v>
      </c>
      <c r="AL414" s="6">
        <f>[1]Emissions!AK882</f>
        <v>4.1745463400000002E-2</v>
      </c>
      <c r="AM414" s="6">
        <f>[1]Emissions!AL882</f>
        <v>4.2245039700000001E-2</v>
      </c>
      <c r="AN414" s="6">
        <f>[1]Emissions!AM882</f>
        <v>4.2747740999999999E-2</v>
      </c>
      <c r="AO414" s="6">
        <f>[1]Emissions!AN882</f>
        <v>4.3254924399999999E-2</v>
      </c>
      <c r="AP414" s="6">
        <f>[1]Emissions!AO882</f>
        <v>4.3767339099999997E-2</v>
      </c>
      <c r="AQ414" s="6">
        <f>[1]Emissions!AP882</f>
        <v>4.4285584199999999E-2</v>
      </c>
      <c r="AR414" s="6">
        <f>[1]Emissions!AQ882</f>
        <v>4.4810980399999999E-2</v>
      </c>
      <c r="AS414" s="6">
        <f>[1]Emissions!AR882</f>
        <v>4.5343573499999998E-2</v>
      </c>
      <c r="AT414" s="6">
        <f>[1]Emissions!AS882</f>
        <v>4.5883623599999999E-2</v>
      </c>
      <c r="AU414" s="6">
        <f>[1]Emissions!AT882</f>
        <v>4.6431250399999999E-2</v>
      </c>
      <c r="AV414" s="6">
        <f>[1]Emissions!AU882</f>
        <v>4.6986483400000001E-2</v>
      </c>
      <c r="AW414" s="6">
        <f>[1]Emissions!AV882</f>
        <v>4.7553424099999998E-2</v>
      </c>
      <c r="AX414" s="6">
        <f>[1]Emissions!AW882</f>
        <v>4.8129969600000003E-2</v>
      </c>
      <c r="AY414" s="6">
        <f>[1]Emissions!AX882</f>
        <v>4.8715666499999997E-2</v>
      </c>
      <c r="AZ414" s="6">
        <f>[1]Emissions!AY882</f>
        <v>4.9310009299999999E-2</v>
      </c>
      <c r="BA414" s="6">
        <f>[1]Emissions!AZ882</f>
        <v>4.9912557400000002E-2</v>
      </c>
      <c r="BB414" s="6">
        <f>[1]Emissions!BA882</f>
        <v>6.0330790299999999E-2</v>
      </c>
      <c r="BC414" s="6">
        <f>[1]Emissions!BB882</f>
        <v>6.1318025399999997E-2</v>
      </c>
      <c r="BD414" s="6">
        <f>[1]Emissions!BC882</f>
        <v>6.2321753899999999E-2</v>
      </c>
      <c r="BE414" s="6">
        <f>[1]Emissions!BD882</f>
        <v>6.3342322300000004E-2</v>
      </c>
      <c r="BF414" s="6">
        <f>[1]Emissions!BE882</f>
        <v>6.4380092700000002E-2</v>
      </c>
    </row>
    <row r="415" spans="2:58" x14ac:dyDescent="0.35">
      <c r="B415" s="6" t="str">
        <f>[1]Emissions!A883</f>
        <v>ems_mat_co2_spub_2</v>
      </c>
      <c r="C415" s="6">
        <f>[1]Emissions!B883</f>
        <v>4.2751705639999997</v>
      </c>
      <c r="D415" s="6">
        <f>[1]Emissions!C883</f>
        <v>4.3314833420000003</v>
      </c>
      <c r="E415" s="6">
        <f>[1]Emissions!D883</f>
        <v>4.3946032659999998</v>
      </c>
      <c r="F415" s="6">
        <f>[1]Emissions!E883</f>
        <v>4.4609155100000004</v>
      </c>
      <c r="G415" s="6">
        <f>[1]Emissions!F883</f>
        <v>4.5298048340000001</v>
      </c>
      <c r="H415" s="6">
        <f>[1]Emissions!G883</f>
        <v>4.601005003</v>
      </c>
      <c r="I415" s="6">
        <f>[1]Emissions!H883</f>
        <v>4.6705726590000003</v>
      </c>
      <c r="J415" s="6">
        <f>[1]Emissions!I883</f>
        <v>4.7412716789999996</v>
      </c>
      <c r="K415" s="6">
        <f>[1]Emissions!J883</f>
        <v>4.8133630150000002</v>
      </c>
      <c r="L415" s="6">
        <f>[1]Emissions!K883</f>
        <v>4.8868082030000002</v>
      </c>
      <c r="M415" s="6">
        <f>[1]Emissions!L883</f>
        <v>4.9671742549999998</v>
      </c>
      <c r="N415" s="6">
        <f>[1]Emissions!M883</f>
        <v>5.0445163730000004</v>
      </c>
      <c r="O415" s="6">
        <f>[1]Emissions!N883</f>
        <v>5.1227416610000001</v>
      </c>
      <c r="P415" s="6">
        <f>[1]Emissions!O883</f>
        <v>5.2022331360000003</v>
      </c>
      <c r="Q415" s="6">
        <f>[1]Emissions!P883</f>
        <v>5.2829878600000004</v>
      </c>
      <c r="R415" s="6">
        <f>[1]Emissions!Q883</f>
        <v>5.3649737359999996</v>
      </c>
      <c r="S415" s="6">
        <f>[1]Emissions!R883</f>
        <v>5.4481266819999998</v>
      </c>
      <c r="T415" s="6">
        <f>[1]Emissions!S883</f>
        <v>5.5324510379999996</v>
      </c>
      <c r="U415" s="6">
        <f>[1]Emissions!T883</f>
        <v>5.6179496440000003</v>
      </c>
      <c r="V415" s="6">
        <f>[1]Emissions!U883</f>
        <v>5.7046296969999997</v>
      </c>
      <c r="W415" s="6">
        <f>[1]Emissions!V883</f>
        <v>5.7876834390000003</v>
      </c>
      <c r="X415" s="6">
        <f>[1]Emissions!W883</f>
        <v>5.8758364529999998</v>
      </c>
      <c r="Y415" s="6">
        <f>[1]Emissions!X883</f>
        <v>5.9657663330000004</v>
      </c>
      <c r="Z415" s="6">
        <f>[1]Emissions!Y883</f>
        <v>6.0570694490000001</v>
      </c>
      <c r="AA415" s="6">
        <f>[1]Emissions!Z883</f>
        <v>6.1497129729999997</v>
      </c>
      <c r="AB415" s="6">
        <f>[1]Emissions!AA883</f>
        <v>6.2297565290000003</v>
      </c>
      <c r="AC415" s="6">
        <f>[1]Emissions!AB883</f>
        <v>6.3158278680000004</v>
      </c>
      <c r="AD415" s="6">
        <f>[1]Emissions!AC883</f>
        <v>6.4035171909999997</v>
      </c>
      <c r="AE415" s="6">
        <f>[1]Emissions!AD883</f>
        <v>6.492343237</v>
      </c>
      <c r="AF415" s="6">
        <f>[1]Emissions!AE883</f>
        <v>6.5823168369999996</v>
      </c>
      <c r="AG415" s="6">
        <f>[1]Emissions!AF883</f>
        <v>6.6735004919999996</v>
      </c>
      <c r="AH415" s="6">
        <f>[1]Emissions!AG883</f>
        <v>6.7659621650000004</v>
      </c>
      <c r="AI415" s="6">
        <f>[1]Emissions!AH883</f>
        <v>6.8597389240000002</v>
      </c>
      <c r="AJ415" s="6">
        <f>[1]Emissions!AI883</f>
        <v>6.9548593580000002</v>
      </c>
      <c r="AK415" s="6">
        <f>[1]Emissions!AJ883</f>
        <v>7.051344855</v>
      </c>
      <c r="AL415" s="6">
        <f>[1]Emissions!AK883</f>
        <v>7.1492122770000002</v>
      </c>
      <c r="AM415" s="6">
        <f>[1]Emissions!AL883</f>
        <v>7.2452064749999998</v>
      </c>
      <c r="AN415" s="6">
        <f>[1]Emissions!AM883</f>
        <v>7.341988798</v>
      </c>
      <c r="AO415" s="6">
        <f>[1]Emissions!AN883</f>
        <v>7.4399274389999999</v>
      </c>
      <c r="AP415" s="6">
        <f>[1]Emissions!AO883</f>
        <v>7.5391040770000002</v>
      </c>
      <c r="AQ415" s="6">
        <f>[1]Emissions!AP883</f>
        <v>7.6395656440000002</v>
      </c>
      <c r="AR415" s="6">
        <f>[1]Emissions!AQ883</f>
        <v>7.7413739440000002</v>
      </c>
      <c r="AS415" s="6">
        <f>[1]Emissions!AR883</f>
        <v>7.8445577960000001</v>
      </c>
      <c r="AT415" s="6">
        <f>[1]Emissions!AS883</f>
        <v>7.949145014</v>
      </c>
      <c r="AU415" s="6">
        <f>[1]Emissions!AT883</f>
        <v>8.0551591079999998</v>
      </c>
      <c r="AV415" s="6">
        <f>[1]Emissions!AU883</f>
        <v>8.1626195910000003</v>
      </c>
      <c r="AW415" s="6">
        <f>[1]Emissions!AV883</f>
        <v>8.2719236049999996</v>
      </c>
      <c r="AX415" s="6">
        <f>[1]Emissions!AW883</f>
        <v>8.3828111130000007</v>
      </c>
      <c r="AY415" s="6">
        <f>[1]Emissions!AX883</f>
        <v>8.4952482390000004</v>
      </c>
      <c r="AZ415" s="6">
        <f>[1]Emissions!AY883</f>
        <v>8.6092328949999999</v>
      </c>
      <c r="BA415" s="6">
        <f>[1]Emissions!AZ883</f>
        <v>8.7247702050000004</v>
      </c>
      <c r="BB415" s="6">
        <f>[1]Emissions!BA883</f>
        <v>9.7775559039999997</v>
      </c>
      <c r="BC415" s="6">
        <f>[1]Emissions!BB883</f>
        <v>9.9451361689999995</v>
      </c>
      <c r="BD415" s="6">
        <f>[1]Emissions!BC883</f>
        <v>10.115565180000001</v>
      </c>
      <c r="BE415" s="6">
        <f>[1]Emissions!BD883</f>
        <v>10.288894020000001</v>
      </c>
      <c r="BF415" s="6">
        <f>[1]Emissions!BE883</f>
        <v>10.46517543</v>
      </c>
    </row>
    <row r="416" spans="2:58" x14ac:dyDescent="0.35">
      <c r="B416" s="6" t="str">
        <f>[1]Emissions!A884</f>
        <v>ems_mat_co2_sgla_2</v>
      </c>
      <c r="C416" s="6">
        <f>[1]Emissions!B884</f>
        <v>10.8029872</v>
      </c>
      <c r="D416" s="6">
        <f>[1]Emissions!C884</f>
        <v>10.86919421</v>
      </c>
      <c r="E416" s="6">
        <f>[1]Emissions!D884</f>
        <v>10.970712839999999</v>
      </c>
      <c r="F416" s="6">
        <f>[1]Emissions!E884</f>
        <v>11.09280933</v>
      </c>
      <c r="G416" s="6">
        <f>[1]Emissions!F884</f>
        <v>11.229902299999999</v>
      </c>
      <c r="H416" s="6">
        <f>[1]Emissions!G884</f>
        <v>11.37846738</v>
      </c>
      <c r="I416" s="6">
        <f>[1]Emissions!H884</f>
        <v>11.53026038</v>
      </c>
      <c r="J416" s="6">
        <f>[1]Emissions!I884</f>
        <v>11.68601537</v>
      </c>
      <c r="K416" s="6">
        <f>[1]Emissions!J884</f>
        <v>11.84542794</v>
      </c>
      <c r="L416" s="6">
        <f>[1]Emissions!K884</f>
        <v>12.00811189</v>
      </c>
      <c r="M416" s="6">
        <f>[1]Emissions!L884</f>
        <v>12.169836399999999</v>
      </c>
      <c r="N416" s="6">
        <f>[1]Emissions!M884</f>
        <v>12.347412609999999</v>
      </c>
      <c r="O416" s="6">
        <f>[1]Emissions!N884</f>
        <v>12.53097464</v>
      </c>
      <c r="P416" s="6">
        <f>[1]Emissions!O884</f>
        <v>12.71826894</v>
      </c>
      <c r="Q416" s="6">
        <f>[1]Emissions!P884</f>
        <v>12.90859111</v>
      </c>
      <c r="R416" s="6">
        <f>[1]Emissions!Q884</f>
        <v>13.101693640000001</v>
      </c>
      <c r="S416" s="6">
        <f>[1]Emissions!R884</f>
        <v>13.296871700000001</v>
      </c>
      <c r="T416" s="6">
        <f>[1]Emissions!S884</f>
        <v>13.49455755</v>
      </c>
      <c r="U416" s="6">
        <f>[1]Emissions!T884</f>
        <v>13.694949210000001</v>
      </c>
      <c r="V416" s="6">
        <f>[1]Emissions!U884</f>
        <v>13.89822423</v>
      </c>
      <c r="W416" s="6">
        <f>[1]Emissions!V884</f>
        <v>14.09762297</v>
      </c>
      <c r="X416" s="6">
        <f>[1]Emissions!W884</f>
        <v>14.303290970000001</v>
      </c>
      <c r="Y416" s="6">
        <f>[1]Emissions!X884</f>
        <v>14.51355253</v>
      </c>
      <c r="Z416" s="6">
        <f>[1]Emissions!Y884</f>
        <v>14.728065450000001</v>
      </c>
      <c r="AA416" s="6">
        <f>[1]Emissions!Z884</f>
        <v>14.94679032</v>
      </c>
      <c r="AB416" s="6">
        <f>[1]Emissions!AA884</f>
        <v>15.14984456</v>
      </c>
      <c r="AC416" s="6">
        <f>[1]Emissions!AB884</f>
        <v>15.35664326</v>
      </c>
      <c r="AD416" s="6">
        <f>[1]Emissions!AC884</f>
        <v>15.565739389999999</v>
      </c>
      <c r="AE416" s="6">
        <f>[1]Emissions!AD884</f>
        <v>15.77719113</v>
      </c>
      <c r="AF416" s="6">
        <f>[1]Emissions!AE884</f>
        <v>15.99129377</v>
      </c>
      <c r="AG416" s="6">
        <f>[1]Emissions!AF884</f>
        <v>16.20831407</v>
      </c>
      <c r="AH416" s="6">
        <f>[1]Emissions!AG884</f>
        <v>16.42863114</v>
      </c>
      <c r="AI416" s="6">
        <f>[1]Emissions!AH884</f>
        <v>16.652227369999999</v>
      </c>
      <c r="AJ416" s="6">
        <f>[1]Emissions!AI884</f>
        <v>16.87908702</v>
      </c>
      <c r="AK416" s="6">
        <f>[1]Emissions!AJ884</f>
        <v>17.109143509999999</v>
      </c>
      <c r="AL416" s="6">
        <f>[1]Emissions!AK884</f>
        <v>17.342288969999998</v>
      </c>
      <c r="AM416" s="6">
        <f>[1]Emissions!AL884</f>
        <v>17.575494259999999</v>
      </c>
      <c r="AN416" s="6">
        <f>[1]Emissions!AM884</f>
        <v>17.809530219999999</v>
      </c>
      <c r="AO416" s="6">
        <f>[1]Emissions!AN884</f>
        <v>18.044756979999999</v>
      </c>
      <c r="AP416" s="6">
        <f>[1]Emissions!AO884</f>
        <v>18.2813363</v>
      </c>
      <c r="AQ416" s="6">
        <f>[1]Emissions!AP884</f>
        <v>18.519355690000001</v>
      </c>
      <c r="AR416" s="6">
        <f>[1]Emissions!AQ884</f>
        <v>18.759195600000002</v>
      </c>
      <c r="AS416" s="6">
        <f>[1]Emissions!AR884</f>
        <v>19.000726449999998</v>
      </c>
      <c r="AT416" s="6">
        <f>[1]Emissions!AS884</f>
        <v>19.243933510000002</v>
      </c>
      <c r="AU416" s="6">
        <f>[1]Emissions!AT884</f>
        <v>19.488804649999999</v>
      </c>
      <c r="AV416" s="6">
        <f>[1]Emissions!AU884</f>
        <v>19.73531844</v>
      </c>
      <c r="AW416" s="6">
        <f>[1]Emissions!AV884</f>
        <v>19.985026510000001</v>
      </c>
      <c r="AX416" s="6">
        <f>[1]Emissions!AW884</f>
        <v>20.237097840000001</v>
      </c>
      <c r="AY416" s="6">
        <f>[1]Emissions!AX884</f>
        <v>20.49127682</v>
      </c>
      <c r="AZ416" s="6">
        <f>[1]Emissions!AY884</f>
        <v>20.747416470000001</v>
      </c>
      <c r="BA416" s="6">
        <f>[1]Emissions!AZ884</f>
        <v>21.00541728</v>
      </c>
      <c r="BB416" s="6">
        <f>[1]Emissions!BA884</f>
        <v>26.151007839999998</v>
      </c>
      <c r="BC416" s="6">
        <f>[1]Emissions!BB884</f>
        <v>26.62064466</v>
      </c>
      <c r="BD416" s="6">
        <f>[1]Emissions!BC884</f>
        <v>27.0963384</v>
      </c>
      <c r="BE416" s="6">
        <f>[1]Emissions!BD884</f>
        <v>27.578048559999999</v>
      </c>
      <c r="BF416" s="6">
        <f>[1]Emissions!BE884</f>
        <v>28.065744420000001</v>
      </c>
    </row>
    <row r="418" spans="1:58" x14ac:dyDescent="0.35">
      <c r="A418" s="12" t="s">
        <v>92</v>
      </c>
      <c r="B418" t="s">
        <v>7</v>
      </c>
      <c r="C418" s="6">
        <f>C388+C389+C414</f>
        <v>14.694596784000002</v>
      </c>
      <c r="D418" s="6">
        <f t="shared" ref="D418:AL418" si="228">D388+D389+D414</f>
        <v>14.728410412299999</v>
      </c>
      <c r="E418" s="6">
        <f t="shared" si="228"/>
        <v>14.790181478799999</v>
      </c>
      <c r="F418" s="6">
        <f t="shared" si="228"/>
        <v>14.885981385199999</v>
      </c>
      <c r="G418" s="6">
        <f t="shared" si="228"/>
        <v>15.0162313086</v>
      </c>
      <c r="H418" s="6">
        <f t="shared" si="228"/>
        <v>15.178127336599999</v>
      </c>
      <c r="I418" s="6">
        <f t="shared" si="228"/>
        <v>15.3592063864</v>
      </c>
      <c r="J418" s="6">
        <f t="shared" si="228"/>
        <v>15.558371963500001</v>
      </c>
      <c r="K418" s="6">
        <f t="shared" si="228"/>
        <v>15.772814356300001</v>
      </c>
      <c r="L418" s="6">
        <f t="shared" si="228"/>
        <v>15.999738774699999</v>
      </c>
      <c r="M418" s="6">
        <f t="shared" si="228"/>
        <v>16.2310192435</v>
      </c>
      <c r="N418" s="6">
        <f t="shared" si="228"/>
        <v>16.491637968299997</v>
      </c>
      <c r="O418" s="6">
        <f t="shared" si="228"/>
        <v>16.764631575299997</v>
      </c>
      <c r="P418" s="6">
        <f t="shared" si="228"/>
        <v>17.046243759300001</v>
      </c>
      <c r="Q418" s="6">
        <f t="shared" si="228"/>
        <v>17.334817275999999</v>
      </c>
      <c r="R418" s="6">
        <f t="shared" si="228"/>
        <v>17.629099331399999</v>
      </c>
      <c r="S418" s="6">
        <f t="shared" si="228"/>
        <v>17.929216119900001</v>
      </c>
      <c r="T418" s="6">
        <f t="shared" si="228"/>
        <v>18.233006235400001</v>
      </c>
      <c r="U418" s="6">
        <f t="shared" si="228"/>
        <v>18.539714335799999</v>
      </c>
      <c r="V418" s="6">
        <f t="shared" si="228"/>
        <v>18.848934619799998</v>
      </c>
      <c r="W418" s="6">
        <f t="shared" si="228"/>
        <v>19.149648883200001</v>
      </c>
      <c r="X418" s="6">
        <f t="shared" si="228"/>
        <v>19.456954180599997</v>
      </c>
      <c r="Y418" s="6">
        <f t="shared" si="228"/>
        <v>19.7682613385</v>
      </c>
      <c r="Z418" s="6">
        <f t="shared" si="228"/>
        <v>20.083030345400001</v>
      </c>
      <c r="AA418" s="6">
        <f t="shared" si="228"/>
        <v>20.4012038141</v>
      </c>
      <c r="AB418" s="6">
        <f t="shared" si="228"/>
        <v>20.691593811900002</v>
      </c>
      <c r="AC418" s="6">
        <f t="shared" si="228"/>
        <v>20.982753879300002</v>
      </c>
      <c r="AD418" s="6">
        <f t="shared" si="228"/>
        <v>21.273958009899999</v>
      </c>
      <c r="AE418" s="6">
        <f t="shared" si="228"/>
        <v>21.565984627399999</v>
      </c>
      <c r="AF418" s="6">
        <f t="shared" si="228"/>
        <v>21.859909006199999</v>
      </c>
      <c r="AG418" s="6">
        <f t="shared" si="228"/>
        <v>22.156700648100003</v>
      </c>
      <c r="AH418" s="6">
        <f t="shared" si="228"/>
        <v>22.456766128299996</v>
      </c>
      <c r="AI418" s="6">
        <f t="shared" si="228"/>
        <v>22.7611038603</v>
      </c>
      <c r="AJ418" s="6">
        <f t="shared" si="228"/>
        <v>23.070173392100003</v>
      </c>
      <c r="AK418" s="6">
        <f t="shared" si="228"/>
        <v>23.384255798599998</v>
      </c>
      <c r="AL418" s="6">
        <f t="shared" si="228"/>
        <v>23.703531433600002</v>
      </c>
      <c r="AM418" s="6">
        <f t="shared" ref="AM418:BC418" si="229">AM388+AM389+AM414</f>
        <v>24.017085507899999</v>
      </c>
      <c r="AN418" s="6">
        <f t="shared" si="229"/>
        <v>24.331966433999998</v>
      </c>
      <c r="AO418" s="6">
        <f t="shared" si="229"/>
        <v>24.649841428199998</v>
      </c>
      <c r="AP418" s="6">
        <f t="shared" si="229"/>
        <v>24.971424840699999</v>
      </c>
      <c r="AQ418" s="6">
        <f t="shared" si="229"/>
        <v>25.2972030711</v>
      </c>
      <c r="AR418" s="6">
        <f t="shared" si="229"/>
        <v>25.626961036499999</v>
      </c>
      <c r="AS418" s="6">
        <f t="shared" si="229"/>
        <v>25.961680105199999</v>
      </c>
      <c r="AT418" s="6">
        <f t="shared" si="229"/>
        <v>26.301646069400004</v>
      </c>
      <c r="AU418" s="6">
        <f t="shared" si="229"/>
        <v>26.6469857867</v>
      </c>
      <c r="AV418" s="6">
        <f t="shared" si="229"/>
        <v>26.997754463100001</v>
      </c>
      <c r="AW418" s="6">
        <f t="shared" si="229"/>
        <v>27.352494665799998</v>
      </c>
      <c r="AX418" s="6">
        <f t="shared" si="229"/>
        <v>27.713384183000002</v>
      </c>
      <c r="AY418" s="6">
        <f t="shared" si="229"/>
        <v>28.0805327102</v>
      </c>
      <c r="AZ418" s="6">
        <f t="shared" si="229"/>
        <v>28.4537706124</v>
      </c>
      <c r="BA418" s="6">
        <f t="shared" si="229"/>
        <v>28.832899486899997</v>
      </c>
      <c r="BB418" s="6">
        <f t="shared" si="229"/>
        <v>33.038369309300002</v>
      </c>
      <c r="BC418" s="6">
        <f t="shared" si="229"/>
        <v>33.580844579100003</v>
      </c>
      <c r="BD418" s="6">
        <f t="shared" ref="BD418:BF418" si="230">BD388+BD389+BD414</f>
        <v>34.1316481677</v>
      </c>
      <c r="BE418" s="6">
        <f t="shared" si="230"/>
        <v>34.691060451600002</v>
      </c>
      <c r="BF418" s="6">
        <f t="shared" si="230"/>
        <v>35.2593594744</v>
      </c>
    </row>
    <row r="419" spans="1:58" x14ac:dyDescent="0.35">
      <c r="A419" t="s">
        <v>39</v>
      </c>
      <c r="B419" t="s">
        <v>64</v>
      </c>
      <c r="C419" s="6">
        <f>C390</f>
        <v>8.637597542</v>
      </c>
      <c r="D419" s="6">
        <f t="shared" ref="D419:AL419" si="231">D390</f>
        <v>8.6516803420000006</v>
      </c>
      <c r="E419" s="6">
        <f t="shared" si="231"/>
        <v>8.6817220259999992</v>
      </c>
      <c r="F419" s="6">
        <f t="shared" si="231"/>
        <v>8.7300432640000007</v>
      </c>
      <c r="G419" s="6">
        <f t="shared" si="231"/>
        <v>8.7986901240000002</v>
      </c>
      <c r="H419" s="6">
        <f t="shared" si="231"/>
        <v>8.8871173199999998</v>
      </c>
      <c r="I419" s="6">
        <f t="shared" si="231"/>
        <v>8.9882074129999996</v>
      </c>
      <c r="J419" s="6">
        <f t="shared" si="231"/>
        <v>9.1012058610000004</v>
      </c>
      <c r="K419" s="6">
        <f t="shared" si="231"/>
        <v>9.2242098400000003</v>
      </c>
      <c r="L419" s="6">
        <f t="shared" si="231"/>
        <v>9.3553468560000006</v>
      </c>
      <c r="M419" s="6">
        <f t="shared" si="231"/>
        <v>9.4911745100000005</v>
      </c>
      <c r="N419" s="6">
        <f t="shared" si="231"/>
        <v>9.6407718659999997</v>
      </c>
      <c r="O419" s="6">
        <f t="shared" si="231"/>
        <v>9.7974633799999999</v>
      </c>
      <c r="P419" s="6">
        <f t="shared" si="231"/>
        <v>9.9596691800000006</v>
      </c>
      <c r="Q419" s="6">
        <f t="shared" si="231"/>
        <v>10.12632088</v>
      </c>
      <c r="R419" s="6">
        <f t="shared" si="231"/>
        <v>10.29642922</v>
      </c>
      <c r="S419" s="6">
        <f t="shared" si="231"/>
        <v>10.46872284</v>
      </c>
      <c r="T419" s="6">
        <f t="shared" si="231"/>
        <v>10.64268991</v>
      </c>
      <c r="U419" s="6">
        <f t="shared" si="231"/>
        <v>10.817787969999999</v>
      </c>
      <c r="V419" s="6">
        <f t="shared" si="231"/>
        <v>10.99361648</v>
      </c>
      <c r="W419" s="6">
        <f t="shared" si="231"/>
        <v>11.16366779</v>
      </c>
      <c r="X419" s="6">
        <f t="shared" si="231"/>
        <v>11.33630651</v>
      </c>
      <c r="Y419" s="6">
        <f t="shared" si="231"/>
        <v>11.51015518</v>
      </c>
      <c r="Z419" s="6">
        <f t="shared" si="231"/>
        <v>11.684960670000001</v>
      </c>
      <c r="AA419" s="6">
        <f t="shared" si="231"/>
        <v>11.860704350000001</v>
      </c>
      <c r="AB419" s="6">
        <f t="shared" si="231"/>
        <v>12.019420139999999</v>
      </c>
      <c r="AC419" s="6">
        <f t="shared" si="231"/>
        <v>12.17732309</v>
      </c>
      <c r="AD419" s="6">
        <f t="shared" si="231"/>
        <v>12.33362866</v>
      </c>
      <c r="AE419" s="6">
        <f t="shared" si="231"/>
        <v>12.48893634</v>
      </c>
      <c r="AF419" s="6">
        <f t="shared" si="231"/>
        <v>12.64403695</v>
      </c>
      <c r="AG419" s="6">
        <f t="shared" si="231"/>
        <v>12.79963414</v>
      </c>
      <c r="AH419" s="6">
        <f t="shared" si="231"/>
        <v>12.95641092</v>
      </c>
      <c r="AI419" s="6">
        <f t="shared" si="231"/>
        <v>13.11474372</v>
      </c>
      <c r="AJ419" s="6">
        <f t="shared" si="231"/>
        <v>13.274957759999999</v>
      </c>
      <c r="AK419" s="6">
        <f t="shared" si="231"/>
        <v>13.437292940000001</v>
      </c>
      <c r="AL419" s="6">
        <f t="shared" si="231"/>
        <v>13.601918489999999</v>
      </c>
      <c r="AM419" s="6">
        <f t="shared" ref="AM419:BC419" si="232">AM390</f>
        <v>13.76575517</v>
      </c>
      <c r="AN419" s="6">
        <f t="shared" si="232"/>
        <v>13.929807889999999</v>
      </c>
      <c r="AO419" s="6">
        <f t="shared" si="232"/>
        <v>14.09474309</v>
      </c>
      <c r="AP419" s="6">
        <f t="shared" si="232"/>
        <v>14.261043880000001</v>
      </c>
      <c r="AQ419" s="6">
        <f t="shared" si="232"/>
        <v>14.42908815</v>
      </c>
      <c r="AR419" s="6">
        <f t="shared" si="232"/>
        <v>14.59935436</v>
      </c>
      <c r="AS419" s="6">
        <f t="shared" si="232"/>
        <v>14.77196541</v>
      </c>
      <c r="AT419" s="6">
        <f t="shared" si="232"/>
        <v>14.947071879999999</v>
      </c>
      <c r="AU419" s="6">
        <f t="shared" si="232"/>
        <v>15.124771900000001</v>
      </c>
      <c r="AV419" s="6">
        <f t="shared" si="232"/>
        <v>15.30511482</v>
      </c>
      <c r="AW419" s="6">
        <f t="shared" si="232"/>
        <v>15.48915502</v>
      </c>
      <c r="AX419" s="6">
        <f t="shared" si="232"/>
        <v>15.676403820000001</v>
      </c>
      <c r="AY419" s="6">
        <f t="shared" si="232"/>
        <v>15.86676767</v>
      </c>
      <c r="AZ419" s="6">
        <f t="shared" si="232"/>
        <v>16.06016769</v>
      </c>
      <c r="BA419" s="6">
        <f t="shared" si="232"/>
        <v>16.256506160000001</v>
      </c>
      <c r="BB419" s="6">
        <f t="shared" si="232"/>
        <v>19.880422360000001</v>
      </c>
      <c r="BC419" s="6">
        <f t="shared" si="232"/>
        <v>20.200756160000001</v>
      </c>
      <c r="BD419" s="6">
        <f t="shared" ref="BD419:BF419" si="233">BD390</f>
        <v>20.52564692</v>
      </c>
      <c r="BE419" s="6">
        <f t="shared" si="233"/>
        <v>20.855267479999998</v>
      </c>
      <c r="BF419" s="6">
        <f t="shared" si="233"/>
        <v>21.189792629999999</v>
      </c>
    </row>
    <row r="420" spans="1:58" x14ac:dyDescent="0.35">
      <c r="B420" t="s">
        <v>65</v>
      </c>
      <c r="C420" s="6">
        <f>C392+C416</f>
        <v>18.521075736</v>
      </c>
      <c r="D420" s="6">
        <f t="shared" ref="D420:AL420" si="234">D392+D416</f>
        <v>18.628604963000001</v>
      </c>
      <c r="E420" s="6">
        <f t="shared" si="234"/>
        <v>18.793597765999998</v>
      </c>
      <c r="F420" s="6">
        <f t="shared" si="234"/>
        <v>18.992789218999999</v>
      </c>
      <c r="G420" s="6">
        <f t="shared" si="234"/>
        <v>19.218225491999998</v>
      </c>
      <c r="H420" s="6">
        <f t="shared" si="234"/>
        <v>19.464802649999999</v>
      </c>
      <c r="I420" s="6">
        <f t="shared" si="234"/>
        <v>19.718745214000002</v>
      </c>
      <c r="J420" s="6">
        <f t="shared" si="234"/>
        <v>19.981264267</v>
      </c>
      <c r="K420" s="6">
        <f t="shared" si="234"/>
        <v>20.251628914000001</v>
      </c>
      <c r="L420" s="6">
        <f t="shared" si="234"/>
        <v>20.528924023000002</v>
      </c>
      <c r="M420" s="6">
        <f t="shared" si="234"/>
        <v>20.805434765000001</v>
      </c>
      <c r="N420" s="6">
        <f t="shared" si="234"/>
        <v>21.110004939</v>
      </c>
      <c r="O420" s="6">
        <f t="shared" si="234"/>
        <v>21.425862749</v>
      </c>
      <c r="P420" s="6">
        <f t="shared" si="234"/>
        <v>21.749112808</v>
      </c>
      <c r="Q420" s="6">
        <f t="shared" si="234"/>
        <v>22.078403926</v>
      </c>
      <c r="R420" s="6">
        <f t="shared" si="234"/>
        <v>22.413122903000001</v>
      </c>
      <c r="S420" s="6">
        <f t="shared" si="234"/>
        <v>22.751906744000003</v>
      </c>
      <c r="T420" s="6">
        <f t="shared" si="234"/>
        <v>23.095321778999999</v>
      </c>
      <c r="U420" s="6">
        <f t="shared" si="234"/>
        <v>23.443552091000001</v>
      </c>
      <c r="V420" s="6">
        <f t="shared" si="234"/>
        <v>23.796776346999998</v>
      </c>
      <c r="W420" s="6">
        <f t="shared" si="234"/>
        <v>24.143271739999999</v>
      </c>
      <c r="X420" s="6">
        <f t="shared" si="234"/>
        <v>24.500322619999999</v>
      </c>
      <c r="Y420" s="6">
        <f t="shared" si="234"/>
        <v>24.865030390000001</v>
      </c>
      <c r="Z420" s="6">
        <f t="shared" si="234"/>
        <v>25.236798669999999</v>
      </c>
      <c r="AA420" s="6">
        <f t="shared" si="234"/>
        <v>25.615556130000002</v>
      </c>
      <c r="AB420" s="6">
        <f t="shared" si="234"/>
        <v>25.96708091</v>
      </c>
      <c r="AC420" s="6">
        <f t="shared" si="234"/>
        <v>26.324513870000001</v>
      </c>
      <c r="AD420" s="6">
        <f t="shared" si="234"/>
        <v>26.68535683</v>
      </c>
      <c r="AE420" s="6">
        <f t="shared" si="234"/>
        <v>27.04974034</v>
      </c>
      <c r="AF420" s="6">
        <f t="shared" si="234"/>
        <v>27.418218289999999</v>
      </c>
      <c r="AG420" s="6">
        <f t="shared" si="234"/>
        <v>27.791301529999998</v>
      </c>
      <c r="AH420" s="6">
        <f t="shared" si="234"/>
        <v>28.16968468</v>
      </c>
      <c r="AI420" s="6">
        <f t="shared" si="234"/>
        <v>28.553397079999996</v>
      </c>
      <c r="AJ420" s="6">
        <f t="shared" si="234"/>
        <v>28.94247468</v>
      </c>
      <c r="AK420" s="6">
        <f t="shared" si="234"/>
        <v>29.336862669999999</v>
      </c>
      <c r="AL420" s="6">
        <f t="shared" si="234"/>
        <v>29.736428359999998</v>
      </c>
      <c r="AM420" s="6">
        <f t="shared" ref="AM420:BC420" si="235">AM392+AM416</f>
        <v>30.135868819999999</v>
      </c>
      <c r="AN420" s="6">
        <f t="shared" si="235"/>
        <v>30.536512850000001</v>
      </c>
      <c r="AO420" s="6">
        <f t="shared" si="235"/>
        <v>30.939030819999999</v>
      </c>
      <c r="AP420" s="6">
        <f t="shared" si="235"/>
        <v>31.343756249999998</v>
      </c>
      <c r="AQ420" s="6">
        <f t="shared" si="235"/>
        <v>31.750881150000001</v>
      </c>
      <c r="AR420" s="6">
        <f t="shared" si="235"/>
        <v>32.161062740000006</v>
      </c>
      <c r="AS420" s="6">
        <f t="shared" si="235"/>
        <v>32.574096479999994</v>
      </c>
      <c r="AT420" s="6">
        <f t="shared" si="235"/>
        <v>32.989975659999999</v>
      </c>
      <c r="AU420" s="6">
        <f t="shared" si="235"/>
        <v>33.408694369999999</v>
      </c>
      <c r="AV420" s="6">
        <f t="shared" si="235"/>
        <v>33.830226119999999</v>
      </c>
      <c r="AW420" s="6">
        <f t="shared" si="235"/>
        <v>34.257162129999998</v>
      </c>
      <c r="AX420" s="6">
        <f t="shared" si="235"/>
        <v>34.688096470000005</v>
      </c>
      <c r="AY420" s="6">
        <f t="shared" si="235"/>
        <v>35.122632510000003</v>
      </c>
      <c r="AZ420" s="6">
        <f t="shared" si="235"/>
        <v>35.560552340000001</v>
      </c>
      <c r="BA420" s="6">
        <f t="shared" si="235"/>
        <v>36.001703219999996</v>
      </c>
      <c r="BB420" s="6">
        <f t="shared" si="235"/>
        <v>45.053697990000003</v>
      </c>
      <c r="BC420" s="6">
        <f t="shared" si="235"/>
        <v>45.861893809999998</v>
      </c>
      <c r="BD420" s="6">
        <f t="shared" ref="BD420:BF420" si="236">BD392+BD416</f>
        <v>46.680153180000005</v>
      </c>
      <c r="BE420" s="6">
        <f t="shared" si="236"/>
        <v>47.508423809999996</v>
      </c>
      <c r="BF420" s="6">
        <f t="shared" si="236"/>
        <v>48.346669680000005</v>
      </c>
    </row>
    <row r="421" spans="1:58" x14ac:dyDescent="0.35">
      <c r="B421" t="s">
        <v>66</v>
      </c>
      <c r="C421" s="6">
        <f>C394</f>
        <v>13.23538132</v>
      </c>
      <c r="D421" s="6">
        <f t="shared" ref="D421:AL421" si="237">D394</f>
        <v>13.29816973</v>
      </c>
      <c r="E421" s="6">
        <f t="shared" si="237"/>
        <v>13.424616220000001</v>
      </c>
      <c r="F421" s="6">
        <f t="shared" si="237"/>
        <v>13.574341970000001</v>
      </c>
      <c r="G421" s="6">
        <f t="shared" si="237"/>
        <v>13.739790230000001</v>
      </c>
      <c r="H421" s="6">
        <f t="shared" si="237"/>
        <v>13.91779824</v>
      </c>
      <c r="I421" s="6">
        <f t="shared" si="237"/>
        <v>14.095008460000001</v>
      </c>
      <c r="J421" s="6">
        <f t="shared" si="237"/>
        <v>14.277239059999999</v>
      </c>
      <c r="K421" s="6">
        <f t="shared" si="237"/>
        <v>14.4640115</v>
      </c>
      <c r="L421" s="6">
        <f t="shared" si="237"/>
        <v>14.65413766</v>
      </c>
      <c r="M421" s="6">
        <f t="shared" si="237"/>
        <v>14.83024516</v>
      </c>
      <c r="N421" s="6">
        <f t="shared" si="237"/>
        <v>15.044255769999999</v>
      </c>
      <c r="O421" s="6">
        <f t="shared" si="237"/>
        <v>15.26501721</v>
      </c>
      <c r="P421" s="6">
        <f t="shared" si="237"/>
        <v>15.487565500000001</v>
      </c>
      <c r="Q421" s="6">
        <f t="shared" si="237"/>
        <v>15.710871579999999</v>
      </c>
      <c r="R421" s="6">
        <f t="shared" si="237"/>
        <v>15.934624700000001</v>
      </c>
      <c r="S421" s="6">
        <f t="shared" si="237"/>
        <v>16.157148729999999</v>
      </c>
      <c r="T421" s="6">
        <f t="shared" si="237"/>
        <v>16.379763830000002</v>
      </c>
      <c r="U421" s="6">
        <f t="shared" si="237"/>
        <v>16.602780469999999</v>
      </c>
      <c r="V421" s="6">
        <f t="shared" si="237"/>
        <v>16.82643783</v>
      </c>
      <c r="W421" s="6">
        <f t="shared" si="237"/>
        <v>17.038166870000001</v>
      </c>
      <c r="X421" s="6">
        <f t="shared" si="237"/>
        <v>17.26075647</v>
      </c>
      <c r="Y421" s="6">
        <f t="shared" si="237"/>
        <v>17.486704419999999</v>
      </c>
      <c r="Z421" s="6">
        <f t="shared" si="237"/>
        <v>17.715157909999999</v>
      </c>
      <c r="AA421" s="6">
        <f t="shared" si="237"/>
        <v>17.946251050000001</v>
      </c>
      <c r="AB421" s="6">
        <f t="shared" si="237"/>
        <v>18.143543430000001</v>
      </c>
      <c r="AC421" s="6">
        <f t="shared" si="237"/>
        <v>18.354776380000001</v>
      </c>
      <c r="AD421" s="6">
        <f t="shared" si="237"/>
        <v>18.569928390000001</v>
      </c>
      <c r="AE421" s="6">
        <f t="shared" si="237"/>
        <v>18.78802619</v>
      </c>
      <c r="AF421" s="6">
        <f t="shared" si="237"/>
        <v>19.009365119999998</v>
      </c>
      <c r="AG421" s="6">
        <f t="shared" si="237"/>
        <v>19.234339569999999</v>
      </c>
      <c r="AH421" s="6">
        <f t="shared" si="237"/>
        <v>19.463727859999999</v>
      </c>
      <c r="AI421" s="6">
        <f t="shared" si="237"/>
        <v>19.69735442</v>
      </c>
      <c r="AJ421" s="6">
        <f t="shared" si="237"/>
        <v>19.93527302</v>
      </c>
      <c r="AK421" s="6">
        <f t="shared" si="237"/>
        <v>20.177502799999999</v>
      </c>
      <c r="AL421" s="6">
        <f t="shared" si="237"/>
        <v>20.424011180000001</v>
      </c>
      <c r="AM421" s="6">
        <f t="shared" ref="AM421:BC421" si="238">AM394</f>
        <v>20.67046981</v>
      </c>
      <c r="AN421" s="6">
        <f t="shared" si="238"/>
        <v>20.919561720000001</v>
      </c>
      <c r="AO421" s="6">
        <f t="shared" si="238"/>
        <v>21.171866219999998</v>
      </c>
      <c r="AP421" s="6">
        <f t="shared" si="238"/>
        <v>21.42756176</v>
      </c>
      <c r="AQ421" s="6">
        <f t="shared" si="238"/>
        <v>21.686734220000002</v>
      </c>
      <c r="AR421" s="6">
        <f t="shared" si="238"/>
        <v>21.950191319999998</v>
      </c>
      <c r="AS421" s="6">
        <f t="shared" si="238"/>
        <v>22.217352389999999</v>
      </c>
      <c r="AT421" s="6">
        <f t="shared" si="238"/>
        <v>22.48813431</v>
      </c>
      <c r="AU421" s="6">
        <f t="shared" si="238"/>
        <v>22.762499170000002</v>
      </c>
      <c r="AV421" s="6">
        <f t="shared" si="238"/>
        <v>23.040400040000002</v>
      </c>
      <c r="AW421" s="6">
        <f t="shared" si="238"/>
        <v>23.325276689999999</v>
      </c>
      <c r="AX421" s="6">
        <f t="shared" si="238"/>
        <v>23.61433448</v>
      </c>
      <c r="AY421" s="6">
        <f t="shared" si="238"/>
        <v>23.907111910000001</v>
      </c>
      <c r="AZ421" s="6">
        <f t="shared" si="238"/>
        <v>24.20346524</v>
      </c>
      <c r="BA421" s="6">
        <f t="shared" si="238"/>
        <v>24.503301990000001</v>
      </c>
      <c r="BB421" s="6">
        <f t="shared" si="238"/>
        <v>30.561713749999999</v>
      </c>
      <c r="BC421" s="6">
        <f t="shared" si="238"/>
        <v>31.087305239999999</v>
      </c>
      <c r="BD421" s="6">
        <f t="shared" ref="BD421:BF421" si="239">BD394</f>
        <v>31.622493739999999</v>
      </c>
      <c r="BE421" s="6">
        <f t="shared" si="239"/>
        <v>32.167449670000003</v>
      </c>
      <c r="BF421" s="6">
        <f t="shared" si="239"/>
        <v>32.722338440000001</v>
      </c>
    </row>
    <row r="422" spans="1:58" x14ac:dyDescent="0.35">
      <c r="B422" t="s">
        <v>67</v>
      </c>
      <c r="C422" s="6">
        <f>C396</f>
        <v>19.235773900000002</v>
      </c>
      <c r="D422" s="6">
        <f t="shared" ref="D422:AL422" si="240">D396</f>
        <v>19.328130229999999</v>
      </c>
      <c r="E422" s="6">
        <f t="shared" si="240"/>
        <v>19.516894950000001</v>
      </c>
      <c r="F422" s="6">
        <f t="shared" si="240"/>
        <v>19.73743314</v>
      </c>
      <c r="G422" s="6">
        <f t="shared" si="240"/>
        <v>19.974615230000001</v>
      </c>
      <c r="H422" s="6">
        <f t="shared" si="240"/>
        <v>20.224070449999999</v>
      </c>
      <c r="I422" s="6">
        <f t="shared" si="240"/>
        <v>20.470271700000001</v>
      </c>
      <c r="J422" s="6">
        <f t="shared" si="240"/>
        <v>20.72129005</v>
      </c>
      <c r="K422" s="6">
        <f t="shared" si="240"/>
        <v>20.978288989999999</v>
      </c>
      <c r="L422" s="6">
        <f t="shared" si="240"/>
        <v>21.24088253</v>
      </c>
      <c r="M422" s="6">
        <f t="shared" si="240"/>
        <v>21.48650524</v>
      </c>
      <c r="N422" s="6">
        <f t="shared" si="240"/>
        <v>21.78347655</v>
      </c>
      <c r="O422" s="6">
        <f t="shared" si="240"/>
        <v>22.09405542</v>
      </c>
      <c r="P422" s="6">
        <f t="shared" si="240"/>
        <v>22.41042504</v>
      </c>
      <c r="Q422" s="6">
        <f t="shared" si="240"/>
        <v>22.730731810000002</v>
      </c>
      <c r="R422" s="6">
        <f t="shared" si="240"/>
        <v>23.05447032</v>
      </c>
      <c r="S422" s="6">
        <f t="shared" si="240"/>
        <v>23.37954491</v>
      </c>
      <c r="T422" s="6">
        <f t="shared" si="240"/>
        <v>23.70765076</v>
      </c>
      <c r="U422" s="6">
        <f t="shared" si="240"/>
        <v>24.03923657</v>
      </c>
      <c r="V422" s="6">
        <f t="shared" si="240"/>
        <v>24.37455829</v>
      </c>
      <c r="W422" s="6">
        <f t="shared" si="240"/>
        <v>24.697596269999998</v>
      </c>
      <c r="X422" s="6">
        <f t="shared" si="240"/>
        <v>25.03580479</v>
      </c>
      <c r="Y422" s="6">
        <f t="shared" si="240"/>
        <v>25.38124041</v>
      </c>
      <c r="Z422" s="6">
        <f t="shared" si="240"/>
        <v>25.732446960000001</v>
      </c>
      <c r="AA422" s="6">
        <f t="shared" si="240"/>
        <v>26.089325949999999</v>
      </c>
      <c r="AB422" s="6">
        <f t="shared" si="240"/>
        <v>26.405441280000002</v>
      </c>
      <c r="AC422" s="6">
        <f t="shared" si="240"/>
        <v>26.73753215</v>
      </c>
      <c r="AD422" s="6">
        <f t="shared" si="240"/>
        <v>27.075849059999999</v>
      </c>
      <c r="AE422" s="6">
        <f t="shared" si="240"/>
        <v>27.418846510000002</v>
      </c>
      <c r="AF422" s="6">
        <f t="shared" si="240"/>
        <v>27.766602580000001</v>
      </c>
      <c r="AG422" s="6">
        <f t="shared" si="240"/>
        <v>28.119439759999999</v>
      </c>
      <c r="AH422" s="6">
        <f t="shared" si="240"/>
        <v>28.478234350000001</v>
      </c>
      <c r="AI422" s="6">
        <f t="shared" si="240"/>
        <v>28.84268982</v>
      </c>
      <c r="AJ422" s="6">
        <f t="shared" si="240"/>
        <v>29.212803019999999</v>
      </c>
      <c r="AK422" s="6">
        <f t="shared" si="240"/>
        <v>29.588554420000001</v>
      </c>
      <c r="AL422" s="6">
        <f t="shared" si="240"/>
        <v>29.96986794</v>
      </c>
      <c r="AM422" s="6">
        <f t="shared" ref="AM422:BC422" si="241">AM396</f>
        <v>30.351158380000001</v>
      </c>
      <c r="AN422" s="6">
        <f t="shared" si="241"/>
        <v>30.734931110000002</v>
      </c>
      <c r="AO422" s="6">
        <f t="shared" si="241"/>
        <v>31.12200532</v>
      </c>
      <c r="AP422" s="6">
        <f t="shared" si="241"/>
        <v>31.512710349999999</v>
      </c>
      <c r="AQ422" s="6">
        <f t="shared" si="241"/>
        <v>31.907210500000001</v>
      </c>
      <c r="AR422" s="6">
        <f t="shared" si="241"/>
        <v>32.306560400000002</v>
      </c>
      <c r="AS422" s="6">
        <f t="shared" si="241"/>
        <v>32.710042459999997</v>
      </c>
      <c r="AT422" s="6">
        <f t="shared" si="241"/>
        <v>33.117545919999998</v>
      </c>
      <c r="AU422" s="6">
        <f t="shared" si="241"/>
        <v>33.529048500000002</v>
      </c>
      <c r="AV422" s="6">
        <f t="shared" si="241"/>
        <v>33.94452484</v>
      </c>
      <c r="AW422" s="6">
        <f t="shared" si="241"/>
        <v>34.368386510000001</v>
      </c>
      <c r="AX422" s="6">
        <f t="shared" si="241"/>
        <v>34.797194380000001</v>
      </c>
      <c r="AY422" s="6">
        <f t="shared" si="241"/>
        <v>35.230285330000001</v>
      </c>
      <c r="AZ422" s="6">
        <f t="shared" si="241"/>
        <v>35.667518510000001</v>
      </c>
      <c r="BA422" s="6">
        <f t="shared" si="241"/>
        <v>36.108850330000003</v>
      </c>
      <c r="BB422" s="6">
        <f t="shared" si="241"/>
        <v>45.68449012</v>
      </c>
      <c r="BC422" s="6">
        <f t="shared" si="241"/>
        <v>46.492077760000001</v>
      </c>
      <c r="BD422" s="6">
        <f t="shared" ref="BD422:BF422" si="242">BD396</f>
        <v>47.312222509999998</v>
      </c>
      <c r="BE422" s="6">
        <f t="shared" si="242"/>
        <v>48.1450423</v>
      </c>
      <c r="BF422" s="6">
        <f t="shared" si="242"/>
        <v>48.99065882</v>
      </c>
    </row>
    <row r="423" spans="1:58" x14ac:dyDescent="0.35">
      <c r="B423" t="s">
        <v>71</v>
      </c>
      <c r="C423" s="6">
        <f>C391+C393+C395+C397+C398+C399</f>
        <v>16.15918898</v>
      </c>
      <c r="D423" s="6">
        <f t="shared" ref="D423:AL423" si="243">D391+D393+D395+D397+D398+D399</f>
        <v>16.134233503000001</v>
      </c>
      <c r="E423" s="6">
        <f t="shared" si="243"/>
        <v>16.13086088</v>
      </c>
      <c r="F423" s="6">
        <f t="shared" si="243"/>
        <v>16.160277861000001</v>
      </c>
      <c r="G423" s="6">
        <f t="shared" si="243"/>
        <v>16.237652811</v>
      </c>
      <c r="H423" s="6">
        <f t="shared" si="243"/>
        <v>16.367504322999999</v>
      </c>
      <c r="I423" s="6">
        <f t="shared" si="243"/>
        <v>16.536731844000002</v>
      </c>
      <c r="J423" s="6">
        <f t="shared" si="243"/>
        <v>16.741746673000002</v>
      </c>
      <c r="K423" s="6">
        <f t="shared" si="243"/>
        <v>16.975636416</v>
      </c>
      <c r="L423" s="6">
        <f t="shared" si="243"/>
        <v>17.231846929</v>
      </c>
      <c r="M423" s="6">
        <f t="shared" si="243"/>
        <v>17.494429418999999</v>
      </c>
      <c r="N423" s="6">
        <f t="shared" si="243"/>
        <v>17.792686580999998</v>
      </c>
      <c r="O423" s="6">
        <f t="shared" si="243"/>
        <v>18.110590470999998</v>
      </c>
      <c r="P423" s="6">
        <f t="shared" si="243"/>
        <v>18.443661614</v>
      </c>
      <c r="Q423" s="6">
        <f t="shared" si="243"/>
        <v>18.788330324</v>
      </c>
      <c r="R423" s="6">
        <f t="shared" si="243"/>
        <v>19.141130963999998</v>
      </c>
      <c r="S423" s="6">
        <f t="shared" si="243"/>
        <v>19.498065085</v>
      </c>
      <c r="T423" s="6">
        <f t="shared" si="243"/>
        <v>19.857254622999999</v>
      </c>
      <c r="U423" s="6">
        <f t="shared" si="243"/>
        <v>20.216889299999998</v>
      </c>
      <c r="V423" s="6">
        <f t="shared" si="243"/>
        <v>20.575727141999998</v>
      </c>
      <c r="W423" s="6">
        <f t="shared" si="243"/>
        <v>20.921074962999999</v>
      </c>
      <c r="X423" s="6">
        <f t="shared" si="243"/>
        <v>21.268929516</v>
      </c>
      <c r="Y423" s="6">
        <f t="shared" si="243"/>
        <v>21.616293188</v>
      </c>
      <c r="Z423" s="6">
        <f t="shared" si="243"/>
        <v>21.963066093999998</v>
      </c>
      <c r="AA423" s="6">
        <f t="shared" si="243"/>
        <v>22.309699189</v>
      </c>
      <c r="AB423" s="6">
        <f t="shared" si="243"/>
        <v>22.622232200999996</v>
      </c>
      <c r="AC423" s="6">
        <f t="shared" si="243"/>
        <v>22.931985255999997</v>
      </c>
      <c r="AD423" s="6">
        <f t="shared" si="243"/>
        <v>23.236218941000001</v>
      </c>
      <c r="AE423" s="6">
        <f t="shared" si="243"/>
        <v>23.536028827999999</v>
      </c>
      <c r="AF423" s="6">
        <f t="shared" si="243"/>
        <v>23.833040404000002</v>
      </c>
      <c r="AG423" s="6">
        <f t="shared" si="243"/>
        <v>24.128790236</v>
      </c>
      <c r="AH423" s="6">
        <f t="shared" si="243"/>
        <v>24.424883544000004</v>
      </c>
      <c r="AI423" s="6">
        <f t="shared" si="243"/>
        <v>24.722317144000002</v>
      </c>
      <c r="AJ423" s="6">
        <f t="shared" si="243"/>
        <v>25.022069537</v>
      </c>
      <c r="AK423" s="6">
        <f t="shared" si="243"/>
        <v>25.324914563999997</v>
      </c>
      <c r="AL423" s="6">
        <f t="shared" si="243"/>
        <v>25.631395709000003</v>
      </c>
      <c r="AM423" s="6">
        <f t="shared" ref="AM423:BC423" si="244">AM391+AM393+AM395+AM397+AM398+AM399</f>
        <v>25.936024228000001</v>
      </c>
      <c r="AN423" s="6">
        <f t="shared" si="244"/>
        <v>26.240229409999998</v>
      </c>
      <c r="AO423" s="6">
        <f t="shared" si="244"/>
        <v>26.545110562000001</v>
      </c>
      <c r="AP423" s="6">
        <f t="shared" si="244"/>
        <v>26.851399393000001</v>
      </c>
      <c r="AQ423" s="6">
        <f t="shared" si="244"/>
        <v>27.159461817</v>
      </c>
      <c r="AR423" s="6">
        <f t="shared" si="244"/>
        <v>27.469773287000002</v>
      </c>
      <c r="AS423" s="6">
        <f t="shared" si="244"/>
        <v>27.782022519999998</v>
      </c>
      <c r="AT423" s="6">
        <f t="shared" si="244"/>
        <v>28.096120458000001</v>
      </c>
      <c r="AU423" s="6">
        <f t="shared" si="244"/>
        <v>28.411950544</v>
      </c>
      <c r="AV423" s="6">
        <f t="shared" si="244"/>
        <v>28.729346458999999</v>
      </c>
      <c r="AW423" s="6">
        <f t="shared" si="244"/>
        <v>29.050189341999999</v>
      </c>
      <c r="AX423" s="6">
        <f t="shared" si="244"/>
        <v>29.373203701000001</v>
      </c>
      <c r="AY423" s="6">
        <f t="shared" si="244"/>
        <v>29.698366695000001</v>
      </c>
      <c r="AZ423" s="6">
        <f t="shared" si="244"/>
        <v>30.025681465000002</v>
      </c>
      <c r="BA423" s="6">
        <f t="shared" si="244"/>
        <v>30.355000561000001</v>
      </c>
      <c r="BB423" s="6">
        <f t="shared" si="244"/>
        <v>43.074880526999998</v>
      </c>
      <c r="BC423" s="6">
        <f t="shared" si="244"/>
        <v>43.816420633999996</v>
      </c>
      <c r="BD423" s="6">
        <f t="shared" ref="BD423:BF423" si="245">BD391+BD393+BD395+BD397+BD398+BD399</f>
        <v>44.560348927999996</v>
      </c>
      <c r="BE423" s="6">
        <f t="shared" si="245"/>
        <v>45.307026461999996</v>
      </c>
      <c r="BF423" s="6">
        <f t="shared" si="245"/>
        <v>46.056801929999999</v>
      </c>
    </row>
    <row r="424" spans="1:58" x14ac:dyDescent="0.35">
      <c r="B424" t="s">
        <v>68</v>
      </c>
      <c r="C424" s="6">
        <f>C401</f>
        <v>17.121105549999999</v>
      </c>
      <c r="D424" s="6">
        <f t="shared" ref="D424:AL424" si="246">D401</f>
        <v>17.220384630000002</v>
      </c>
      <c r="E424" s="6">
        <f t="shared" si="246"/>
        <v>17.358073860000001</v>
      </c>
      <c r="F424" s="6">
        <f t="shared" si="246"/>
        <v>17.51866124</v>
      </c>
      <c r="G424" s="6">
        <f t="shared" si="246"/>
        <v>17.699038720000001</v>
      </c>
      <c r="H424" s="6">
        <f t="shared" si="246"/>
        <v>17.897111219999999</v>
      </c>
      <c r="I424" s="6">
        <f t="shared" si="246"/>
        <v>18.100857380000001</v>
      </c>
      <c r="J424" s="6">
        <f t="shared" si="246"/>
        <v>18.3132123</v>
      </c>
      <c r="K424" s="6">
        <f t="shared" si="246"/>
        <v>18.53360627</v>
      </c>
      <c r="L424" s="6">
        <f t="shared" si="246"/>
        <v>18.760766520000001</v>
      </c>
      <c r="M424" s="6">
        <f t="shared" si="246"/>
        <v>18.989652499999998</v>
      </c>
      <c r="N424" s="6">
        <f t="shared" si="246"/>
        <v>19.240125450000001</v>
      </c>
      <c r="O424" s="6">
        <f t="shared" si="246"/>
        <v>19.498619059999999</v>
      </c>
      <c r="P424" s="6">
        <f t="shared" si="246"/>
        <v>19.761828820000002</v>
      </c>
      <c r="Q424" s="6">
        <f t="shared" si="246"/>
        <v>20.028483609999999</v>
      </c>
      <c r="R424" s="6">
        <f t="shared" si="246"/>
        <v>20.297847430000001</v>
      </c>
      <c r="S424" s="6">
        <f t="shared" si="246"/>
        <v>20.568511319999999</v>
      </c>
      <c r="T424" s="6">
        <f t="shared" si="246"/>
        <v>20.8407619</v>
      </c>
      <c r="U424" s="6">
        <f t="shared" si="246"/>
        <v>21.11453474</v>
      </c>
      <c r="V424" s="6">
        <f t="shared" si="246"/>
        <v>21.389786650000001</v>
      </c>
      <c r="W424" s="6">
        <f t="shared" si="246"/>
        <v>21.654688530000001</v>
      </c>
      <c r="X424" s="6">
        <f t="shared" si="246"/>
        <v>21.92772583</v>
      </c>
      <c r="Y424" s="6">
        <f t="shared" si="246"/>
        <v>22.20466489</v>
      </c>
      <c r="Z424" s="6">
        <f t="shared" si="246"/>
        <v>22.4846325</v>
      </c>
      <c r="AA424" s="6">
        <f t="shared" si="246"/>
        <v>22.767553230000001</v>
      </c>
      <c r="AB424" s="6">
        <f t="shared" si="246"/>
        <v>23.019530499999998</v>
      </c>
      <c r="AC424" s="6">
        <f t="shared" si="246"/>
        <v>23.27767046</v>
      </c>
      <c r="AD424" s="6">
        <f t="shared" si="246"/>
        <v>23.53785706</v>
      </c>
      <c r="AE424" s="6">
        <f t="shared" si="246"/>
        <v>23.7998768</v>
      </c>
      <c r="AF424" s="6">
        <f t="shared" si="246"/>
        <v>24.064331559999999</v>
      </c>
      <c r="AG424" s="6">
        <f t="shared" si="246"/>
        <v>24.331858879999999</v>
      </c>
      <c r="AH424" s="6">
        <f t="shared" si="246"/>
        <v>24.603232169999998</v>
      </c>
      <c r="AI424" s="6">
        <f t="shared" si="246"/>
        <v>24.878617859999999</v>
      </c>
      <c r="AJ424" s="6">
        <f t="shared" si="246"/>
        <v>25.158193480000001</v>
      </c>
      <c r="AK424" s="6">
        <f t="shared" si="246"/>
        <v>25.442063000000001</v>
      </c>
      <c r="AL424" s="6">
        <f t="shared" si="246"/>
        <v>25.730265859999999</v>
      </c>
      <c r="AM424" s="6">
        <f t="shared" ref="AM424:BC424" si="247">AM401</f>
        <v>26.01728202</v>
      </c>
      <c r="AN424" s="6">
        <f t="shared" si="247"/>
        <v>26.305692270000002</v>
      </c>
      <c r="AO424" s="6">
        <f t="shared" si="247"/>
        <v>26.596481050000001</v>
      </c>
      <c r="AP424" s="6">
        <f t="shared" si="247"/>
        <v>26.890159690000001</v>
      </c>
      <c r="AQ424" s="6">
        <f t="shared" si="247"/>
        <v>27.187089459999999</v>
      </c>
      <c r="AR424" s="6">
        <f t="shared" si="247"/>
        <v>27.48798897</v>
      </c>
      <c r="AS424" s="6">
        <f t="shared" si="247"/>
        <v>27.79277351</v>
      </c>
      <c r="AT424" s="6">
        <f t="shared" si="247"/>
        <v>28.1015175</v>
      </c>
      <c r="AU424" s="6">
        <f t="shared" si="247"/>
        <v>28.414276910000002</v>
      </c>
      <c r="AV424" s="6">
        <f t="shared" si="247"/>
        <v>28.731069389999998</v>
      </c>
      <c r="AW424" s="6">
        <f t="shared" si="247"/>
        <v>29.054180859999999</v>
      </c>
      <c r="AX424" s="6">
        <f t="shared" si="247"/>
        <v>29.382141050000001</v>
      </c>
      <c r="AY424" s="6">
        <f t="shared" si="247"/>
        <v>29.71455349</v>
      </c>
      <c r="AZ424" s="6">
        <f t="shared" si="247"/>
        <v>30.05124052</v>
      </c>
      <c r="BA424" s="6">
        <f t="shared" si="247"/>
        <v>30.3920858</v>
      </c>
      <c r="BB424" s="6">
        <f t="shared" si="247"/>
        <v>35.672975299999997</v>
      </c>
      <c r="BC424" s="6">
        <f t="shared" si="247"/>
        <v>36.217518470000002</v>
      </c>
      <c r="BD424" s="6">
        <f t="shared" ref="BD424:BF424" si="248">BD401</f>
        <v>36.770833889999999</v>
      </c>
      <c r="BE424" s="6">
        <f t="shared" si="248"/>
        <v>37.33310058</v>
      </c>
      <c r="BF424" s="6">
        <f t="shared" si="248"/>
        <v>37.904501580000002</v>
      </c>
    </row>
    <row r="425" spans="1:58" x14ac:dyDescent="0.35">
      <c r="B425" t="s">
        <v>69</v>
      </c>
      <c r="C425" s="6">
        <f>C403</f>
        <v>18.832664780000002</v>
      </c>
      <c r="D425" s="6">
        <f t="shared" ref="D425:AL425" si="249">D403</f>
        <v>18.986667659999998</v>
      </c>
      <c r="E425" s="6">
        <f t="shared" si="249"/>
        <v>19.215794590000002</v>
      </c>
      <c r="F425" s="6">
        <f t="shared" si="249"/>
        <v>19.473722810000002</v>
      </c>
      <c r="G425" s="6">
        <f t="shared" si="249"/>
        <v>19.754226589999998</v>
      </c>
      <c r="H425" s="6">
        <f t="shared" si="249"/>
        <v>20.055576720000001</v>
      </c>
      <c r="I425" s="6">
        <f t="shared" si="249"/>
        <v>20.360268850000001</v>
      </c>
      <c r="J425" s="6">
        <f t="shared" si="249"/>
        <v>20.675335919999998</v>
      </c>
      <c r="K425" s="6">
        <f t="shared" si="249"/>
        <v>21.00039993</v>
      </c>
      <c r="L425" s="6">
        <f t="shared" si="249"/>
        <v>21.333912309999999</v>
      </c>
      <c r="M425" s="6">
        <f t="shared" si="249"/>
        <v>21.65836255</v>
      </c>
      <c r="N425" s="6">
        <f t="shared" si="249"/>
        <v>22.03131308</v>
      </c>
      <c r="O425" s="6">
        <f t="shared" si="249"/>
        <v>22.416070990000001</v>
      </c>
      <c r="P425" s="6">
        <f t="shared" si="249"/>
        <v>22.807285499999999</v>
      </c>
      <c r="Q425" s="6">
        <f t="shared" si="249"/>
        <v>23.203578799999999</v>
      </c>
      <c r="R425" s="6">
        <f t="shared" si="249"/>
        <v>23.604185180000002</v>
      </c>
      <c r="S425" s="6">
        <f t="shared" si="249"/>
        <v>24.00646338</v>
      </c>
      <c r="T425" s="6">
        <f t="shared" si="249"/>
        <v>24.41156178</v>
      </c>
      <c r="U425" s="6">
        <f t="shared" si="249"/>
        <v>24.819481249999999</v>
      </c>
      <c r="V425" s="6">
        <f t="shared" si="249"/>
        <v>25.230209970000001</v>
      </c>
      <c r="W425" s="6">
        <f t="shared" si="249"/>
        <v>25.62447835</v>
      </c>
      <c r="X425" s="6">
        <f t="shared" si="249"/>
        <v>26.03316298</v>
      </c>
      <c r="Y425" s="6">
        <f t="shared" si="249"/>
        <v>26.448203589999999</v>
      </c>
      <c r="Z425" s="6">
        <f t="shared" si="249"/>
        <v>26.868604399999999</v>
      </c>
      <c r="AA425" s="6">
        <f t="shared" si="249"/>
        <v>27.294449019999998</v>
      </c>
      <c r="AB425" s="6">
        <f t="shared" si="249"/>
        <v>27.669892860000001</v>
      </c>
      <c r="AC425" s="6">
        <f t="shared" si="249"/>
        <v>28.057906970000001</v>
      </c>
      <c r="AD425" s="6">
        <f t="shared" si="249"/>
        <v>28.449120839999999</v>
      </c>
      <c r="AE425" s="6">
        <f t="shared" si="249"/>
        <v>28.843624210000002</v>
      </c>
      <c r="AF425" s="6">
        <f t="shared" si="249"/>
        <v>29.24271293</v>
      </c>
      <c r="AG425" s="6">
        <f t="shared" si="249"/>
        <v>29.647613310000001</v>
      </c>
      <c r="AH425" s="6">
        <f t="shared" si="249"/>
        <v>30.059901369999999</v>
      </c>
      <c r="AI425" s="6">
        <f t="shared" si="249"/>
        <v>30.47979651</v>
      </c>
      <c r="AJ425" s="6">
        <f t="shared" si="249"/>
        <v>30.907668600000001</v>
      </c>
      <c r="AK425" s="6">
        <f t="shared" si="249"/>
        <v>31.34376082</v>
      </c>
      <c r="AL425" s="6">
        <f t="shared" si="249"/>
        <v>31.788202980000001</v>
      </c>
      <c r="AM425" s="6">
        <f t="shared" ref="AM425:BC425" si="250">AM403</f>
        <v>32.2333924</v>
      </c>
      <c r="AN425" s="6">
        <f t="shared" si="250"/>
        <v>32.682485229999998</v>
      </c>
      <c r="AO425" s="6">
        <f t="shared" si="250"/>
        <v>33.136785889999999</v>
      </c>
      <c r="AP425" s="6">
        <f t="shared" si="250"/>
        <v>33.597138450000003</v>
      </c>
      <c r="AQ425" s="6">
        <f t="shared" si="250"/>
        <v>34.06423272</v>
      </c>
      <c r="AR425" s="6">
        <f t="shared" si="250"/>
        <v>34.539658590000002</v>
      </c>
      <c r="AS425" s="6">
        <f t="shared" si="250"/>
        <v>35.02313899</v>
      </c>
      <c r="AT425" s="6">
        <f t="shared" si="250"/>
        <v>35.514879430000001</v>
      </c>
      <c r="AU425" s="6">
        <f t="shared" si="250"/>
        <v>36.01504628</v>
      </c>
      <c r="AV425" s="6">
        <f t="shared" si="250"/>
        <v>36.52372759</v>
      </c>
      <c r="AW425" s="6">
        <f t="shared" si="250"/>
        <v>37.045842309999998</v>
      </c>
      <c r="AX425" s="6">
        <f t="shared" si="250"/>
        <v>37.578109689999998</v>
      </c>
      <c r="AY425" s="6">
        <f t="shared" si="250"/>
        <v>38.119901800000001</v>
      </c>
      <c r="AZ425" s="6">
        <f t="shared" si="250"/>
        <v>38.670948760000002</v>
      </c>
      <c r="BA425" s="6">
        <f t="shared" si="250"/>
        <v>39.231067950000003</v>
      </c>
      <c r="BB425" s="6">
        <f t="shared" si="250"/>
        <v>48.979044649999999</v>
      </c>
      <c r="BC425" s="6">
        <f t="shared" si="250"/>
        <v>49.925197480000001</v>
      </c>
      <c r="BD425" s="6">
        <f t="shared" ref="BD425:BF425" si="251">BD403</f>
        <v>50.890454120000001</v>
      </c>
      <c r="BE425" s="6">
        <f t="shared" si="251"/>
        <v>51.87530229</v>
      </c>
      <c r="BF425" s="6">
        <f t="shared" si="251"/>
        <v>52.880249550000002</v>
      </c>
    </row>
    <row r="426" spans="1:58" x14ac:dyDescent="0.35">
      <c r="B426" t="s">
        <v>70</v>
      </c>
      <c r="C426" s="6">
        <f>C402+C400</f>
        <v>5.3854929650000001</v>
      </c>
      <c r="D426" s="6">
        <f t="shared" ref="D426:AL426" si="252">D402+D400</f>
        <v>5.422126778</v>
      </c>
      <c r="E426" s="6">
        <f t="shared" si="252"/>
        <v>5.4836079729999998</v>
      </c>
      <c r="F426" s="6">
        <f t="shared" si="252"/>
        <v>5.5513026769999998</v>
      </c>
      <c r="G426" s="6">
        <f t="shared" si="252"/>
        <v>5.6227210850000002</v>
      </c>
      <c r="H426" s="6">
        <f t="shared" si="252"/>
        <v>5.6969984060000005</v>
      </c>
      <c r="I426" s="6">
        <f t="shared" si="252"/>
        <v>5.7687003280000004</v>
      </c>
      <c r="J426" s="6">
        <f t="shared" si="252"/>
        <v>5.8409490560000004</v>
      </c>
      <c r="K426" s="6">
        <f t="shared" si="252"/>
        <v>5.9137499170000005</v>
      </c>
      <c r="L426" s="6">
        <f t="shared" si="252"/>
        <v>5.9868106259999996</v>
      </c>
      <c r="M426" s="6">
        <f t="shared" si="252"/>
        <v>6.0513480450000001</v>
      </c>
      <c r="N426" s="6">
        <f t="shared" si="252"/>
        <v>6.1336817959999994</v>
      </c>
      <c r="O426" s="6">
        <f t="shared" si="252"/>
        <v>6.2181497480000001</v>
      </c>
      <c r="P426" s="6">
        <f t="shared" si="252"/>
        <v>6.302715192</v>
      </c>
      <c r="Q426" s="6">
        <f t="shared" si="252"/>
        <v>6.3870533040000002</v>
      </c>
      <c r="R426" s="6">
        <f t="shared" si="252"/>
        <v>6.4711107319999996</v>
      </c>
      <c r="S426" s="6">
        <f t="shared" si="252"/>
        <v>6.554135434</v>
      </c>
      <c r="T426" s="6">
        <f t="shared" si="252"/>
        <v>6.6368772739999997</v>
      </c>
      <c r="U426" s="6">
        <f t="shared" si="252"/>
        <v>6.7195293100000004</v>
      </c>
      <c r="V426" s="6">
        <f t="shared" si="252"/>
        <v>6.8022357840000005</v>
      </c>
      <c r="W426" s="6">
        <f t="shared" si="252"/>
        <v>6.8796913120000003</v>
      </c>
      <c r="X426" s="6">
        <f t="shared" si="252"/>
        <v>6.9620189040000007</v>
      </c>
      <c r="Y426" s="6">
        <f t="shared" si="252"/>
        <v>7.0455365560000001</v>
      </c>
      <c r="Z426" s="6">
        <f t="shared" si="252"/>
        <v>7.1298936790000003</v>
      </c>
      <c r="AA426" s="6">
        <f t="shared" si="252"/>
        <v>7.2151598229999996</v>
      </c>
      <c r="AB426" s="6">
        <f t="shared" si="252"/>
        <v>7.285909019</v>
      </c>
      <c r="AC426" s="6">
        <f t="shared" si="252"/>
        <v>7.363642628</v>
      </c>
      <c r="AD426" s="6">
        <f t="shared" si="252"/>
        <v>7.4431684389999999</v>
      </c>
      <c r="AE426" s="6">
        <f t="shared" si="252"/>
        <v>7.5239836120000003</v>
      </c>
      <c r="AF426" s="6">
        <f t="shared" si="252"/>
        <v>7.6061514939999997</v>
      </c>
      <c r="AG426" s="6">
        <f t="shared" si="252"/>
        <v>7.6897781869999999</v>
      </c>
      <c r="AH426" s="6">
        <f t="shared" si="252"/>
        <v>7.7751759160000002</v>
      </c>
      <c r="AI426" s="6">
        <f t="shared" si="252"/>
        <v>7.8621977449999996</v>
      </c>
      <c r="AJ426" s="6">
        <f t="shared" si="252"/>
        <v>7.9508431499999999</v>
      </c>
      <c r="AK426" s="6">
        <f t="shared" si="252"/>
        <v>8.0411094369999994</v>
      </c>
      <c r="AL426" s="6">
        <f t="shared" si="252"/>
        <v>8.1329786129999988</v>
      </c>
      <c r="AM426" s="6">
        <f t="shared" ref="AM426:BC426" si="253">AM402+AM400</f>
        <v>8.2249373370000001</v>
      </c>
      <c r="AN426" s="6">
        <f t="shared" si="253"/>
        <v>8.3180503330000004</v>
      </c>
      <c r="AO426" s="6">
        <f t="shared" si="253"/>
        <v>8.4125006039999999</v>
      </c>
      <c r="AP426" s="6">
        <f t="shared" si="253"/>
        <v>8.5083284960000007</v>
      </c>
      <c r="AQ426" s="6">
        <f t="shared" si="253"/>
        <v>8.6055400429999995</v>
      </c>
      <c r="AR426" s="6">
        <f t="shared" si="253"/>
        <v>8.7044996319999992</v>
      </c>
      <c r="AS426" s="6">
        <f t="shared" si="253"/>
        <v>8.8048755109999988</v>
      </c>
      <c r="AT426" s="6">
        <f t="shared" si="253"/>
        <v>8.9066105740000001</v>
      </c>
      <c r="AU426" s="6">
        <f t="shared" si="253"/>
        <v>9.0096767199999999</v>
      </c>
      <c r="AV426" s="6">
        <f t="shared" si="253"/>
        <v>9.1140466839999998</v>
      </c>
      <c r="AW426" s="6">
        <f t="shared" si="253"/>
        <v>9.2213546710000003</v>
      </c>
      <c r="AX426" s="6">
        <f t="shared" si="253"/>
        <v>9.3301760470000001</v>
      </c>
      <c r="AY426" s="6">
        <f t="shared" si="253"/>
        <v>9.4403156670000001</v>
      </c>
      <c r="AZ426" s="6">
        <f t="shared" si="253"/>
        <v>9.5517274830000005</v>
      </c>
      <c r="BA426" s="6">
        <f t="shared" si="253"/>
        <v>9.6643844330000004</v>
      </c>
      <c r="BB426" s="6">
        <f t="shared" si="253"/>
        <v>12.241690213999998</v>
      </c>
      <c r="BC426" s="6">
        <f t="shared" si="253"/>
        <v>12.448568612999999</v>
      </c>
      <c r="BD426" s="6">
        <f t="shared" ref="BD426:BF426" si="254">BD402+BD400</f>
        <v>12.659353551999999</v>
      </c>
      <c r="BE426" s="6">
        <f t="shared" si="254"/>
        <v>12.874115565</v>
      </c>
      <c r="BF426" s="6">
        <f t="shared" si="254"/>
        <v>13.092921322999999</v>
      </c>
    </row>
    <row r="427" spans="1:58" x14ac:dyDescent="0.35">
      <c r="B427" t="s">
        <v>10</v>
      </c>
      <c r="C427" s="6">
        <f>C404+C405+C415</f>
        <v>49.569772143999998</v>
      </c>
      <c r="D427" s="6">
        <f t="shared" ref="D427:AL427" si="255">D404+D405+D415</f>
        <v>49.946968701999999</v>
      </c>
      <c r="E427" s="6">
        <f t="shared" si="255"/>
        <v>50.395928735999995</v>
      </c>
      <c r="F427" s="6">
        <f t="shared" si="255"/>
        <v>50.908262889999996</v>
      </c>
      <c r="G427" s="6">
        <f t="shared" si="255"/>
        <v>51.495053593999998</v>
      </c>
      <c r="H427" s="6">
        <f t="shared" si="255"/>
        <v>52.160624432999995</v>
      </c>
      <c r="I427" s="6">
        <f t="shared" si="255"/>
        <v>52.867653578999999</v>
      </c>
      <c r="J427" s="6">
        <f t="shared" si="255"/>
        <v>53.627770448999996</v>
      </c>
      <c r="K427" s="6">
        <f t="shared" si="255"/>
        <v>54.436343514999997</v>
      </c>
      <c r="L427" s="6">
        <f t="shared" si="255"/>
        <v>55.286424343000007</v>
      </c>
      <c r="M427" s="6">
        <f t="shared" si="255"/>
        <v>56.189946625000005</v>
      </c>
      <c r="N427" s="6">
        <f t="shared" si="255"/>
        <v>57.135614203000003</v>
      </c>
      <c r="O427" s="6">
        <f t="shared" si="255"/>
        <v>58.119379070999997</v>
      </c>
      <c r="P427" s="6">
        <f t="shared" si="255"/>
        <v>59.136110275999997</v>
      </c>
      <c r="Q427" s="6">
        <f t="shared" si="255"/>
        <v>60.180916959999998</v>
      </c>
      <c r="R427" s="6">
        <f t="shared" si="255"/>
        <v>61.249153575999998</v>
      </c>
      <c r="S427" s="6">
        <f t="shared" si="255"/>
        <v>62.339367252000002</v>
      </c>
      <c r="T427" s="6">
        <f t="shared" si="255"/>
        <v>63.445579177999996</v>
      </c>
      <c r="U427" s="6">
        <f t="shared" si="255"/>
        <v>64.564844434000008</v>
      </c>
      <c r="V427" s="6">
        <f t="shared" si="255"/>
        <v>65.695173726999997</v>
      </c>
      <c r="W427" s="6">
        <f t="shared" si="255"/>
        <v>66.790188909000008</v>
      </c>
      <c r="X427" s="6">
        <f t="shared" si="255"/>
        <v>67.919912413000006</v>
      </c>
      <c r="Y427" s="6">
        <f t="shared" si="255"/>
        <v>69.064283613000001</v>
      </c>
      <c r="Z427" s="6">
        <f t="shared" si="255"/>
        <v>70.220167748999998</v>
      </c>
      <c r="AA427" s="6">
        <f t="shared" si="255"/>
        <v>71.387271843000008</v>
      </c>
      <c r="AB427" s="6">
        <f t="shared" si="255"/>
        <v>72.434736768999997</v>
      </c>
      <c r="AC427" s="6">
        <f t="shared" si="255"/>
        <v>73.505314237999997</v>
      </c>
      <c r="AD427" s="6">
        <f t="shared" si="255"/>
        <v>74.578334841</v>
      </c>
      <c r="AE427" s="6">
        <f t="shared" si="255"/>
        <v>75.653415206999995</v>
      </c>
      <c r="AF427" s="6">
        <f t="shared" si="255"/>
        <v>76.73328265699999</v>
      </c>
      <c r="AG427" s="6">
        <f t="shared" si="255"/>
        <v>77.820804421999995</v>
      </c>
      <c r="AH427" s="6">
        <f t="shared" si="255"/>
        <v>78.917665525000004</v>
      </c>
      <c r="AI427" s="6">
        <f t="shared" si="255"/>
        <v>80.026686794</v>
      </c>
      <c r="AJ427" s="6">
        <f t="shared" si="255"/>
        <v>81.149621268000004</v>
      </c>
      <c r="AK427" s="6">
        <f t="shared" si="255"/>
        <v>82.287803234999998</v>
      </c>
      <c r="AL427" s="6">
        <f t="shared" si="255"/>
        <v>83.44225401700001</v>
      </c>
      <c r="AM427" s="6">
        <f t="shared" ref="AM427:BC427" si="256">AM404+AM405+AM415</f>
        <v>84.574394085000009</v>
      </c>
      <c r="AN427" s="6">
        <f t="shared" si="256"/>
        <v>85.710072688000011</v>
      </c>
      <c r="AO427" s="6">
        <f t="shared" si="256"/>
        <v>86.854959508999997</v>
      </c>
      <c r="AP427" s="6">
        <f t="shared" si="256"/>
        <v>88.011662987000008</v>
      </c>
      <c r="AQ427" s="6">
        <f t="shared" si="256"/>
        <v>89.181987664000005</v>
      </c>
      <c r="AR427" s="6">
        <f t="shared" si="256"/>
        <v>90.366012134000002</v>
      </c>
      <c r="AS427" s="6">
        <f t="shared" si="256"/>
        <v>91.565944865999995</v>
      </c>
      <c r="AT427" s="6">
        <f t="shared" si="256"/>
        <v>92.782667684000003</v>
      </c>
      <c r="AU427" s="6">
        <f t="shared" si="256"/>
        <v>94.016718088000005</v>
      </c>
      <c r="AV427" s="6">
        <f t="shared" si="256"/>
        <v>95.268419500999997</v>
      </c>
      <c r="AW427" s="6">
        <f t="shared" si="256"/>
        <v>96.536369364999999</v>
      </c>
      <c r="AX427" s="6">
        <f t="shared" si="256"/>
        <v>97.823373642999996</v>
      </c>
      <c r="AY427" s="6">
        <f t="shared" si="256"/>
        <v>99.129778559000002</v>
      </c>
      <c r="AZ427" s="6">
        <f t="shared" si="256"/>
        <v>100.455660425</v>
      </c>
      <c r="BA427" s="6">
        <f t="shared" si="256"/>
        <v>101.800939235</v>
      </c>
      <c r="BB427" s="6">
        <f t="shared" si="256"/>
        <v>116.05732303399999</v>
      </c>
      <c r="BC427" s="6">
        <f t="shared" si="256"/>
        <v>117.99121762899999</v>
      </c>
      <c r="BD427" s="6">
        <f t="shared" ref="BD427:BF427" si="257">BD404+BD405+BD415</f>
        <v>119.95204948</v>
      </c>
      <c r="BE427" s="6">
        <f t="shared" si="257"/>
        <v>121.94073003999999</v>
      </c>
      <c r="BF427" s="6">
        <f t="shared" si="257"/>
        <v>123.95817712</v>
      </c>
    </row>
    <row r="428" spans="1:58" x14ac:dyDescent="0.35">
      <c r="B428" t="s">
        <v>29</v>
      </c>
      <c r="C428" s="6">
        <f>C407+C408+C406</f>
        <v>21.194685768000003</v>
      </c>
      <c r="D428" s="6">
        <f t="shared" ref="D428:AL428" si="258">D407+D408+D406</f>
        <v>21.237562386</v>
      </c>
      <c r="E428" s="6">
        <f t="shared" si="258"/>
        <v>21.308688235000002</v>
      </c>
      <c r="F428" s="6">
        <f t="shared" si="258"/>
        <v>21.405557768000001</v>
      </c>
      <c r="G428" s="6">
        <f t="shared" si="258"/>
        <v>21.534056501999999</v>
      </c>
      <c r="H428" s="6">
        <f t="shared" si="258"/>
        <v>21.693272418000003</v>
      </c>
      <c r="I428" s="6">
        <f t="shared" si="258"/>
        <v>21.867364884000001</v>
      </c>
      <c r="J428" s="6">
        <f t="shared" si="258"/>
        <v>22.057944514000003</v>
      </c>
      <c r="K428" s="6">
        <f t="shared" si="258"/>
        <v>22.262002503999998</v>
      </c>
      <c r="L428" s="6">
        <f t="shared" si="258"/>
        <v>22.476056420999999</v>
      </c>
      <c r="M428" s="6">
        <f t="shared" si="258"/>
        <v>22.682477090999999</v>
      </c>
      <c r="N428" s="6">
        <f t="shared" si="258"/>
        <v>22.929262429000001</v>
      </c>
      <c r="O428" s="6">
        <f t="shared" si="258"/>
        <v>23.188303315999999</v>
      </c>
      <c r="P428" s="6">
        <f t="shared" si="258"/>
        <v>23.453562755</v>
      </c>
      <c r="Q428" s="6">
        <f t="shared" si="258"/>
        <v>23.723401854000002</v>
      </c>
      <c r="R428" s="6">
        <f t="shared" si="258"/>
        <v>23.997063163000004</v>
      </c>
      <c r="S428" s="6">
        <f t="shared" si="258"/>
        <v>24.272591940000002</v>
      </c>
      <c r="T428" s="6">
        <f t="shared" si="258"/>
        <v>24.550613740999999</v>
      </c>
      <c r="U428" s="6">
        <f t="shared" si="258"/>
        <v>24.831020445999997</v>
      </c>
      <c r="V428" s="6">
        <f t="shared" si="258"/>
        <v>25.113643974999999</v>
      </c>
      <c r="W428" s="6">
        <f t="shared" si="258"/>
        <v>25.385011653999999</v>
      </c>
      <c r="X428" s="6">
        <f t="shared" si="258"/>
        <v>25.666623342999998</v>
      </c>
      <c r="Y428" s="6">
        <f t="shared" si="258"/>
        <v>25.952575144000001</v>
      </c>
      <c r="Z428" s="6">
        <f t="shared" si="258"/>
        <v>26.241599647000001</v>
      </c>
      <c r="AA428" s="6">
        <f t="shared" si="258"/>
        <v>26.533518321999999</v>
      </c>
      <c r="AB428" s="6">
        <f t="shared" si="258"/>
        <v>26.790197779</v>
      </c>
      <c r="AC428" s="6">
        <f t="shared" si="258"/>
        <v>27.055818058</v>
      </c>
      <c r="AD428" s="6">
        <f t="shared" si="258"/>
        <v>27.323835449000001</v>
      </c>
      <c r="AE428" s="6">
        <f t="shared" si="258"/>
        <v>27.593352872000001</v>
      </c>
      <c r="AF428" s="6">
        <f t="shared" si="258"/>
        <v>27.864743773999997</v>
      </c>
      <c r="AG428" s="6">
        <f t="shared" si="258"/>
        <v>28.138561716000002</v>
      </c>
      <c r="AH428" s="6">
        <f t="shared" si="258"/>
        <v>28.415715491999997</v>
      </c>
      <c r="AI428" s="6">
        <f t="shared" si="258"/>
        <v>28.696289327999999</v>
      </c>
      <c r="AJ428" s="6">
        <f t="shared" si="258"/>
        <v>28.980509198999997</v>
      </c>
      <c r="AK428" s="6">
        <f t="shared" si="258"/>
        <v>29.268555906</v>
      </c>
      <c r="AL428" s="6">
        <f t="shared" si="258"/>
        <v>29.560557635000002</v>
      </c>
      <c r="AM428" s="6">
        <f t="shared" ref="AM428:BC428" si="259">AM407+AM408+AM406</f>
        <v>29.85150054</v>
      </c>
      <c r="AN428" s="6">
        <f t="shared" si="259"/>
        <v>30.143964808</v>
      </c>
      <c r="AO428" s="6">
        <f t="shared" si="259"/>
        <v>30.438930957</v>
      </c>
      <c r="AP428" s="6">
        <f t="shared" si="259"/>
        <v>30.736882508999997</v>
      </c>
      <c r="AQ428" s="6">
        <f t="shared" si="259"/>
        <v>31.038151574</v>
      </c>
      <c r="AR428" s="6">
        <f t="shared" si="259"/>
        <v>31.343667159999999</v>
      </c>
      <c r="AS428" s="6">
        <f t="shared" si="259"/>
        <v>31.653159756000001</v>
      </c>
      <c r="AT428" s="6">
        <f t="shared" si="259"/>
        <v>31.966711650000001</v>
      </c>
      <c r="AU428" s="6">
        <f t="shared" si="259"/>
        <v>32.284434010999995</v>
      </c>
      <c r="AV428" s="6">
        <f t="shared" si="259"/>
        <v>32.606415032000001</v>
      </c>
      <c r="AW428" s="6">
        <f t="shared" si="259"/>
        <v>32.935897113000003</v>
      </c>
      <c r="AX428" s="6">
        <f t="shared" si="259"/>
        <v>33.270725470999999</v>
      </c>
      <c r="AY428" s="6">
        <f t="shared" si="259"/>
        <v>33.610506065999999</v>
      </c>
      <c r="AZ428" s="6">
        <f t="shared" si="259"/>
        <v>33.955169867999999</v>
      </c>
      <c r="BA428" s="6">
        <f t="shared" si="259"/>
        <v>34.304708347999998</v>
      </c>
      <c r="BB428" s="6">
        <f t="shared" si="259"/>
        <v>41.452889843000001</v>
      </c>
      <c r="BC428" s="6">
        <f t="shared" si="259"/>
        <v>42.057067828999998</v>
      </c>
      <c r="BD428" s="6">
        <f t="shared" ref="BD428:BF428" si="260">BD407+BD408+BD406</f>
        <v>42.671079304000003</v>
      </c>
      <c r="BE428" s="6">
        <f t="shared" si="260"/>
        <v>43.295167198999998</v>
      </c>
      <c r="BF428" s="6">
        <f t="shared" si="260"/>
        <v>43.929588232</v>
      </c>
    </row>
    <row r="429" spans="1:58" x14ac:dyDescent="0.35">
      <c r="B429" t="s">
        <v>33</v>
      </c>
      <c r="C429" s="6">
        <f>SUM(C409:C413)</f>
        <v>25.316506243000003</v>
      </c>
      <c r="D429" s="6">
        <f t="shared" ref="D429:AL429" si="261">SUM(D409:D413)</f>
        <v>25.493322864</v>
      </c>
      <c r="E429" s="6">
        <f t="shared" si="261"/>
        <v>25.634975677</v>
      </c>
      <c r="F429" s="6">
        <f t="shared" si="261"/>
        <v>25.787865655000004</v>
      </c>
      <c r="G429" s="6">
        <f t="shared" si="261"/>
        <v>25.967440842000002</v>
      </c>
      <c r="H429" s="6">
        <f t="shared" si="261"/>
        <v>26.176928167</v>
      </c>
      <c r="I429" s="6">
        <f t="shared" si="261"/>
        <v>26.399625945</v>
      </c>
      <c r="J429" s="6">
        <f t="shared" si="261"/>
        <v>26.636064991000001</v>
      </c>
      <c r="K429" s="6">
        <f t="shared" si="261"/>
        <v>26.883732668999997</v>
      </c>
      <c r="L429" s="6">
        <f t="shared" si="261"/>
        <v>27.138442785999999</v>
      </c>
      <c r="M429" s="6">
        <f t="shared" si="261"/>
        <v>27.393195287000001</v>
      </c>
      <c r="N429" s="6">
        <f t="shared" si="261"/>
        <v>27.660029850000001</v>
      </c>
      <c r="O429" s="6">
        <f t="shared" si="261"/>
        <v>27.926458015999998</v>
      </c>
      <c r="P429" s="6">
        <f t="shared" si="261"/>
        <v>28.191971381999998</v>
      </c>
      <c r="Q429" s="6">
        <f t="shared" si="261"/>
        <v>28.457650094000002</v>
      </c>
      <c r="R429" s="6">
        <f t="shared" si="261"/>
        <v>28.724215710000003</v>
      </c>
      <c r="S429" s="6">
        <f t="shared" si="261"/>
        <v>28.994550689999997</v>
      </c>
      <c r="T429" s="6">
        <f t="shared" si="261"/>
        <v>29.265751810000001</v>
      </c>
      <c r="U429" s="6">
        <f t="shared" si="261"/>
        <v>29.537862334</v>
      </c>
      <c r="V429" s="6">
        <f t="shared" si="261"/>
        <v>29.811239340999997</v>
      </c>
      <c r="W429" s="6">
        <f t="shared" si="261"/>
        <v>30.069092367</v>
      </c>
      <c r="X429" s="6">
        <f t="shared" si="261"/>
        <v>30.337365674000001</v>
      </c>
      <c r="Y429" s="6">
        <f t="shared" si="261"/>
        <v>30.61252533</v>
      </c>
      <c r="Z429" s="6">
        <f t="shared" si="261"/>
        <v>30.892739431999999</v>
      </c>
      <c r="AA429" s="6">
        <f t="shared" si="261"/>
        <v>31.177554059000002</v>
      </c>
      <c r="AB429" s="6">
        <f t="shared" si="261"/>
        <v>31.418360593000003</v>
      </c>
      <c r="AC429" s="6">
        <f t="shared" si="261"/>
        <v>31.663453154999999</v>
      </c>
      <c r="AD429" s="6">
        <f t="shared" si="261"/>
        <v>31.914346847000001</v>
      </c>
      <c r="AE429" s="6">
        <f t="shared" si="261"/>
        <v>32.170564419000002</v>
      </c>
      <c r="AF429" s="6">
        <f t="shared" si="261"/>
        <v>32.432292408000002</v>
      </c>
      <c r="AG429" s="6">
        <f t="shared" si="261"/>
        <v>32.699963834999998</v>
      </c>
      <c r="AH429" s="6">
        <f t="shared" si="261"/>
        <v>32.973251214999998</v>
      </c>
      <c r="AI429" s="6">
        <f t="shared" si="261"/>
        <v>33.253373703999998</v>
      </c>
      <c r="AJ429" s="6">
        <f t="shared" si="261"/>
        <v>33.540588941999999</v>
      </c>
      <c r="AK429" s="6">
        <f t="shared" si="261"/>
        <v>33.834963122000005</v>
      </c>
      <c r="AL429" s="6">
        <f t="shared" si="261"/>
        <v>34.136479373999997</v>
      </c>
      <c r="AM429" s="6">
        <f t="shared" ref="AM429:BC429" si="262">SUM(AM409:AM413)</f>
        <v>34.426652587999996</v>
      </c>
      <c r="AN429" s="6">
        <f t="shared" si="262"/>
        <v>34.719065964999999</v>
      </c>
      <c r="AO429" s="6">
        <f t="shared" si="262"/>
        <v>35.016680072000007</v>
      </c>
      <c r="AP429" s="6">
        <f t="shared" si="262"/>
        <v>35.320143107</v>
      </c>
      <c r="AQ429" s="6">
        <f t="shared" si="262"/>
        <v>35.629546249000001</v>
      </c>
      <c r="AR429" s="6">
        <f t="shared" si="262"/>
        <v>35.943636931999997</v>
      </c>
      <c r="AS429" s="6">
        <f t="shared" si="262"/>
        <v>36.263730367000001</v>
      </c>
      <c r="AT429" s="6">
        <f t="shared" si="262"/>
        <v>36.589807405000002</v>
      </c>
      <c r="AU429" s="6">
        <f t="shared" si="262"/>
        <v>36.921698420999995</v>
      </c>
      <c r="AV429" s="6">
        <f t="shared" si="262"/>
        <v>37.259226482000003</v>
      </c>
      <c r="AW429" s="6">
        <f t="shared" si="262"/>
        <v>37.598920989999996</v>
      </c>
      <c r="AX429" s="6">
        <f t="shared" si="262"/>
        <v>37.945100003999997</v>
      </c>
      <c r="AY429" s="6">
        <f t="shared" si="262"/>
        <v>38.297637905999999</v>
      </c>
      <c r="AZ429" s="6">
        <f t="shared" si="262"/>
        <v>38.656032042000007</v>
      </c>
      <c r="BA429" s="6">
        <f t="shared" si="262"/>
        <v>39.019867126999998</v>
      </c>
      <c r="BB429" s="6">
        <f t="shared" si="262"/>
        <v>39.955272639999997</v>
      </c>
      <c r="BC429" s="6">
        <f t="shared" si="262"/>
        <v>40.421372435000002</v>
      </c>
      <c r="BD429" s="6">
        <f t="shared" ref="BD429:BF429" si="263">SUM(BD409:BD413)</f>
        <v>40.895809559</v>
      </c>
      <c r="BE429" s="6">
        <f t="shared" si="263"/>
        <v>41.378600045999995</v>
      </c>
      <c r="BF429" s="6">
        <f t="shared" si="263"/>
        <v>41.869795973000002</v>
      </c>
    </row>
    <row r="431" spans="1:58" x14ac:dyDescent="0.35">
      <c r="A431" s="12" t="s">
        <v>92</v>
      </c>
      <c r="C431" s="7" t="s">
        <v>72</v>
      </c>
      <c r="D431" s="7" t="s">
        <v>15</v>
      </c>
      <c r="E431" s="7" t="s">
        <v>16</v>
      </c>
      <c r="F431" s="7" t="s">
        <v>17</v>
      </c>
    </row>
    <row r="432" spans="1:58" x14ac:dyDescent="0.35">
      <c r="A432" t="s">
        <v>39</v>
      </c>
      <c r="B432" t="s">
        <v>7</v>
      </c>
      <c r="C432" s="6">
        <f>H418</f>
        <v>15.178127336599999</v>
      </c>
      <c r="D432" s="6">
        <f>R418</f>
        <v>17.629099331399999</v>
      </c>
      <c r="E432" s="6">
        <f>AB418</f>
        <v>20.691593811900002</v>
      </c>
      <c r="F432" s="6">
        <f>AL418</f>
        <v>23.703531433600002</v>
      </c>
    </row>
    <row r="433" spans="1:58" x14ac:dyDescent="0.35">
      <c r="B433" t="s">
        <v>64</v>
      </c>
      <c r="C433" s="6">
        <f t="shared" ref="C433:C443" si="264">H419</f>
        <v>8.8871173199999998</v>
      </c>
      <c r="D433" s="6">
        <f t="shared" ref="D433:D443" si="265">R419</f>
        <v>10.29642922</v>
      </c>
      <c r="E433" s="6">
        <f t="shared" ref="E433:E443" si="266">AB419</f>
        <v>12.019420139999999</v>
      </c>
      <c r="F433" s="6">
        <f t="shared" ref="F433:F443" si="267">AL419</f>
        <v>13.601918489999999</v>
      </c>
    </row>
    <row r="434" spans="1:58" x14ac:dyDescent="0.35">
      <c r="B434" t="s">
        <v>65</v>
      </c>
      <c r="C434" s="6">
        <f t="shared" si="264"/>
        <v>19.464802649999999</v>
      </c>
      <c r="D434" s="6">
        <f t="shared" si="265"/>
        <v>22.413122903000001</v>
      </c>
      <c r="E434" s="6">
        <f t="shared" si="266"/>
        <v>25.96708091</v>
      </c>
      <c r="F434" s="6">
        <f t="shared" si="267"/>
        <v>29.736428359999998</v>
      </c>
    </row>
    <row r="435" spans="1:58" x14ac:dyDescent="0.35">
      <c r="B435" t="s">
        <v>66</v>
      </c>
      <c r="C435" s="6">
        <f t="shared" si="264"/>
        <v>13.91779824</v>
      </c>
      <c r="D435" s="6">
        <f t="shared" si="265"/>
        <v>15.934624700000001</v>
      </c>
      <c r="E435" s="6">
        <f t="shared" si="266"/>
        <v>18.143543430000001</v>
      </c>
      <c r="F435" s="6">
        <f t="shared" si="267"/>
        <v>20.424011180000001</v>
      </c>
    </row>
    <row r="436" spans="1:58" x14ac:dyDescent="0.35">
      <c r="B436" t="s">
        <v>67</v>
      </c>
      <c r="C436" s="6">
        <f t="shared" si="264"/>
        <v>20.224070449999999</v>
      </c>
      <c r="D436" s="6">
        <f t="shared" si="265"/>
        <v>23.05447032</v>
      </c>
      <c r="E436" s="6">
        <f t="shared" si="266"/>
        <v>26.405441280000002</v>
      </c>
      <c r="F436" s="6">
        <f t="shared" si="267"/>
        <v>29.96986794</v>
      </c>
    </row>
    <row r="437" spans="1:58" x14ac:dyDescent="0.35">
      <c r="B437" t="s">
        <v>71</v>
      </c>
      <c r="C437" s="6">
        <f t="shared" si="264"/>
        <v>16.367504322999999</v>
      </c>
      <c r="D437" s="6">
        <f t="shared" si="265"/>
        <v>19.141130963999998</v>
      </c>
      <c r="E437" s="6">
        <f t="shared" si="266"/>
        <v>22.622232200999996</v>
      </c>
      <c r="F437" s="6">
        <f t="shared" si="267"/>
        <v>25.631395709000003</v>
      </c>
    </row>
    <row r="438" spans="1:58" x14ac:dyDescent="0.35">
      <c r="B438" t="s">
        <v>68</v>
      </c>
      <c r="C438" s="6">
        <f t="shared" si="264"/>
        <v>17.897111219999999</v>
      </c>
      <c r="D438" s="6">
        <f t="shared" si="265"/>
        <v>20.297847430000001</v>
      </c>
      <c r="E438" s="6">
        <f t="shared" si="266"/>
        <v>23.019530499999998</v>
      </c>
      <c r="F438" s="6">
        <f t="shared" si="267"/>
        <v>25.730265859999999</v>
      </c>
    </row>
    <row r="439" spans="1:58" x14ac:dyDescent="0.35">
      <c r="B439" t="s">
        <v>69</v>
      </c>
      <c r="C439" s="6">
        <f t="shared" si="264"/>
        <v>20.055576720000001</v>
      </c>
      <c r="D439" s="6">
        <f t="shared" si="265"/>
        <v>23.604185180000002</v>
      </c>
      <c r="E439" s="6">
        <f t="shared" si="266"/>
        <v>27.669892860000001</v>
      </c>
      <c r="F439" s="6">
        <f t="shared" si="267"/>
        <v>31.788202980000001</v>
      </c>
    </row>
    <row r="440" spans="1:58" x14ac:dyDescent="0.35">
      <c r="B440" t="s">
        <v>70</v>
      </c>
      <c r="C440" s="6">
        <f t="shared" si="264"/>
        <v>5.6969984060000005</v>
      </c>
      <c r="D440" s="6">
        <f t="shared" si="265"/>
        <v>6.4711107319999996</v>
      </c>
      <c r="E440" s="6">
        <f t="shared" si="266"/>
        <v>7.285909019</v>
      </c>
      <c r="F440" s="6">
        <f t="shared" si="267"/>
        <v>8.1329786129999988</v>
      </c>
    </row>
    <row r="441" spans="1:58" x14ac:dyDescent="0.35">
      <c r="B441" t="s">
        <v>10</v>
      </c>
      <c r="C441" s="6">
        <f t="shared" si="264"/>
        <v>52.160624432999995</v>
      </c>
      <c r="D441" s="6">
        <f t="shared" si="265"/>
        <v>61.249153575999998</v>
      </c>
      <c r="E441" s="6">
        <f t="shared" si="266"/>
        <v>72.434736768999997</v>
      </c>
      <c r="F441" s="6">
        <f t="shared" si="267"/>
        <v>83.44225401700001</v>
      </c>
    </row>
    <row r="442" spans="1:58" x14ac:dyDescent="0.35">
      <c r="B442" t="s">
        <v>29</v>
      </c>
      <c r="C442" s="6">
        <f t="shared" si="264"/>
        <v>21.693272418000003</v>
      </c>
      <c r="D442" s="6">
        <f t="shared" si="265"/>
        <v>23.997063163000004</v>
      </c>
      <c r="E442" s="6">
        <f t="shared" si="266"/>
        <v>26.790197779</v>
      </c>
      <c r="F442" s="6">
        <f t="shared" si="267"/>
        <v>29.560557635000002</v>
      </c>
    </row>
    <row r="443" spans="1:58" x14ac:dyDescent="0.35">
      <c r="B443" t="s">
        <v>33</v>
      </c>
      <c r="C443" s="6">
        <f t="shared" si="264"/>
        <v>26.176928167</v>
      </c>
      <c r="D443" s="6">
        <f t="shared" si="265"/>
        <v>28.724215710000003</v>
      </c>
      <c r="E443" s="6">
        <f t="shared" si="266"/>
        <v>31.418360593000003</v>
      </c>
      <c r="F443" s="6">
        <f t="shared" si="267"/>
        <v>34.136479373999997</v>
      </c>
    </row>
    <row r="445" spans="1:58" x14ac:dyDescent="0.35">
      <c r="A445" s="12" t="s">
        <v>93</v>
      </c>
      <c r="B445" t="s">
        <v>73</v>
      </c>
      <c r="C445" s="6">
        <f>[1]Results!F281</f>
        <v>160.55402939999999</v>
      </c>
      <c r="D445" s="6">
        <f>[1]Results!G281</f>
        <v>160.98240390000001</v>
      </c>
      <c r="E445" s="6">
        <f>[1]Results!H281</f>
        <v>161.4069959</v>
      </c>
      <c r="F445" s="6">
        <f>[1]Results!I281</f>
        <v>161.97421689999999</v>
      </c>
      <c r="G445" s="6">
        <f>[1]Results!J281</f>
        <v>162.7582682</v>
      </c>
      <c r="H445" s="6">
        <f>[1]Results!K281</f>
        <v>163.76500569999999</v>
      </c>
      <c r="I445" s="6">
        <f>[1]Results!L281</f>
        <v>164.8856222</v>
      </c>
      <c r="J445" s="6">
        <f>[1]Results!M281</f>
        <v>166.12686410000001</v>
      </c>
      <c r="K445" s="6">
        <f>[1]Results!N281</f>
        <v>167.4622133</v>
      </c>
      <c r="L445" s="6">
        <f>[1]Results!O281</f>
        <v>168.85808259999999</v>
      </c>
      <c r="M445" s="6">
        <f>[1]Results!P281</f>
        <v>170.2666979</v>
      </c>
      <c r="N445" s="6">
        <f>[1]Results!Q281</f>
        <v>171.82242350000001</v>
      </c>
      <c r="O445" s="6">
        <f>[1]Results!R281</f>
        <v>173.4246181</v>
      </c>
      <c r="P445" s="6">
        <f>[1]Results!S281</f>
        <v>175.0576092</v>
      </c>
      <c r="Q445" s="6">
        <f>[1]Results!T281</f>
        <v>176.71689810000001</v>
      </c>
      <c r="R445" s="6">
        <f>[1]Results!U281</f>
        <v>178.3993227</v>
      </c>
      <c r="S445" s="6">
        <f>[1]Results!V281</f>
        <v>180.09394359999999</v>
      </c>
      <c r="T445" s="6">
        <f>[1]Results!W281</f>
        <v>181.80237159999999</v>
      </c>
      <c r="U445" s="6">
        <f>[1]Results!X281</f>
        <v>183.52390149999999</v>
      </c>
      <c r="V445" s="6">
        <f>[1]Results!Y281</f>
        <v>185.25775970000001</v>
      </c>
      <c r="W445" s="6">
        <f>[1]Results!Z281</f>
        <v>186.9065635</v>
      </c>
      <c r="X445" s="6">
        <f>[1]Results!AA281</f>
        <v>188.62205850000001</v>
      </c>
      <c r="Y445" s="6">
        <f>[1]Results!AB281</f>
        <v>190.3673234</v>
      </c>
      <c r="Z445" s="6">
        <f>[1]Results!AC281</f>
        <v>192.1351391</v>
      </c>
      <c r="AA445" s="6">
        <f>[1]Results!AD281</f>
        <v>193.92462370000001</v>
      </c>
      <c r="AB445" s="6">
        <f>[1]Results!AE281</f>
        <v>195.46068940000001</v>
      </c>
      <c r="AC445" s="6">
        <f>[1]Results!AF281</f>
        <v>197.04695330000001</v>
      </c>
      <c r="AD445" s="6">
        <f>[1]Results!AG281</f>
        <v>198.64692869999999</v>
      </c>
      <c r="AE445" s="6">
        <f>[1]Results!AH281</f>
        <v>200.25881190000001</v>
      </c>
      <c r="AF445" s="6">
        <f>[1]Results!AI281</f>
        <v>201.88694319999999</v>
      </c>
      <c r="AG445" s="6">
        <f>[1]Results!AJ281</f>
        <v>203.5361292</v>
      </c>
      <c r="AH445" s="6">
        <f>[1]Results!AK281</f>
        <v>205.21251330000001</v>
      </c>
      <c r="AI445" s="6">
        <f>[1]Results!AL281</f>
        <v>206.9181097</v>
      </c>
      <c r="AJ445" s="6">
        <f>[1]Results!AM281</f>
        <v>208.65468559999999</v>
      </c>
      <c r="AK445" s="6">
        <f>[1]Results!AN281</f>
        <v>210.4234031</v>
      </c>
      <c r="AL445" s="6">
        <f>[1]Results!AO281</f>
        <v>212.2249832</v>
      </c>
      <c r="AM445" s="6">
        <f>[1]Results!AP281</f>
        <v>214.01443660000001</v>
      </c>
      <c r="AN445" s="6">
        <f>[1]Results!AQ281</f>
        <v>215.81673090000001</v>
      </c>
      <c r="AO445" s="6">
        <f>[1]Results!AR281</f>
        <v>217.6391903</v>
      </c>
      <c r="AP445" s="6">
        <f>[1]Results!AS281</f>
        <v>219.4852234</v>
      </c>
      <c r="AQ445" s="6">
        <f>[1]Results!AT281</f>
        <v>221.35699450000001</v>
      </c>
      <c r="AR445" s="6">
        <f>[1]Results!AU281</f>
        <v>223.25918379999999</v>
      </c>
      <c r="AS445" s="6">
        <f>[1]Results!AV281</f>
        <v>225.1912653</v>
      </c>
      <c r="AT445" s="6">
        <f>[1]Results!AW281</f>
        <v>227.15351720000001</v>
      </c>
      <c r="AU445" s="6">
        <f>[1]Results!AX281</f>
        <v>229.1461659</v>
      </c>
      <c r="AV445" s="6">
        <f>[1]Results!AY281</f>
        <v>231.1692501</v>
      </c>
      <c r="AW445" s="6">
        <f>[1]Results!AZ281</f>
        <v>233.23925209999999</v>
      </c>
      <c r="AX445" s="6">
        <f>[1]Results!BA281</f>
        <v>235.34721949999999</v>
      </c>
      <c r="AY445" s="6">
        <f>[1]Results!BB281</f>
        <v>237.490409</v>
      </c>
      <c r="AZ445" s="6">
        <f>[1]Results!BC281</f>
        <v>239.66743930000001</v>
      </c>
      <c r="BA445" s="6">
        <f>[1]Results!BD281</f>
        <v>241.8773664</v>
      </c>
      <c r="BB445" s="6">
        <f>[1]Results!BE281</f>
        <v>283.96565909999998</v>
      </c>
      <c r="BC445" s="6">
        <f>[1]Results!BF281</f>
        <v>287.72227379999998</v>
      </c>
      <c r="BD445" s="6">
        <f>[1]Results!BG281</f>
        <v>291.5392842</v>
      </c>
      <c r="BE445" s="6">
        <f>[1]Results!BH281</f>
        <v>295.41791599999999</v>
      </c>
      <c r="BF445" s="6">
        <f>[1]Results!BI281</f>
        <v>299.35954529999998</v>
      </c>
    </row>
    <row r="446" spans="1:58" x14ac:dyDescent="0.35">
      <c r="A446" t="s">
        <v>39</v>
      </c>
      <c r="B446" s="6" t="str">
        <f>[1]Results!E282</f>
        <v>CF_toe_ccoa_2</v>
      </c>
      <c r="C446" s="6">
        <f>[1]Results!F282</f>
        <v>5.3484019959999998</v>
      </c>
      <c r="D446" s="6">
        <f>[1]Results!G282</f>
        <v>5.3732311599999996</v>
      </c>
      <c r="E446" s="6">
        <f>[1]Results!H282</f>
        <v>5.4219055259999998</v>
      </c>
      <c r="F446" s="6">
        <f>[1]Results!I282</f>
        <v>5.479567007</v>
      </c>
      <c r="G446" s="6">
        <f>[1]Results!J282</f>
        <v>5.5429352720000002</v>
      </c>
      <c r="H446" s="6">
        <f>[1]Results!K282</f>
        <v>5.61091798</v>
      </c>
      <c r="I446" s="6">
        <f>[1]Results!L282</f>
        <v>5.6791321750000003</v>
      </c>
      <c r="J446" s="6">
        <f>[1]Results!M282</f>
        <v>5.749428848</v>
      </c>
      <c r="K446" s="6">
        <f>[1]Results!N282</f>
        <v>5.8218743499999999</v>
      </c>
      <c r="L446" s="6">
        <f>[1]Results!O282</f>
        <v>5.896187082</v>
      </c>
      <c r="M446" s="6">
        <f>[1]Results!P282</f>
        <v>5.9667557770000004</v>
      </c>
      <c r="N446" s="6">
        <f>[1]Results!Q282</f>
        <v>6.0506744000000001</v>
      </c>
      <c r="O446" s="6">
        <f>[1]Results!R282</f>
        <v>6.1382692490000004</v>
      </c>
      <c r="P446" s="6">
        <f>[1]Results!S282</f>
        <v>6.2275650919999999</v>
      </c>
      <c r="Q446" s="6">
        <f>[1]Results!T282</f>
        <v>6.3180415129999998</v>
      </c>
      <c r="R446" s="6">
        <f>[1]Results!U282</f>
        <v>6.4095051239999998</v>
      </c>
      <c r="S446" s="6">
        <f>[1]Results!V282</f>
        <v>6.5013684600000001</v>
      </c>
      <c r="T446" s="6">
        <f>[1]Results!W282</f>
        <v>6.594004441</v>
      </c>
      <c r="U446" s="6">
        <f>[1]Results!X282</f>
        <v>6.687491241</v>
      </c>
      <c r="V446" s="6">
        <f>[1]Results!Y282</f>
        <v>6.7818755380000004</v>
      </c>
      <c r="W446" s="6">
        <f>[1]Results!Z282</f>
        <v>6.8727724590000001</v>
      </c>
      <c r="X446" s="6">
        <f>[1]Results!AA282</f>
        <v>6.9675564359999997</v>
      </c>
      <c r="Y446" s="6">
        <f>[1]Results!AB282</f>
        <v>7.0641606320000001</v>
      </c>
      <c r="Z446" s="6">
        <f>[1]Results!AC282</f>
        <v>7.1622329950000001</v>
      </c>
      <c r="AA446" s="6">
        <f>[1]Results!AD282</f>
        <v>7.2617634280000001</v>
      </c>
      <c r="AB446" s="6">
        <f>[1]Results!AE282</f>
        <v>7.3500771890000003</v>
      </c>
      <c r="AC446" s="6">
        <f>[1]Results!AF282</f>
        <v>7.4423220590000003</v>
      </c>
      <c r="AD446" s="6">
        <f>[1]Results!AG282</f>
        <v>7.5359995470000003</v>
      </c>
      <c r="AE446" s="6">
        <f>[1]Results!AH282</f>
        <v>7.6307945659999996</v>
      </c>
      <c r="AF446" s="6">
        <f>[1]Results!AI282</f>
        <v>7.7267949189999996</v>
      </c>
      <c r="AG446" s="6">
        <f>[1]Results!AJ282</f>
        <v>7.8241358959999996</v>
      </c>
      <c r="AH446" s="6">
        <f>[1]Results!AK282</f>
        <v>7.9230789670000004</v>
      </c>
      <c r="AI446" s="6">
        <f>[1]Results!AL282</f>
        <v>8.0235830480000008</v>
      </c>
      <c r="AJ446" s="6">
        <f>[1]Results!AM282</f>
        <v>8.1256705169999996</v>
      </c>
      <c r="AK446" s="6">
        <f>[1]Results!AN282</f>
        <v>8.2293513199999992</v>
      </c>
      <c r="AL446" s="6">
        <f>[1]Results!AO282</f>
        <v>8.3346154390000002</v>
      </c>
      <c r="AM446" s="6">
        <f>[1]Results!AP282</f>
        <v>8.4398194380000007</v>
      </c>
      <c r="AN446" s="6">
        <f>[1]Results!AQ282</f>
        <v>8.5457020890000006</v>
      </c>
      <c r="AO446" s="6">
        <f>[1]Results!AR282</f>
        <v>8.6525097530000004</v>
      </c>
      <c r="AP446" s="6">
        <f>[1]Results!AS282</f>
        <v>8.7603517990000004</v>
      </c>
      <c r="AQ446" s="6">
        <f>[1]Results!AT282</f>
        <v>8.8692899900000004</v>
      </c>
      <c r="AR446" s="6">
        <f>[1]Results!AU282</f>
        <v>8.9796041669999997</v>
      </c>
      <c r="AS446" s="6">
        <f>[1]Results!AV282</f>
        <v>9.0911297149999992</v>
      </c>
      <c r="AT446" s="6">
        <f>[1]Results!AW282</f>
        <v>9.2038477360000002</v>
      </c>
      <c r="AU446" s="6">
        <f>[1]Results!AX282</f>
        <v>9.3177558699999992</v>
      </c>
      <c r="AV446" s="6">
        <f>[1]Results!AY282</f>
        <v>9.4328475239999996</v>
      </c>
      <c r="AW446" s="6">
        <f>[1]Results!AZ282</f>
        <v>9.5502481659999994</v>
      </c>
      <c r="AX446" s="6">
        <f>[1]Results!BA282</f>
        <v>9.6691007510000002</v>
      </c>
      <c r="AY446" s="6">
        <f>[1]Results!BB282</f>
        <v>9.7892400960000003</v>
      </c>
      <c r="AZ446" s="6">
        <f>[1]Results!BC282</f>
        <v>9.9106235429999998</v>
      </c>
      <c r="BA446" s="6">
        <f>[1]Results!BD282</f>
        <v>10.0332299</v>
      </c>
      <c r="BB446" s="6">
        <f>[1]Results!BE282</f>
        <v>12.585566829999999</v>
      </c>
      <c r="BC446" s="6">
        <f>[1]Results!BF282</f>
        <v>12.805525859999999</v>
      </c>
      <c r="BD446" s="6">
        <f>[1]Results!BG282</f>
        <v>13.02890981</v>
      </c>
      <c r="BE446" s="6">
        <f>[1]Results!BH282</f>
        <v>13.25575914</v>
      </c>
      <c r="BF446" s="6">
        <f>[1]Results!BI282</f>
        <v>13.48611507</v>
      </c>
    </row>
    <row r="447" spans="1:58" x14ac:dyDescent="0.35">
      <c r="B447" s="6" t="s">
        <v>74</v>
      </c>
      <c r="C447" s="6">
        <f>C448+C449+C450</f>
        <v>61.799731702700001</v>
      </c>
      <c r="D447" s="6">
        <f t="shared" ref="D447:AL447" si="268">D448+D449+D450</f>
        <v>61.876510317899999</v>
      </c>
      <c r="E447" s="6">
        <f t="shared" si="268"/>
        <v>61.917446080700003</v>
      </c>
      <c r="F447" s="6">
        <f t="shared" si="268"/>
        <v>62.031863928199996</v>
      </c>
      <c r="G447" s="6">
        <f t="shared" si="268"/>
        <v>62.256316980400001</v>
      </c>
      <c r="H447" s="6">
        <f t="shared" si="268"/>
        <v>62.5893834703</v>
      </c>
      <c r="I447" s="6">
        <f t="shared" si="268"/>
        <v>62.9915380646</v>
      </c>
      <c r="J447" s="6">
        <f t="shared" si="268"/>
        <v>63.456284382100002</v>
      </c>
      <c r="K447" s="6">
        <f t="shared" si="268"/>
        <v>63.970346621700003</v>
      </c>
      <c r="L447" s="6">
        <f t="shared" si="268"/>
        <v>64.520476839200001</v>
      </c>
      <c r="M447" s="6">
        <f t="shared" si="268"/>
        <v>65.09046816</v>
      </c>
      <c r="N447" s="6">
        <f t="shared" si="268"/>
        <v>65.723871483799996</v>
      </c>
      <c r="O447" s="6">
        <f t="shared" si="268"/>
        <v>66.385816621099991</v>
      </c>
      <c r="P447" s="6">
        <f t="shared" si="268"/>
        <v>67.068248055599994</v>
      </c>
      <c r="Q447" s="6">
        <f t="shared" si="268"/>
        <v>67.767273403899992</v>
      </c>
      <c r="R447" s="6">
        <f t="shared" si="268"/>
        <v>68.480047896900004</v>
      </c>
      <c r="S447" s="6">
        <f t="shared" si="268"/>
        <v>69.202410737199997</v>
      </c>
      <c r="T447" s="6">
        <f t="shared" si="268"/>
        <v>69.933402847699995</v>
      </c>
      <c r="U447" s="6">
        <f t="shared" si="268"/>
        <v>70.671668312000008</v>
      </c>
      <c r="V447" s="6">
        <f t="shared" si="268"/>
        <v>71.416054734300005</v>
      </c>
      <c r="W447" s="6">
        <f t="shared" si="268"/>
        <v>72.136266378300007</v>
      </c>
      <c r="X447" s="6">
        <f t="shared" si="268"/>
        <v>72.875373612499999</v>
      </c>
      <c r="Y447" s="6">
        <f t="shared" si="268"/>
        <v>73.623593513000003</v>
      </c>
      <c r="Z447" s="6">
        <f t="shared" si="268"/>
        <v>74.378919952999993</v>
      </c>
      <c r="AA447" s="6">
        <f t="shared" si="268"/>
        <v>75.141012011699999</v>
      </c>
      <c r="AB447" s="6">
        <f t="shared" si="268"/>
        <v>75.825687237500006</v>
      </c>
      <c r="AC447" s="6">
        <f t="shared" si="268"/>
        <v>76.518561420899999</v>
      </c>
      <c r="AD447" s="6">
        <f t="shared" si="268"/>
        <v>77.210861889900002</v>
      </c>
      <c r="AE447" s="6">
        <f t="shared" si="268"/>
        <v>77.903113691400009</v>
      </c>
      <c r="AF447" s="6">
        <f t="shared" si="268"/>
        <v>78.597527017999994</v>
      </c>
      <c r="AG447" s="6">
        <f t="shared" si="268"/>
        <v>79.296321270899995</v>
      </c>
      <c r="AH447" s="6">
        <f t="shared" si="268"/>
        <v>80.001849293100008</v>
      </c>
      <c r="AI447" s="6">
        <f t="shared" si="268"/>
        <v>80.715300430499994</v>
      </c>
      <c r="AJ447" s="6">
        <f t="shared" si="268"/>
        <v>81.437691209999997</v>
      </c>
      <c r="AK447" s="6">
        <f t="shared" si="268"/>
        <v>82.169756697600008</v>
      </c>
      <c r="AL447" s="6">
        <f t="shared" si="268"/>
        <v>82.912051253399994</v>
      </c>
      <c r="AM447" s="6">
        <f t="shared" ref="AM447:BC447" si="269">AM448+AM449+AM450</f>
        <v>83.649618993399997</v>
      </c>
      <c r="AN447" s="6">
        <f t="shared" si="269"/>
        <v>84.389567118100004</v>
      </c>
      <c r="AO447" s="6">
        <f t="shared" si="269"/>
        <v>85.134588688099996</v>
      </c>
      <c r="AP447" s="6">
        <f t="shared" si="269"/>
        <v>85.886370248399999</v>
      </c>
      <c r="AQ447" s="6">
        <f t="shared" si="269"/>
        <v>86.646255925299997</v>
      </c>
      <c r="AR447" s="6">
        <f t="shared" si="269"/>
        <v>87.416123722900011</v>
      </c>
      <c r="AS447" s="6">
        <f t="shared" si="269"/>
        <v>88.196477542300016</v>
      </c>
      <c r="AT447" s="6">
        <f t="shared" si="269"/>
        <v>88.987952938000006</v>
      </c>
      <c r="AU447" s="6">
        <f t="shared" si="269"/>
        <v>89.791071880499999</v>
      </c>
      <c r="AV447" s="6">
        <f t="shared" si="269"/>
        <v>90.606223010000008</v>
      </c>
      <c r="AW447" s="6">
        <f t="shared" si="269"/>
        <v>91.438132225499984</v>
      </c>
      <c r="AX447" s="6">
        <f t="shared" si="269"/>
        <v>92.284740378500004</v>
      </c>
      <c r="AY447" s="6">
        <f t="shared" si="269"/>
        <v>93.145667161900008</v>
      </c>
      <c r="AZ447" s="6">
        <f t="shared" si="269"/>
        <v>94.020846481999996</v>
      </c>
      <c r="BA447" s="6">
        <f t="shared" si="269"/>
        <v>94.910286938199988</v>
      </c>
      <c r="BB447" s="6">
        <f t="shared" si="269"/>
        <v>109.0311715487</v>
      </c>
      <c r="BC447" s="6">
        <f t="shared" si="269"/>
        <v>110.4310746978</v>
      </c>
      <c r="BD447" s="6">
        <f t="shared" ref="BD447:BF447" si="270">BD448+BD449+BD450</f>
        <v>111.85228779740001</v>
      </c>
      <c r="BE447" s="6">
        <f t="shared" si="270"/>
        <v>113.2955042848</v>
      </c>
      <c r="BF447" s="6">
        <f t="shared" si="270"/>
        <v>114.76147677599999</v>
      </c>
    </row>
    <row r="448" spans="1:58" x14ac:dyDescent="0.35">
      <c r="B448" s="6" t="str">
        <f>[1]Results!E285</f>
        <v>CF_toe_ccoi_2</v>
      </c>
      <c r="C448" s="6">
        <f>[1]Results!F285</f>
        <v>8.3438132700000001E-2</v>
      </c>
      <c r="D448" s="6">
        <f>[1]Results!G285</f>
        <v>8.3808007899999995E-2</v>
      </c>
      <c r="E448" s="6">
        <f>[1]Results!H285</f>
        <v>8.4393620700000005E-2</v>
      </c>
      <c r="F448" s="6">
        <f>[1]Results!I285</f>
        <v>8.5112978199999995E-2</v>
      </c>
      <c r="G448" s="6">
        <f>[1]Results!J285</f>
        <v>8.5969880400000004E-2</v>
      </c>
      <c r="H448" s="6">
        <f>[1]Results!K285</f>
        <v>8.6964690299999994E-2</v>
      </c>
      <c r="I448" s="6">
        <f>[1]Results!L285</f>
        <v>8.8031324600000002E-2</v>
      </c>
      <c r="J448" s="6">
        <f>[1]Results!M285</f>
        <v>8.9184362099999998E-2</v>
      </c>
      <c r="K448" s="6">
        <f>[1]Results!N285</f>
        <v>9.04140217E-2</v>
      </c>
      <c r="L448" s="6">
        <f>[1]Results!O285</f>
        <v>9.1707309200000003E-2</v>
      </c>
      <c r="M448" s="6">
        <f>[1]Results!P285</f>
        <v>9.3010789999999996E-2</v>
      </c>
      <c r="N448" s="6">
        <f>[1]Results!Q285</f>
        <v>9.4481673799999999E-2</v>
      </c>
      <c r="O448" s="6">
        <f>[1]Results!R285</f>
        <v>9.6021701099999995E-2</v>
      </c>
      <c r="P448" s="6">
        <f>[1]Results!S285</f>
        <v>9.7609895599999996E-2</v>
      </c>
      <c r="Q448" s="6">
        <f>[1]Results!T285</f>
        <v>9.9236543900000002E-2</v>
      </c>
      <c r="R448" s="6">
        <f>[1]Results!U285</f>
        <v>0.1008940569</v>
      </c>
      <c r="S448" s="6">
        <f>[1]Results!V285</f>
        <v>0.1025741072</v>
      </c>
      <c r="T448" s="6">
        <f>[1]Results!W285</f>
        <v>0.1042726177</v>
      </c>
      <c r="U448" s="6">
        <f>[1]Results!X285</f>
        <v>0.105986002</v>
      </c>
      <c r="V448" s="6">
        <f>[1]Results!Y285</f>
        <v>0.10771172430000001</v>
      </c>
      <c r="W448" s="6">
        <f>[1]Results!Z285</f>
        <v>0.10937814830000001</v>
      </c>
      <c r="X448" s="6">
        <f>[1]Results!AA285</f>
        <v>0.11109277250000001</v>
      </c>
      <c r="Y448" s="6">
        <f>[1]Results!AB285</f>
        <v>0.112827673</v>
      </c>
      <c r="Z448" s="6">
        <f>[1]Results!AC285</f>
        <v>0.114578523</v>
      </c>
      <c r="AA448" s="6">
        <f>[1]Results!AD285</f>
        <v>0.1163452817</v>
      </c>
      <c r="AB448" s="6">
        <f>[1]Results!AE285</f>
        <v>0.1179261575</v>
      </c>
      <c r="AC448" s="6">
        <f>[1]Results!AF285</f>
        <v>0.1195385209</v>
      </c>
      <c r="AD448" s="6">
        <f>[1]Results!AG285</f>
        <v>0.1211532499</v>
      </c>
      <c r="AE448" s="6">
        <f>[1]Results!AH285</f>
        <v>0.1227703914</v>
      </c>
      <c r="AF448" s="6">
        <f>[1]Results!AI285</f>
        <v>0.12439462799999999</v>
      </c>
      <c r="AG448" s="6">
        <f>[1]Results!AJ285</f>
        <v>0.1260307309</v>
      </c>
      <c r="AH448" s="6">
        <f>[1]Results!AK285</f>
        <v>0.12768329310000001</v>
      </c>
      <c r="AI448" s="6">
        <f>[1]Results!AL285</f>
        <v>0.12935526050000001</v>
      </c>
      <c r="AJ448" s="6">
        <f>[1]Results!AM285</f>
        <v>0.13104906999999999</v>
      </c>
      <c r="AK448" s="6">
        <f>[1]Results!AN285</f>
        <v>0.13276654760000001</v>
      </c>
      <c r="AL448" s="6">
        <f>[1]Results!AO285</f>
        <v>0.13450896339999999</v>
      </c>
      <c r="AM448" s="6">
        <f>[1]Results!AP285</f>
        <v>0.13623385339999999</v>
      </c>
      <c r="AN448" s="6">
        <f>[1]Results!AQ285</f>
        <v>0.1379647581</v>
      </c>
      <c r="AO448" s="6">
        <f>[1]Results!AR285</f>
        <v>0.13970856810000001</v>
      </c>
      <c r="AP448" s="6">
        <f>[1]Results!AS285</f>
        <v>0.1414689184</v>
      </c>
      <c r="AQ448" s="6">
        <f>[1]Results!AT285</f>
        <v>0.14324829529999999</v>
      </c>
      <c r="AR448" s="6">
        <f>[1]Results!AU285</f>
        <v>0.1450493729</v>
      </c>
      <c r="AS448" s="6">
        <f>[1]Results!AV285</f>
        <v>0.1468729423</v>
      </c>
      <c r="AT448" s="6">
        <f>[1]Results!AW285</f>
        <v>0.148719778</v>
      </c>
      <c r="AU448" s="6">
        <f>[1]Results!AX285</f>
        <v>0.15059037049999999</v>
      </c>
      <c r="AV448" s="6">
        <f>[1]Results!AY285</f>
        <v>0.15248492</v>
      </c>
      <c r="AW448" s="6">
        <f>[1]Results!AZ285</f>
        <v>0.15441109550000001</v>
      </c>
      <c r="AX448" s="6">
        <f>[1]Results!BA285</f>
        <v>0.15636495850000001</v>
      </c>
      <c r="AY448" s="6">
        <f>[1]Results!BB285</f>
        <v>0.15834573190000001</v>
      </c>
      <c r="AZ448" s="6">
        <f>[1]Results!BC285</f>
        <v>0.16035308200000001</v>
      </c>
      <c r="BA448" s="6">
        <f>[1]Results!BD285</f>
        <v>0.16238657819999999</v>
      </c>
      <c r="BB448" s="6">
        <f>[1]Results!BE285</f>
        <v>0.19860557870000001</v>
      </c>
      <c r="BC448" s="6">
        <f>[1]Results!BF285</f>
        <v>0.20196968779999999</v>
      </c>
      <c r="BD448" s="6">
        <f>[1]Results!BG285</f>
        <v>0.20537931740000001</v>
      </c>
      <c r="BE448" s="6">
        <f>[1]Results!BH285</f>
        <v>0.2088358948</v>
      </c>
      <c r="BF448" s="6">
        <f>[1]Results!BI285</f>
        <v>0.21234085599999999</v>
      </c>
    </row>
    <row r="449" spans="1:58" x14ac:dyDescent="0.35">
      <c r="B449" s="6" t="str">
        <f>[1]Results!E288</f>
        <v>CF_toe_cfut_2</v>
      </c>
      <c r="C449" s="6">
        <f>[1]Results!F288</f>
        <v>46.994439370000002</v>
      </c>
      <c r="D449" s="6">
        <f>[1]Results!G288</f>
        <v>46.997762590000001</v>
      </c>
      <c r="E449" s="6">
        <f>[1]Results!H288</f>
        <v>46.996804830000002</v>
      </c>
      <c r="F449" s="6">
        <f>[1]Results!I288</f>
        <v>47.075599269999998</v>
      </c>
      <c r="G449" s="6">
        <f>[1]Results!J288</f>
        <v>47.256208659999999</v>
      </c>
      <c r="H449" s="6">
        <f>[1]Results!K288</f>
        <v>47.53168659</v>
      </c>
      <c r="I449" s="6">
        <f>[1]Results!L288</f>
        <v>47.869030729999999</v>
      </c>
      <c r="J449" s="6">
        <f>[1]Results!M288</f>
        <v>48.259926610000001</v>
      </c>
      <c r="K449" s="6">
        <f>[1]Results!N288</f>
        <v>48.692967430000003</v>
      </c>
      <c r="L449" s="6">
        <f>[1]Results!O288</f>
        <v>49.158504989999997</v>
      </c>
      <c r="M449" s="6">
        <f>[1]Results!P288</f>
        <v>49.640429330000003</v>
      </c>
      <c r="N449" s="6">
        <f>[1]Results!Q288</f>
        <v>50.176539050000002</v>
      </c>
      <c r="O449" s="6">
        <f>[1]Results!R288</f>
        <v>50.737386139999998</v>
      </c>
      <c r="P449" s="6">
        <f>[1]Results!S288</f>
        <v>51.315663659999998</v>
      </c>
      <c r="Q449" s="6">
        <f>[1]Results!T288</f>
        <v>51.907791150000001</v>
      </c>
      <c r="R449" s="6">
        <f>[1]Results!U288</f>
        <v>52.51110122</v>
      </c>
      <c r="S449" s="6">
        <f>[1]Results!V288</f>
        <v>53.12226536</v>
      </c>
      <c r="T449" s="6">
        <f>[1]Results!W288</f>
        <v>53.740098070000002</v>
      </c>
      <c r="U449" s="6">
        <f>[1]Results!X288</f>
        <v>54.363282640000001</v>
      </c>
      <c r="V449" s="6">
        <f>[1]Results!Y288</f>
        <v>54.990769460000003</v>
      </c>
      <c r="W449" s="6">
        <f>[1]Results!Z288</f>
        <v>55.600562840000002</v>
      </c>
      <c r="X449" s="6">
        <f>[1]Results!AA288</f>
        <v>56.223100510000002</v>
      </c>
      <c r="Y449" s="6">
        <f>[1]Results!AB288</f>
        <v>56.851529460000002</v>
      </c>
      <c r="Z449" s="6">
        <f>[1]Results!AC288</f>
        <v>57.484611319999999</v>
      </c>
      <c r="AA449" s="6">
        <f>[1]Results!AD288</f>
        <v>58.122207019999998</v>
      </c>
      <c r="AB449" s="6">
        <f>[1]Results!AE288</f>
        <v>58.703445479999999</v>
      </c>
      <c r="AC449" s="6">
        <f>[1]Results!AF288</f>
        <v>59.288776159999998</v>
      </c>
      <c r="AD449" s="6">
        <f>[1]Results!AG288</f>
        <v>59.871979400000001</v>
      </c>
      <c r="AE449" s="6">
        <f>[1]Results!AH288</f>
        <v>60.453825260000002</v>
      </c>
      <c r="AF449" s="6">
        <f>[1]Results!AI288</f>
        <v>61.036266300000001</v>
      </c>
      <c r="AG449" s="6">
        <f>[1]Results!AJ288</f>
        <v>61.621201540000001</v>
      </c>
      <c r="AH449" s="6">
        <f>[1]Results!AK288</f>
        <v>62.210548080000002</v>
      </c>
      <c r="AI449" s="6">
        <f>[1]Results!AL288</f>
        <v>62.805376529999997</v>
      </c>
      <c r="AJ449" s="6">
        <f>[1]Results!AM288</f>
        <v>63.406598580000001</v>
      </c>
      <c r="AK449" s="6">
        <f>[1]Results!AN288</f>
        <v>64.014900760000003</v>
      </c>
      <c r="AL449" s="6">
        <f>[1]Results!AO288</f>
        <v>64.630785299999999</v>
      </c>
      <c r="AM449" s="6">
        <f>[1]Results!AP288</f>
        <v>65.243267320000001</v>
      </c>
      <c r="AN449" s="6">
        <f>[1]Results!AQ288</f>
        <v>65.857422940000006</v>
      </c>
      <c r="AO449" s="6">
        <f>[1]Results!AR288</f>
        <v>66.475217079999993</v>
      </c>
      <c r="AP449" s="6">
        <f>[1]Results!AS288</f>
        <v>67.097939859999997</v>
      </c>
      <c r="AQ449" s="6">
        <f>[1]Results!AT288</f>
        <v>67.726675189999995</v>
      </c>
      <c r="AR449" s="6">
        <f>[1]Results!AU288</f>
        <v>68.362900289999999</v>
      </c>
      <c r="AS449" s="6">
        <f>[1]Results!AV288</f>
        <v>69.007136590000002</v>
      </c>
      <c r="AT449" s="6">
        <f>[1]Results!AW288</f>
        <v>69.659986959999998</v>
      </c>
      <c r="AU449" s="6">
        <f>[1]Results!AX288</f>
        <v>70.321944380000005</v>
      </c>
      <c r="AV449" s="6">
        <f>[1]Results!AY288</f>
        <v>70.993385090000004</v>
      </c>
      <c r="AW449" s="6">
        <f>[1]Results!AZ288</f>
        <v>71.677799519999994</v>
      </c>
      <c r="AX449" s="6">
        <f>[1]Results!BA288</f>
        <v>72.373832570000005</v>
      </c>
      <c r="AY449" s="6">
        <f>[1]Results!BB288</f>
        <v>73.081325320000005</v>
      </c>
      <c r="AZ449" s="6">
        <f>[1]Results!BC288</f>
        <v>73.800291799999997</v>
      </c>
      <c r="BA449" s="6">
        <f>[1]Results!BD288</f>
        <v>74.530776259999996</v>
      </c>
      <c r="BB449" s="6">
        <f>[1]Results!BE288</f>
        <v>85.552448339999998</v>
      </c>
      <c r="BC449" s="6">
        <f>[1]Results!BF288</f>
        <v>86.679266389999995</v>
      </c>
      <c r="BD449" s="6">
        <f>[1]Results!BG288</f>
        <v>87.82308707</v>
      </c>
      <c r="BE449" s="6">
        <f>[1]Results!BH288</f>
        <v>88.984520930000002</v>
      </c>
      <c r="BF449" s="6">
        <f>[1]Results!BI288</f>
        <v>90.16421339</v>
      </c>
    </row>
    <row r="450" spans="1:58" x14ac:dyDescent="0.35">
      <c r="B450" s="6" t="str">
        <f>[1]Results!E291</f>
        <v>CF_toe_cfuh_2</v>
      </c>
      <c r="C450" s="6">
        <f>[1]Results!F291</f>
        <v>14.721854199999999</v>
      </c>
      <c r="D450" s="6">
        <f>[1]Results!G291</f>
        <v>14.79493972</v>
      </c>
      <c r="E450" s="6">
        <f>[1]Results!H291</f>
        <v>14.836247630000001</v>
      </c>
      <c r="F450" s="6">
        <f>[1]Results!I291</f>
        <v>14.871151680000001</v>
      </c>
      <c r="G450" s="6">
        <f>[1]Results!J291</f>
        <v>14.91413844</v>
      </c>
      <c r="H450" s="6">
        <f>[1]Results!K291</f>
        <v>14.97073219</v>
      </c>
      <c r="I450" s="6">
        <f>[1]Results!L291</f>
        <v>15.034476010000001</v>
      </c>
      <c r="J450" s="6">
        <f>[1]Results!M291</f>
        <v>15.10717341</v>
      </c>
      <c r="K450" s="6">
        <f>[1]Results!N291</f>
        <v>15.186965170000001</v>
      </c>
      <c r="L450" s="6">
        <f>[1]Results!O291</f>
        <v>15.270264539999999</v>
      </c>
      <c r="M450" s="6">
        <f>[1]Results!P291</f>
        <v>15.357028039999999</v>
      </c>
      <c r="N450" s="6">
        <f>[1]Results!Q291</f>
        <v>15.45285076</v>
      </c>
      <c r="O450" s="6">
        <f>[1]Results!R291</f>
        <v>15.55240878</v>
      </c>
      <c r="P450" s="6">
        <f>[1]Results!S291</f>
        <v>15.6549745</v>
      </c>
      <c r="Q450" s="6">
        <f>[1]Results!T291</f>
        <v>15.76024571</v>
      </c>
      <c r="R450" s="6">
        <f>[1]Results!U291</f>
        <v>15.86805262</v>
      </c>
      <c r="S450" s="6">
        <f>[1]Results!V291</f>
        <v>15.97757127</v>
      </c>
      <c r="T450" s="6">
        <f>[1]Results!W291</f>
        <v>16.089032159999999</v>
      </c>
      <c r="U450" s="6">
        <f>[1]Results!X291</f>
        <v>16.202399669999998</v>
      </c>
      <c r="V450" s="6">
        <f>[1]Results!Y291</f>
        <v>16.317573549999999</v>
      </c>
      <c r="W450" s="6">
        <f>[1]Results!Z291</f>
        <v>16.426325389999999</v>
      </c>
      <c r="X450" s="6">
        <f>[1]Results!AA291</f>
        <v>16.54118033</v>
      </c>
      <c r="Y450" s="6">
        <f>[1]Results!AB291</f>
        <v>16.659236379999999</v>
      </c>
      <c r="Z450" s="6">
        <f>[1]Results!AC291</f>
        <v>16.779730109999999</v>
      </c>
      <c r="AA450" s="6">
        <f>[1]Results!AD291</f>
        <v>16.902459709999999</v>
      </c>
      <c r="AB450" s="6">
        <f>[1]Results!AE291</f>
        <v>17.004315600000002</v>
      </c>
      <c r="AC450" s="6">
        <f>[1]Results!AF291</f>
        <v>17.110246740000001</v>
      </c>
      <c r="AD450" s="6">
        <f>[1]Results!AG291</f>
        <v>17.217729240000001</v>
      </c>
      <c r="AE450" s="6">
        <f>[1]Results!AH291</f>
        <v>17.32651804</v>
      </c>
      <c r="AF450" s="6">
        <f>[1]Results!AI291</f>
        <v>17.436866089999999</v>
      </c>
      <c r="AG450" s="6">
        <f>[1]Results!AJ291</f>
        <v>17.549088999999999</v>
      </c>
      <c r="AH450" s="6">
        <f>[1]Results!AK291</f>
        <v>17.66361792</v>
      </c>
      <c r="AI450" s="6">
        <f>[1]Results!AL291</f>
        <v>17.780568639999998</v>
      </c>
      <c r="AJ450" s="6">
        <f>[1]Results!AM291</f>
        <v>17.90004356</v>
      </c>
      <c r="AK450" s="6">
        <f>[1]Results!AN291</f>
        <v>18.022089390000001</v>
      </c>
      <c r="AL450" s="6">
        <f>[1]Results!AO291</f>
        <v>18.14675699</v>
      </c>
      <c r="AM450" s="6">
        <f>[1]Results!AP291</f>
        <v>18.270117819999999</v>
      </c>
      <c r="AN450" s="6">
        <f>[1]Results!AQ291</f>
        <v>18.39417942</v>
      </c>
      <c r="AO450" s="6">
        <f>[1]Results!AR291</f>
        <v>18.519663040000001</v>
      </c>
      <c r="AP450" s="6">
        <f>[1]Results!AS291</f>
        <v>18.646961470000001</v>
      </c>
      <c r="AQ450" s="6">
        <f>[1]Results!AT291</f>
        <v>18.776332440000001</v>
      </c>
      <c r="AR450" s="6">
        <f>[1]Results!AU291</f>
        <v>18.90817406</v>
      </c>
      <c r="AS450" s="6">
        <f>[1]Results!AV291</f>
        <v>19.04246801</v>
      </c>
      <c r="AT450" s="6">
        <f>[1]Results!AW291</f>
        <v>19.179246200000001</v>
      </c>
      <c r="AU450" s="6">
        <f>[1]Results!AX291</f>
        <v>19.318537129999999</v>
      </c>
      <c r="AV450" s="6">
        <f>[1]Results!AY291</f>
        <v>19.460353000000001</v>
      </c>
      <c r="AW450" s="6">
        <f>[1]Results!AZ291</f>
        <v>19.605921609999999</v>
      </c>
      <c r="AX450" s="6">
        <f>[1]Results!BA291</f>
        <v>19.75454285</v>
      </c>
      <c r="AY450" s="6">
        <f>[1]Results!BB291</f>
        <v>19.90599611</v>
      </c>
      <c r="AZ450" s="6">
        <f>[1]Results!BC291</f>
        <v>20.060201599999999</v>
      </c>
      <c r="BA450" s="6">
        <f>[1]Results!BD291</f>
        <v>20.217124099999999</v>
      </c>
      <c r="BB450" s="6">
        <f>[1]Results!BE291</f>
        <v>23.280117629999999</v>
      </c>
      <c r="BC450" s="6">
        <f>[1]Results!BF291</f>
        <v>23.549838619999999</v>
      </c>
      <c r="BD450" s="6">
        <f>[1]Results!BG291</f>
        <v>23.823821410000001</v>
      </c>
      <c r="BE450" s="6">
        <f>[1]Results!BH291</f>
        <v>24.102147460000001</v>
      </c>
      <c r="BF450" s="6">
        <f>[1]Results!BI291</f>
        <v>24.384922530000001</v>
      </c>
    </row>
    <row r="451" spans="1:58" x14ac:dyDescent="0.35">
      <c r="B451" s="6" t="str">
        <f>[1]Results!E293</f>
        <v>CF_toe_cgas_2</v>
      </c>
      <c r="C451" s="6">
        <f>[1]Results!F293</f>
        <v>34.083661130000003</v>
      </c>
      <c r="D451" s="6">
        <f>[1]Results!G293</f>
        <v>34.276107160000002</v>
      </c>
      <c r="E451" s="6">
        <f>[1]Results!H293</f>
        <v>34.443135589999997</v>
      </c>
      <c r="F451" s="6">
        <f>[1]Results!I293</f>
        <v>34.609221429999998</v>
      </c>
      <c r="G451" s="6">
        <f>[1]Results!J293</f>
        <v>34.797788320000002</v>
      </c>
      <c r="H451" s="6">
        <f>[1]Results!K293</f>
        <v>35.019171190000002</v>
      </c>
      <c r="I451" s="6">
        <f>[1]Results!L293</f>
        <v>35.254548730000003</v>
      </c>
      <c r="J451" s="6">
        <f>[1]Results!M293</f>
        <v>35.511807949999998</v>
      </c>
      <c r="K451" s="6">
        <f>[1]Results!N293</f>
        <v>35.787871719999998</v>
      </c>
      <c r="L451" s="6">
        <f>[1]Results!O293</f>
        <v>36.074663829999999</v>
      </c>
      <c r="M451" s="6">
        <f>[1]Results!P293</f>
        <v>36.363578070000003</v>
      </c>
      <c r="N451" s="6">
        <f>[1]Results!Q293</f>
        <v>36.675707240000001</v>
      </c>
      <c r="O451" s="6">
        <f>[1]Results!R293</f>
        <v>36.993898690000002</v>
      </c>
      <c r="P451" s="6">
        <f>[1]Results!S293</f>
        <v>37.317546829999998</v>
      </c>
      <c r="Q451" s="6">
        <f>[1]Results!T293</f>
        <v>37.647444239999999</v>
      </c>
      <c r="R451" s="6">
        <f>[1]Results!U293</f>
        <v>37.98410131</v>
      </c>
      <c r="S451" s="6">
        <f>[1]Results!V293</f>
        <v>38.325870729999998</v>
      </c>
      <c r="T451" s="6">
        <f>[1]Results!W293</f>
        <v>38.673519499999998</v>
      </c>
      <c r="U451" s="6">
        <f>[1]Results!X293</f>
        <v>39.026856989999999</v>
      </c>
      <c r="V451" s="6">
        <f>[1]Results!Y293</f>
        <v>39.385474000000002</v>
      </c>
      <c r="W451" s="6">
        <f>[1]Results!Z293</f>
        <v>39.725268929999999</v>
      </c>
      <c r="X451" s="6">
        <f>[1]Results!AA293</f>
        <v>40.083490130000001</v>
      </c>
      <c r="Y451" s="6">
        <f>[1]Results!AB293</f>
        <v>40.450324649999999</v>
      </c>
      <c r="Z451" s="6">
        <f>[1]Results!AC293</f>
        <v>40.823593289999998</v>
      </c>
      <c r="AA451" s="6">
        <f>[1]Results!AD293</f>
        <v>41.202777410000003</v>
      </c>
      <c r="AB451" s="6">
        <f>[1]Results!AE293</f>
        <v>41.520392819999998</v>
      </c>
      <c r="AC451" s="6">
        <f>[1]Results!AF293</f>
        <v>41.851701009999999</v>
      </c>
      <c r="AD451" s="6">
        <f>[1]Results!AG293</f>
        <v>42.186884910000003</v>
      </c>
      <c r="AE451" s="6">
        <f>[1]Results!AH293</f>
        <v>42.525067530000001</v>
      </c>
      <c r="AF451" s="6">
        <f>[1]Results!AI293</f>
        <v>42.866965329999999</v>
      </c>
      <c r="AG451" s="6">
        <f>[1]Results!AJ293</f>
        <v>43.213496390000003</v>
      </c>
      <c r="AH451" s="6">
        <f>[1]Results!AK293</f>
        <v>43.565899989999998</v>
      </c>
      <c r="AI451" s="6">
        <f>[1]Results!AL293</f>
        <v>43.924576559999998</v>
      </c>
      <c r="AJ451" s="6">
        <f>[1]Results!AM293</f>
        <v>44.289899630000001</v>
      </c>
      <c r="AK451" s="6">
        <f>[1]Results!AN293</f>
        <v>44.66215957</v>
      </c>
      <c r="AL451" s="6">
        <f>[1]Results!AO293</f>
        <v>45.041614279999997</v>
      </c>
      <c r="AM451" s="6">
        <f>[1]Results!AP293</f>
        <v>45.416452120000002</v>
      </c>
      <c r="AN451" s="6">
        <f>[1]Results!AQ293</f>
        <v>45.79316901</v>
      </c>
      <c r="AO451" s="6">
        <f>[1]Results!AR293</f>
        <v>46.173863439999998</v>
      </c>
      <c r="AP451" s="6">
        <f>[1]Results!AS293</f>
        <v>46.559653079999997</v>
      </c>
      <c r="AQ451" s="6">
        <f>[1]Results!AT293</f>
        <v>46.95125401</v>
      </c>
      <c r="AR451" s="6">
        <f>[1]Results!AU293</f>
        <v>47.349735780000003</v>
      </c>
      <c r="AS451" s="6">
        <f>[1]Results!AV293</f>
        <v>47.754993890000001</v>
      </c>
      <c r="AT451" s="6">
        <f>[1]Results!AW293</f>
        <v>48.167130579999998</v>
      </c>
      <c r="AU451" s="6">
        <f>[1]Results!AX293</f>
        <v>48.58623961</v>
      </c>
      <c r="AV451" s="6">
        <f>[1]Results!AY293</f>
        <v>49.01236505</v>
      </c>
      <c r="AW451" s="6">
        <f>[1]Results!AZ293</f>
        <v>49.44895846</v>
      </c>
      <c r="AX451" s="6">
        <f>[1]Results!BA293</f>
        <v>49.893842429999999</v>
      </c>
      <c r="AY451" s="6">
        <f>[1]Results!BB293</f>
        <v>50.346514149999997</v>
      </c>
      <c r="AZ451" s="6">
        <f>[1]Results!BC293</f>
        <v>50.806836760000003</v>
      </c>
      <c r="BA451" s="6">
        <f>[1]Results!BD293</f>
        <v>51.274742320000001</v>
      </c>
      <c r="BB451" s="6">
        <f>[1]Results!BE293</f>
        <v>60.448364050000002</v>
      </c>
      <c r="BC451" s="6">
        <f>[1]Results!BF293</f>
        <v>61.25071707</v>
      </c>
      <c r="BD451" s="6">
        <f>[1]Results!BG293</f>
        <v>62.065198590000001</v>
      </c>
      <c r="BE451" s="6">
        <f>[1]Results!BH293</f>
        <v>62.89208069</v>
      </c>
      <c r="BF451" s="6">
        <f>[1]Results!BI293</f>
        <v>63.731686179999997</v>
      </c>
    </row>
    <row r="452" spans="1:58" x14ac:dyDescent="0.35">
      <c r="B452" s="6" t="str">
        <f>[1]Results!E299</f>
        <v>CF_toe_cele_2</v>
      </c>
      <c r="C452" s="6">
        <f>[1]Results!F299</f>
        <v>37.561478299999997</v>
      </c>
      <c r="D452" s="6">
        <f>[1]Results!G299</f>
        <v>37.64856193</v>
      </c>
      <c r="E452" s="6">
        <f>[1]Results!H299</f>
        <v>37.732912910000003</v>
      </c>
      <c r="F452" s="6">
        <f>[1]Results!I299</f>
        <v>37.852355119999999</v>
      </c>
      <c r="G452" s="6">
        <f>[1]Results!J299</f>
        <v>38.026653000000003</v>
      </c>
      <c r="H452" s="6">
        <f>[1]Results!K299</f>
        <v>38.256875690000001</v>
      </c>
      <c r="I452" s="6">
        <f>[1]Results!L299</f>
        <v>38.515540190000003</v>
      </c>
      <c r="J452" s="6">
        <f>[1]Results!M299</f>
        <v>38.801012399999998</v>
      </c>
      <c r="K452" s="6">
        <f>[1]Results!N299</f>
        <v>39.104605980000002</v>
      </c>
      <c r="L452" s="6">
        <f>[1]Results!O299</f>
        <v>39.416877829999997</v>
      </c>
      <c r="M452" s="6">
        <f>[1]Results!P299</f>
        <v>39.728473430000001</v>
      </c>
      <c r="N452" s="6">
        <f>[1]Results!Q299</f>
        <v>40.068510349999997</v>
      </c>
      <c r="O452" s="6">
        <f>[1]Results!R299</f>
        <v>40.41536979</v>
      </c>
      <c r="P452" s="6">
        <f>[1]Results!S299</f>
        <v>40.765116089999999</v>
      </c>
      <c r="Q452" s="6">
        <f>[1]Results!T299</f>
        <v>41.116400949999999</v>
      </c>
      <c r="R452" s="6">
        <f>[1]Results!U299</f>
        <v>41.468285989999998</v>
      </c>
      <c r="S452" s="6">
        <f>[1]Results!V299</f>
        <v>41.818234199999999</v>
      </c>
      <c r="T452" s="6">
        <f>[1]Results!W299</f>
        <v>42.166301779999998</v>
      </c>
      <c r="U452" s="6">
        <f>[1]Results!X299</f>
        <v>42.512770969999998</v>
      </c>
      <c r="V452" s="6">
        <f>[1]Results!Y299</f>
        <v>42.858087930000003</v>
      </c>
      <c r="W452" s="6">
        <f>[1]Results!Z299</f>
        <v>43.179995480000002</v>
      </c>
      <c r="X452" s="6">
        <f>[1]Results!AA299</f>
        <v>43.514917570000001</v>
      </c>
      <c r="Y452" s="6">
        <f>[1]Results!AB299</f>
        <v>43.85497925</v>
      </c>
      <c r="Z452" s="6">
        <f>[1]Results!AC299</f>
        <v>44.199055029999997</v>
      </c>
      <c r="AA452" s="6">
        <f>[1]Results!AD299</f>
        <v>44.547432409999999</v>
      </c>
      <c r="AB452" s="6">
        <f>[1]Results!AE299</f>
        <v>44.835863809999999</v>
      </c>
      <c r="AC452" s="6">
        <f>[1]Results!AF299</f>
        <v>45.136124930000001</v>
      </c>
      <c r="AD452" s="6">
        <f>[1]Results!AG299</f>
        <v>45.44079327</v>
      </c>
      <c r="AE452" s="6">
        <f>[1]Results!AH299</f>
        <v>45.749878270000004</v>
      </c>
      <c r="AF452" s="6">
        <f>[1]Results!AI299</f>
        <v>46.064649340000003</v>
      </c>
      <c r="AG452" s="6">
        <f>[1]Results!AJ299</f>
        <v>46.386378049999998</v>
      </c>
      <c r="AH452" s="6">
        <f>[1]Results!AK299</f>
        <v>46.716532379999997</v>
      </c>
      <c r="AI452" s="6">
        <f>[1]Results!AL299</f>
        <v>47.05575151</v>
      </c>
      <c r="AJ452" s="6">
        <f>[1]Results!AM299</f>
        <v>47.404394250000003</v>
      </c>
      <c r="AK452" s="6">
        <f>[1]Results!AN299</f>
        <v>47.762605200000003</v>
      </c>
      <c r="AL452" s="6">
        <f>[1]Results!AO299</f>
        <v>48.130355610000002</v>
      </c>
      <c r="AM452" s="6">
        <f>[1]Results!AP299</f>
        <v>48.49648646</v>
      </c>
      <c r="AN452" s="6">
        <f>[1]Results!AQ299</f>
        <v>48.868264050000001</v>
      </c>
      <c r="AO452" s="6">
        <f>[1]Results!AR299</f>
        <v>49.247153109999999</v>
      </c>
      <c r="AP452" s="6">
        <f>[1]Results!AS299</f>
        <v>49.633433590000003</v>
      </c>
      <c r="AQ452" s="6">
        <f>[1]Results!AT299</f>
        <v>50.027083570000002</v>
      </c>
      <c r="AR452" s="6">
        <f>[1]Results!AU299</f>
        <v>50.428656330000003</v>
      </c>
      <c r="AS452" s="6">
        <f>[1]Results!AV299</f>
        <v>50.837914140000002</v>
      </c>
      <c r="AT452" s="6">
        <f>[1]Results!AW299</f>
        <v>51.254564260000002</v>
      </c>
      <c r="AU452" s="6">
        <f>[1]Results!AX299</f>
        <v>51.678299129999999</v>
      </c>
      <c r="AV452" s="6">
        <f>[1]Results!AY299</f>
        <v>52.108793890000001</v>
      </c>
      <c r="AW452" s="6">
        <f>[1]Results!AZ299</f>
        <v>52.549328199999998</v>
      </c>
      <c r="AX452" s="6">
        <f>[1]Results!BA299</f>
        <v>52.9985632</v>
      </c>
      <c r="AY452" s="6">
        <f>[1]Results!BB299</f>
        <v>53.455534159999999</v>
      </c>
      <c r="AZ452" s="6">
        <f>[1]Results!BC299</f>
        <v>53.919440680000001</v>
      </c>
      <c r="BA452" s="6">
        <f>[1]Results!BD299</f>
        <v>54.389593820000002</v>
      </c>
      <c r="BB452" s="6">
        <f>[1]Results!BE299</f>
        <v>64.359417219999997</v>
      </c>
      <c r="BC452" s="6">
        <f>[1]Results!BF299</f>
        <v>65.209907079999994</v>
      </c>
      <c r="BD452" s="6">
        <f>[1]Results!BG299</f>
        <v>66.075298020000005</v>
      </c>
      <c r="BE452" s="6">
        <f>[1]Results!BH299</f>
        <v>66.955731420000006</v>
      </c>
      <c r="BF452" s="6">
        <f>[1]Results!BI299</f>
        <v>67.851352849999998</v>
      </c>
    </row>
    <row r="453" spans="1:58" x14ac:dyDescent="0.35">
      <c r="B453" s="6" t="s">
        <v>75</v>
      </c>
      <c r="C453" s="6">
        <f>SUM(C454:C456)</f>
        <v>21.760756278999999</v>
      </c>
      <c r="D453" s="6">
        <f t="shared" ref="D453:AL453" si="271">SUM(D454:D456)</f>
        <v>21.807993315000001</v>
      </c>
      <c r="E453" s="6">
        <f t="shared" si="271"/>
        <v>21.891595835</v>
      </c>
      <c r="F453" s="6">
        <f t="shared" si="271"/>
        <v>22.001209438</v>
      </c>
      <c r="G453" s="6">
        <f t="shared" si="271"/>
        <v>22.134574606999998</v>
      </c>
      <c r="H453" s="6">
        <f t="shared" si="271"/>
        <v>22.288657365999995</v>
      </c>
      <c r="I453" s="6">
        <f t="shared" si="271"/>
        <v>22.444863068</v>
      </c>
      <c r="J453" s="6">
        <f t="shared" si="271"/>
        <v>22.608330477999999</v>
      </c>
      <c r="K453" s="6">
        <f t="shared" si="271"/>
        <v>22.777514635000003</v>
      </c>
      <c r="L453" s="6">
        <f t="shared" si="271"/>
        <v>22.949876969999998</v>
      </c>
      <c r="M453" s="6">
        <f t="shared" si="271"/>
        <v>23.117422501</v>
      </c>
      <c r="N453" s="6">
        <f t="shared" si="271"/>
        <v>23.303660018000002</v>
      </c>
      <c r="O453" s="6">
        <f t="shared" si="271"/>
        <v>23.491263705999998</v>
      </c>
      <c r="P453" s="6">
        <f t="shared" si="271"/>
        <v>23.679133131</v>
      </c>
      <c r="Q453" s="6">
        <f t="shared" si="271"/>
        <v>23.867738023000001</v>
      </c>
      <c r="R453" s="6">
        <f t="shared" si="271"/>
        <v>24.057382412000003</v>
      </c>
      <c r="S453" s="6">
        <f t="shared" si="271"/>
        <v>24.246059486</v>
      </c>
      <c r="T453" s="6">
        <f t="shared" si="271"/>
        <v>24.435143067999999</v>
      </c>
      <c r="U453" s="6">
        <f t="shared" si="271"/>
        <v>24.625113954</v>
      </c>
      <c r="V453" s="6">
        <f t="shared" si="271"/>
        <v>24.816267461000002</v>
      </c>
      <c r="W453" s="6">
        <f t="shared" si="271"/>
        <v>24.992260248999997</v>
      </c>
      <c r="X453" s="6">
        <f t="shared" si="271"/>
        <v>25.180720710999999</v>
      </c>
      <c r="Y453" s="6">
        <f t="shared" si="271"/>
        <v>25.374265335</v>
      </c>
      <c r="Z453" s="6">
        <f t="shared" si="271"/>
        <v>25.571337843999999</v>
      </c>
      <c r="AA453" s="6">
        <f t="shared" si="271"/>
        <v>25.771638469000003</v>
      </c>
      <c r="AB453" s="6">
        <f t="shared" si="271"/>
        <v>25.928668372000001</v>
      </c>
      <c r="AC453" s="6">
        <f t="shared" si="271"/>
        <v>26.098243844999999</v>
      </c>
      <c r="AD453" s="6">
        <f t="shared" si="271"/>
        <v>26.272389087000001</v>
      </c>
      <c r="AE453" s="6">
        <f t="shared" si="271"/>
        <v>26.449957893000001</v>
      </c>
      <c r="AF453" s="6">
        <f t="shared" si="271"/>
        <v>26.631006579000001</v>
      </c>
      <c r="AG453" s="6">
        <f t="shared" si="271"/>
        <v>26.815797562</v>
      </c>
      <c r="AH453" s="6">
        <f t="shared" si="271"/>
        <v>27.005152665000001</v>
      </c>
      <c r="AI453" s="6">
        <f t="shared" si="271"/>
        <v>27.198898184000001</v>
      </c>
      <c r="AJ453" s="6">
        <f t="shared" si="271"/>
        <v>27.397030033</v>
      </c>
      <c r="AK453" s="6">
        <f t="shared" si="271"/>
        <v>27.599530301999998</v>
      </c>
      <c r="AL453" s="6">
        <f t="shared" si="271"/>
        <v>27.806346593000001</v>
      </c>
      <c r="AM453" s="6">
        <f t="shared" ref="AM453:BC453" si="272">SUM(AM454:AM456)</f>
        <v>28.012059638</v>
      </c>
      <c r="AN453" s="6">
        <f t="shared" si="272"/>
        <v>28.220028679000002</v>
      </c>
      <c r="AO453" s="6">
        <f t="shared" si="272"/>
        <v>28.431075317000001</v>
      </c>
      <c r="AP453" s="6">
        <f t="shared" si="272"/>
        <v>28.645414696</v>
      </c>
      <c r="AQ453" s="6">
        <f t="shared" si="272"/>
        <v>28.863111015000001</v>
      </c>
      <c r="AR453" s="6">
        <f t="shared" si="272"/>
        <v>29.08506379</v>
      </c>
      <c r="AS453" s="6">
        <f t="shared" si="272"/>
        <v>29.310750051999999</v>
      </c>
      <c r="AT453" s="6">
        <f t="shared" si="272"/>
        <v>29.540021672999998</v>
      </c>
      <c r="AU453" s="6">
        <f t="shared" si="272"/>
        <v>29.772799423999999</v>
      </c>
      <c r="AV453" s="6">
        <f t="shared" si="272"/>
        <v>30.009020617000001</v>
      </c>
      <c r="AW453" s="6">
        <f t="shared" si="272"/>
        <v>30.252585013999997</v>
      </c>
      <c r="AX453" s="6">
        <f t="shared" si="272"/>
        <v>30.500972781000002</v>
      </c>
      <c r="AY453" s="6">
        <f t="shared" si="272"/>
        <v>30.753453482000001</v>
      </c>
      <c r="AZ453" s="6">
        <f t="shared" si="272"/>
        <v>31.009691848999999</v>
      </c>
      <c r="BA453" s="6">
        <f t="shared" si="272"/>
        <v>31.269513425</v>
      </c>
      <c r="BB453" s="6">
        <f t="shared" si="272"/>
        <v>37.541139481999998</v>
      </c>
      <c r="BC453" s="6">
        <f t="shared" si="272"/>
        <v>38.025049056999997</v>
      </c>
      <c r="BD453" s="6">
        <f t="shared" ref="BD453:BF453" si="273">SUM(BD454:BD456)</f>
        <v>38.517590014</v>
      </c>
      <c r="BE453" s="6">
        <f t="shared" si="273"/>
        <v>39.018840425</v>
      </c>
      <c r="BF453" s="6">
        <f t="shared" si="273"/>
        <v>39.528914427000004</v>
      </c>
    </row>
    <row r="454" spans="1:58" x14ac:dyDescent="0.35">
      <c r="B454" s="6" t="str">
        <f>[1]Results!E309</f>
        <v>CF_toe_chea_2</v>
      </c>
      <c r="C454" s="6">
        <f>[1]Results!F309</f>
        <v>5.099896856</v>
      </c>
      <c r="D454" s="6">
        <f>[1]Results!G309</f>
        <v>5.1393653820000003</v>
      </c>
      <c r="E454" s="6">
        <f>[1]Results!H309</f>
        <v>5.1844584029999998</v>
      </c>
      <c r="F454" s="6">
        <f>[1]Results!I309</f>
        <v>5.2326208400000001</v>
      </c>
      <c r="G454" s="6">
        <f>[1]Results!J309</f>
        <v>5.2838593249999999</v>
      </c>
      <c r="H454" s="6">
        <f>[1]Results!K309</f>
        <v>5.3381993559999996</v>
      </c>
      <c r="I454" s="6">
        <f>[1]Results!L309</f>
        <v>5.3906578940000003</v>
      </c>
      <c r="J454" s="6">
        <f>[1]Results!M309</f>
        <v>5.4440195129999998</v>
      </c>
      <c r="K454" s="6">
        <f>[1]Results!N309</f>
        <v>5.4993347359999998</v>
      </c>
      <c r="L454" s="6">
        <f>[1]Results!O309</f>
        <v>5.5569514599999996</v>
      </c>
      <c r="M454" s="6">
        <f>[1]Results!P309</f>
        <v>5.6152018760000004</v>
      </c>
      <c r="N454" s="6">
        <f>[1]Results!Q309</f>
        <v>5.6692657439999996</v>
      </c>
      <c r="O454" s="6">
        <f>[1]Results!R309</f>
        <v>5.7200383419999996</v>
      </c>
      <c r="P454" s="6">
        <f>[1]Results!S309</f>
        <v>5.7691359540000002</v>
      </c>
      <c r="Q454" s="6">
        <f>[1]Results!T309</f>
        <v>5.8176002440000003</v>
      </c>
      <c r="R454" s="6">
        <f>[1]Results!U309</f>
        <v>5.8659668119999999</v>
      </c>
      <c r="S454" s="6">
        <f>[1]Results!V309</f>
        <v>5.9140515130000004</v>
      </c>
      <c r="T454" s="6">
        <f>[1]Results!W309</f>
        <v>5.9621523349999999</v>
      </c>
      <c r="U454" s="6">
        <f>[1]Results!X309</f>
        <v>6.0103835429999997</v>
      </c>
      <c r="V454" s="6">
        <f>[1]Results!Y309</f>
        <v>6.0587893709999996</v>
      </c>
      <c r="W454" s="6">
        <f>[1]Results!Z309</f>
        <v>6.1020300430000001</v>
      </c>
      <c r="X454" s="6">
        <f>[1]Results!AA309</f>
        <v>6.1487391929999999</v>
      </c>
      <c r="Y454" s="6">
        <f>[1]Results!AB309</f>
        <v>6.1969068829999996</v>
      </c>
      <c r="Z454" s="6">
        <f>[1]Results!AC309</f>
        <v>6.2458603290000001</v>
      </c>
      <c r="AA454" s="6">
        <f>[1]Results!AD309</f>
        <v>6.2953582360000002</v>
      </c>
      <c r="AB454" s="6">
        <f>[1]Results!AE309</f>
        <v>6.3305487149999999</v>
      </c>
      <c r="AC454" s="6">
        <f>[1]Results!AF309</f>
        <v>6.3683900339999999</v>
      </c>
      <c r="AD454" s="6">
        <f>[1]Results!AG309</f>
        <v>6.4073423390000004</v>
      </c>
      <c r="AE454" s="6">
        <f>[1]Results!AH309</f>
        <v>6.4470089030000004</v>
      </c>
      <c r="AF454" s="6">
        <f>[1]Results!AI309</f>
        <v>6.487288189</v>
      </c>
      <c r="AG454" s="6">
        <f>[1]Results!AJ309</f>
        <v>6.5281710540000004</v>
      </c>
      <c r="AH454" s="6">
        <f>[1]Results!AK309</f>
        <v>6.5697875139999997</v>
      </c>
      <c r="AI454" s="6">
        <f>[1]Results!AL309</f>
        <v>6.6121071699999998</v>
      </c>
      <c r="AJ454" s="6">
        <f>[1]Results!AM309</f>
        <v>6.6551252669999998</v>
      </c>
      <c r="AK454" s="6">
        <f>[1]Results!AN309</f>
        <v>6.698841174</v>
      </c>
      <c r="AL454" s="6">
        <f>[1]Results!AO309</f>
        <v>6.7432518220000004</v>
      </c>
      <c r="AM454" s="6">
        <f>[1]Results!AP309</f>
        <v>6.7861190960000002</v>
      </c>
      <c r="AN454" s="6">
        <f>[1]Results!AQ309</f>
        <v>6.828867325</v>
      </c>
      <c r="AO454" s="6">
        <f>[1]Results!AR309</f>
        <v>6.8719713609999999</v>
      </c>
      <c r="AP454" s="6">
        <f>[1]Results!AS309</f>
        <v>6.9156028230000004</v>
      </c>
      <c r="AQ454" s="6">
        <f>[1]Results!AT309</f>
        <v>6.9598214360000004</v>
      </c>
      <c r="AR454" s="6">
        <f>[1]Results!AU309</f>
        <v>7.004808444</v>
      </c>
      <c r="AS454" s="6">
        <f>[1]Results!AV309</f>
        <v>7.0504867369999999</v>
      </c>
      <c r="AT454" s="6">
        <f>[1]Results!AW309</f>
        <v>7.0968209409999998</v>
      </c>
      <c r="AU454" s="6">
        <f>[1]Results!AX309</f>
        <v>7.1437915839999997</v>
      </c>
      <c r="AV454" s="6">
        <f>[1]Results!AY309</f>
        <v>7.1913862860000002</v>
      </c>
      <c r="AW454" s="6">
        <f>[1]Results!AZ309</f>
        <v>7.2404257459999997</v>
      </c>
      <c r="AX454" s="6">
        <f>[1]Results!BA309</f>
        <v>7.2904683400000003</v>
      </c>
      <c r="AY454" s="6">
        <f>[1]Results!BB309</f>
        <v>7.341337029</v>
      </c>
      <c r="AZ454" s="6">
        <f>[1]Results!BC309</f>
        <v>7.3929519350000001</v>
      </c>
      <c r="BA454" s="6">
        <f>[1]Results!BD309</f>
        <v>7.4452831049999997</v>
      </c>
      <c r="BB454" s="6">
        <f>[1]Results!BE309</f>
        <v>8.5768502299999998</v>
      </c>
      <c r="BC454" s="6">
        <f>[1]Results!BF309</f>
        <v>8.666396185</v>
      </c>
      <c r="BD454" s="6">
        <f>[1]Results!BG309</f>
        <v>8.7572674819999996</v>
      </c>
      <c r="BE454" s="6">
        <f>[1]Results!BH309</f>
        <v>8.8494687390000006</v>
      </c>
      <c r="BF454" s="6">
        <f>[1]Results!BI309</f>
        <v>8.9430200129999999</v>
      </c>
    </row>
    <row r="455" spans="1:58" x14ac:dyDescent="0.35">
      <c r="B455" s="6" t="str">
        <f>[1]Results!E311</f>
        <v>CF_toe_cbio_2</v>
      </c>
      <c r="C455" s="6">
        <f>[1]Results!F311</f>
        <v>8.171317105</v>
      </c>
      <c r="D455" s="6">
        <f>[1]Results!G311</f>
        <v>8.1376730120000005</v>
      </c>
      <c r="E455" s="6">
        <f>[1]Results!H311</f>
        <v>8.0961708080000001</v>
      </c>
      <c r="F455" s="6">
        <f>[1]Results!I311</f>
        <v>8.0622256819999993</v>
      </c>
      <c r="G455" s="6">
        <f>[1]Results!J311</f>
        <v>8.0382126520000003</v>
      </c>
      <c r="H455" s="6">
        <f>[1]Results!K311</f>
        <v>8.0232317949999992</v>
      </c>
      <c r="I455" s="6">
        <f>[1]Results!L311</f>
        <v>8.0119669160000004</v>
      </c>
      <c r="J455" s="6">
        <f>[1]Results!M311</f>
        <v>8.0036924010000003</v>
      </c>
      <c r="K455" s="6">
        <f>[1]Results!N311</f>
        <v>7.9961959480000004</v>
      </c>
      <c r="L455" s="6">
        <f>[1]Results!O311</f>
        <v>7.9873387579999999</v>
      </c>
      <c r="M455" s="6">
        <f>[1]Results!P311</f>
        <v>7.980692801</v>
      </c>
      <c r="N455" s="6">
        <f>[1]Results!Q311</f>
        <v>7.974646473</v>
      </c>
      <c r="O455" s="6">
        <f>[1]Results!R311</f>
        <v>7.9688870620000003</v>
      </c>
      <c r="P455" s="6">
        <f>[1]Results!S311</f>
        <v>7.9636505319999999</v>
      </c>
      <c r="Q455" s="6">
        <f>[1]Results!T311</f>
        <v>7.9590252289999999</v>
      </c>
      <c r="R455" s="6">
        <f>[1]Results!U311</f>
        <v>7.9549975799999997</v>
      </c>
      <c r="S455" s="6">
        <f>[1]Results!V311</f>
        <v>7.9507551430000003</v>
      </c>
      <c r="T455" s="6">
        <f>[1]Results!W311</f>
        <v>7.9466231030000003</v>
      </c>
      <c r="U455" s="6">
        <f>[1]Results!X311</f>
        <v>7.9427791809999997</v>
      </c>
      <c r="V455" s="6">
        <f>[1]Results!Y311</f>
        <v>7.9393206300000001</v>
      </c>
      <c r="W455" s="6">
        <f>[1]Results!Z311</f>
        <v>7.9328374359999998</v>
      </c>
      <c r="X455" s="6">
        <f>[1]Results!AA311</f>
        <v>7.9288417080000002</v>
      </c>
      <c r="Y455" s="6">
        <f>[1]Results!AB311</f>
        <v>7.9261454919999998</v>
      </c>
      <c r="Z455" s="6">
        <f>[1]Results!AC311</f>
        <v>7.9243519349999998</v>
      </c>
      <c r="AA455" s="6">
        <f>[1]Results!AD311</f>
        <v>7.9233255329999999</v>
      </c>
      <c r="AB455" s="6">
        <f>[1]Results!AE311</f>
        <v>7.9134769870000001</v>
      </c>
      <c r="AC455" s="6">
        <f>[1]Results!AF311</f>
        <v>7.9056971809999999</v>
      </c>
      <c r="AD455" s="6">
        <f>[1]Results!AG311</f>
        <v>7.8990295279999998</v>
      </c>
      <c r="AE455" s="6">
        <f>[1]Results!AH311</f>
        <v>7.8932164</v>
      </c>
      <c r="AF455" s="6">
        <f>[1]Results!AI311</f>
        <v>7.8882052299999996</v>
      </c>
      <c r="AG455" s="6">
        <f>[1]Results!AJ311</f>
        <v>7.8840104579999997</v>
      </c>
      <c r="AH455" s="6">
        <f>[1]Results!AK311</f>
        <v>7.8808471410000003</v>
      </c>
      <c r="AI455" s="6">
        <f>[1]Results!AL311</f>
        <v>7.8786592740000003</v>
      </c>
      <c r="AJ455" s="6">
        <f>[1]Results!AM311</f>
        <v>7.8774147760000002</v>
      </c>
      <c r="AK455" s="6">
        <f>[1]Results!AN311</f>
        <v>7.8770910079999998</v>
      </c>
      <c r="AL455" s="6">
        <f>[1]Results!AO311</f>
        <v>7.8776682610000002</v>
      </c>
      <c r="AM455" s="6">
        <f>[1]Results!AP311</f>
        <v>7.8786557720000001</v>
      </c>
      <c r="AN455" s="6">
        <f>[1]Results!AQ311</f>
        <v>7.8804693339999998</v>
      </c>
      <c r="AO455" s="6">
        <f>[1]Results!AR311</f>
        <v>7.8830987459999999</v>
      </c>
      <c r="AP455" s="6">
        <f>[1]Results!AS311</f>
        <v>7.8864727529999996</v>
      </c>
      <c r="AQ455" s="6">
        <f>[1]Results!AT311</f>
        <v>7.8905426390000004</v>
      </c>
      <c r="AR455" s="6">
        <f>[1]Results!AU311</f>
        <v>7.8955478660000002</v>
      </c>
      <c r="AS455" s="6">
        <f>[1]Results!AV311</f>
        <v>7.9013724349999999</v>
      </c>
      <c r="AT455" s="6">
        <f>[1]Results!AW311</f>
        <v>7.907953472</v>
      </c>
      <c r="AU455" s="6">
        <f>[1]Results!AX311</f>
        <v>7.9152565800000003</v>
      </c>
      <c r="AV455" s="6">
        <f>[1]Results!AY311</f>
        <v>7.9232626809999998</v>
      </c>
      <c r="AW455" s="6">
        <f>[1]Results!AZ311</f>
        <v>7.9330052279999999</v>
      </c>
      <c r="AX455" s="6">
        <f>[1]Results!BA311</f>
        <v>7.944001031</v>
      </c>
      <c r="AY455" s="6">
        <f>[1]Results!BB311</f>
        <v>7.9559779730000004</v>
      </c>
      <c r="AZ455" s="6">
        <f>[1]Results!BC311</f>
        <v>7.9687808240000004</v>
      </c>
      <c r="BA455" s="6">
        <f>[1]Results!BD311</f>
        <v>7.9823329599999999</v>
      </c>
      <c r="BB455" s="6">
        <f>[1]Results!BE311</f>
        <v>9.1587507319999997</v>
      </c>
      <c r="BC455" s="6">
        <f>[1]Results!BF311</f>
        <v>9.2090429220000001</v>
      </c>
      <c r="BD455" s="6">
        <f>[1]Results!BG311</f>
        <v>9.2606713220000003</v>
      </c>
      <c r="BE455" s="6">
        <f>[1]Results!BH311</f>
        <v>9.3136211660000008</v>
      </c>
      <c r="BF455" s="6">
        <f>[1]Results!BI311</f>
        <v>9.3679002540000003</v>
      </c>
    </row>
    <row r="456" spans="1:58" x14ac:dyDescent="0.35">
      <c r="B456" s="6" t="str">
        <f>[1]Results!E314</f>
        <v>CF_toe_cote_2</v>
      </c>
      <c r="C456" s="6">
        <f>[1]Results!F314</f>
        <v>8.4895423179999998</v>
      </c>
      <c r="D456" s="6">
        <f>[1]Results!G314</f>
        <v>8.5309549209999993</v>
      </c>
      <c r="E456" s="6">
        <f>[1]Results!H314</f>
        <v>8.6109666239999996</v>
      </c>
      <c r="F456" s="6">
        <f>[1]Results!I314</f>
        <v>8.7063629159999998</v>
      </c>
      <c r="G456" s="6">
        <f>[1]Results!J314</f>
        <v>8.8125026299999991</v>
      </c>
      <c r="H456" s="6">
        <f>[1]Results!K314</f>
        <v>8.9272262149999992</v>
      </c>
      <c r="I456" s="6">
        <f>[1]Results!L314</f>
        <v>9.0422382579999994</v>
      </c>
      <c r="J456" s="6">
        <f>[1]Results!M314</f>
        <v>9.160618564</v>
      </c>
      <c r="K456" s="6">
        <f>[1]Results!N314</f>
        <v>9.2819839510000008</v>
      </c>
      <c r="L456" s="6">
        <f>[1]Results!O314</f>
        <v>9.4055867519999996</v>
      </c>
      <c r="M456" s="6">
        <f>[1]Results!P314</f>
        <v>9.5215278239999996</v>
      </c>
      <c r="N456" s="6">
        <f>[1]Results!Q314</f>
        <v>9.659747801</v>
      </c>
      <c r="O456" s="6">
        <f>[1]Results!R314</f>
        <v>9.8023383020000008</v>
      </c>
      <c r="P456" s="6">
        <f>[1]Results!S314</f>
        <v>9.9463466450000002</v>
      </c>
      <c r="Q456" s="6">
        <f>[1]Results!T314</f>
        <v>10.09111255</v>
      </c>
      <c r="R456" s="6">
        <f>[1]Results!U314</f>
        <v>10.23641802</v>
      </c>
      <c r="S456" s="6">
        <f>[1]Results!V314</f>
        <v>10.381252829999999</v>
      </c>
      <c r="T456" s="6">
        <f>[1]Results!W314</f>
        <v>10.526367629999999</v>
      </c>
      <c r="U456" s="6">
        <f>[1]Results!X314</f>
        <v>10.671951229999999</v>
      </c>
      <c r="V456" s="6">
        <f>[1]Results!Y314</f>
        <v>10.81815746</v>
      </c>
      <c r="W456" s="6">
        <f>[1]Results!Z314</f>
        <v>10.95739277</v>
      </c>
      <c r="X456" s="6">
        <f>[1]Results!AA314</f>
        <v>11.10313981</v>
      </c>
      <c r="Y456" s="6">
        <f>[1]Results!AB314</f>
        <v>11.25121296</v>
      </c>
      <c r="Z456" s="6">
        <f>[1]Results!AC314</f>
        <v>11.40112558</v>
      </c>
      <c r="AA456" s="6">
        <f>[1]Results!AD314</f>
        <v>11.552954700000001</v>
      </c>
      <c r="AB456" s="6">
        <f>[1]Results!AE314</f>
        <v>11.684642670000001</v>
      </c>
      <c r="AC456" s="6">
        <f>[1]Results!AF314</f>
        <v>11.824156629999999</v>
      </c>
      <c r="AD456" s="6">
        <f>[1]Results!AG314</f>
        <v>11.966017219999999</v>
      </c>
      <c r="AE456" s="6">
        <f>[1]Results!AH314</f>
        <v>12.10973259</v>
      </c>
      <c r="AF456" s="6">
        <f>[1]Results!AI314</f>
        <v>12.25551316</v>
      </c>
      <c r="AG456" s="6">
        <f>[1]Results!AJ314</f>
        <v>12.40361605</v>
      </c>
      <c r="AH456" s="6">
        <f>[1]Results!AK314</f>
        <v>12.554518010000001</v>
      </c>
      <c r="AI456" s="6">
        <f>[1]Results!AL314</f>
        <v>12.708131740000001</v>
      </c>
      <c r="AJ456" s="6">
        <f>[1]Results!AM314</f>
        <v>12.864489989999999</v>
      </c>
      <c r="AK456" s="6">
        <f>[1]Results!AN314</f>
        <v>13.023598120000001</v>
      </c>
      <c r="AL456" s="6">
        <f>[1]Results!AO314</f>
        <v>13.185426509999999</v>
      </c>
      <c r="AM456" s="6">
        <f>[1]Results!AP314</f>
        <v>13.34728477</v>
      </c>
      <c r="AN456" s="6">
        <f>[1]Results!AQ314</f>
        <v>13.51069202</v>
      </c>
      <c r="AO456" s="6">
        <f>[1]Results!AR314</f>
        <v>13.67600521</v>
      </c>
      <c r="AP456" s="6">
        <f>[1]Results!AS314</f>
        <v>13.84333912</v>
      </c>
      <c r="AQ456" s="6">
        <f>[1]Results!AT314</f>
        <v>14.01274694</v>
      </c>
      <c r="AR456" s="6">
        <f>[1]Results!AU314</f>
        <v>14.18470748</v>
      </c>
      <c r="AS456" s="6">
        <f>[1]Results!AV314</f>
        <v>14.358890880000001</v>
      </c>
      <c r="AT456" s="6">
        <f>[1]Results!AW314</f>
        <v>14.53524726</v>
      </c>
      <c r="AU456" s="6">
        <f>[1]Results!AX314</f>
        <v>14.71375126</v>
      </c>
      <c r="AV456" s="6">
        <f>[1]Results!AY314</f>
        <v>14.89437165</v>
      </c>
      <c r="AW456" s="6">
        <f>[1]Results!AZ314</f>
        <v>15.079154040000001</v>
      </c>
      <c r="AX456" s="6">
        <f>[1]Results!BA314</f>
        <v>15.26650341</v>
      </c>
      <c r="AY456" s="6">
        <f>[1]Results!BB314</f>
        <v>15.45613848</v>
      </c>
      <c r="AZ456" s="6">
        <f>[1]Results!BC314</f>
        <v>15.647959090000001</v>
      </c>
      <c r="BA456" s="6">
        <f>[1]Results!BD314</f>
        <v>15.841897360000001</v>
      </c>
      <c r="BB456" s="6">
        <f>[1]Results!BE314</f>
        <v>19.805538519999999</v>
      </c>
      <c r="BC456" s="6">
        <f>[1]Results!BF314</f>
        <v>20.149609949999999</v>
      </c>
      <c r="BD456" s="6">
        <f>[1]Results!BG314</f>
        <v>20.49965121</v>
      </c>
      <c r="BE456" s="6">
        <f>[1]Results!BH314</f>
        <v>20.855750520000001</v>
      </c>
      <c r="BF456" s="6">
        <f>[1]Results!BI314</f>
        <v>21.21799416</v>
      </c>
    </row>
    <row r="457" spans="1:58" x14ac:dyDescent="0.35"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  <c r="BA457" s="6"/>
      <c r="BB457" s="6"/>
      <c r="BC457" s="6"/>
      <c r="BD457" s="6"/>
      <c r="BE457" s="6"/>
      <c r="BF457" s="6"/>
    </row>
    <row r="458" spans="1:58" x14ac:dyDescent="0.35">
      <c r="A458" s="12" t="s">
        <v>93</v>
      </c>
      <c r="B458" s="6" t="str">
        <f>[1]Results!E317</f>
        <v>CF_toe_0</v>
      </c>
      <c r="C458" s="6">
        <f>[1]Results!F317</f>
        <v>162.32540449999999</v>
      </c>
      <c r="D458" s="6">
        <f>[1]Results!G317</f>
        <v>163.4156279</v>
      </c>
      <c r="E458" s="6">
        <f>[1]Results!H317</f>
        <v>164.40111590000001</v>
      </c>
      <c r="F458" s="6">
        <f>[1]Results!I317</f>
        <v>165.49306659999999</v>
      </c>
      <c r="G458" s="6">
        <f>[1]Results!J317</f>
        <v>166.7450049</v>
      </c>
      <c r="H458" s="6">
        <f>[1]Results!K317</f>
        <v>168.1815799</v>
      </c>
      <c r="I458" s="6">
        <f>[1]Results!L317</f>
        <v>169.7110524</v>
      </c>
      <c r="J458" s="6">
        <f>[1]Results!M317</f>
        <v>171.35065499999999</v>
      </c>
      <c r="K458" s="6">
        <f>[1]Results!N317</f>
        <v>173.08313820000001</v>
      </c>
      <c r="L458" s="6">
        <f>[1]Results!O317</f>
        <v>174.8878789</v>
      </c>
      <c r="M458" s="6">
        <f>[1]Results!P317</f>
        <v>176.88940719999999</v>
      </c>
      <c r="N458" s="6">
        <f>[1]Results!Q317</f>
        <v>178.85549979999999</v>
      </c>
      <c r="O458" s="6">
        <f>[1]Results!R317</f>
        <v>180.83299869999999</v>
      </c>
      <c r="P458" s="6">
        <f>[1]Results!S317</f>
        <v>182.82848540000001</v>
      </c>
      <c r="Q458" s="6">
        <f>[1]Results!T317</f>
        <v>184.84160489999999</v>
      </c>
      <c r="R458" s="6">
        <f>[1]Results!U317</f>
        <v>186.87145630000001</v>
      </c>
      <c r="S458" s="6">
        <f>[1]Results!V317</f>
        <v>188.91776089999999</v>
      </c>
      <c r="T458" s="6">
        <f>[1]Results!W317</f>
        <v>190.98094789999999</v>
      </c>
      <c r="U458" s="6">
        <f>[1]Results!X317</f>
        <v>193.0620132</v>
      </c>
      <c r="V458" s="6">
        <f>[1]Results!Y317</f>
        <v>195.16235159999999</v>
      </c>
      <c r="W458" s="6">
        <f>[1]Results!Z317</f>
        <v>197.18068339999999</v>
      </c>
      <c r="X458" s="6">
        <f>[1]Results!AA317</f>
        <v>199.2793337</v>
      </c>
      <c r="Y458" s="6">
        <f>[1]Results!AB317</f>
        <v>201.41965769999999</v>
      </c>
      <c r="Z458" s="6">
        <f>[1]Results!AC317</f>
        <v>203.594572</v>
      </c>
      <c r="AA458" s="6">
        <f>[1]Results!AD317</f>
        <v>205.80329019999999</v>
      </c>
      <c r="AB458" s="6">
        <f>[1]Results!AE317</f>
        <v>207.75171420000001</v>
      </c>
      <c r="AC458" s="6">
        <f>[1]Results!AF317</f>
        <v>209.7602454</v>
      </c>
      <c r="AD458" s="6">
        <f>[1]Results!AG317</f>
        <v>211.79003220000001</v>
      </c>
      <c r="AE458" s="6">
        <f>[1]Results!AH317</f>
        <v>213.8387712</v>
      </c>
      <c r="AF458" s="6">
        <f>[1]Results!AI317</f>
        <v>215.91022290000001</v>
      </c>
      <c r="AG458" s="6">
        <f>[1]Results!AJ317</f>
        <v>218.00870889999999</v>
      </c>
      <c r="AH458" s="6">
        <f>[1]Results!AK317</f>
        <v>220.13788159999999</v>
      </c>
      <c r="AI458" s="6">
        <f>[1]Results!AL317</f>
        <v>222.30046100000001</v>
      </c>
      <c r="AJ458" s="6">
        <f>[1]Results!AM317</f>
        <v>224.4982799</v>
      </c>
      <c r="AK458" s="6">
        <f>[1]Results!AN317</f>
        <v>226.7324303</v>
      </c>
      <c r="AL458" s="6">
        <f>[1]Results!AO317</f>
        <v>229.00343710000001</v>
      </c>
      <c r="AM458" s="6">
        <f>[1]Results!AP317</f>
        <v>231.241455</v>
      </c>
      <c r="AN458" s="6">
        <f>[1]Results!AQ317</f>
        <v>233.48483440000001</v>
      </c>
      <c r="AO458" s="6">
        <f>[1]Results!AR317</f>
        <v>235.74447979999999</v>
      </c>
      <c r="AP458" s="6">
        <f>[1]Results!AS317</f>
        <v>238.02541339999999</v>
      </c>
      <c r="AQ458" s="6">
        <f>[1]Results!AT317</f>
        <v>240.33105620000001</v>
      </c>
      <c r="AR458" s="6">
        <f>[1]Results!AU317</f>
        <v>242.6641079</v>
      </c>
      <c r="AS458" s="6">
        <f>[1]Results!AV317</f>
        <v>245.02672620000001</v>
      </c>
      <c r="AT458" s="6">
        <f>[1]Results!AW317</f>
        <v>247.4205656</v>
      </c>
      <c r="AU458" s="6">
        <f>[1]Results!AX317</f>
        <v>249.84675189999999</v>
      </c>
      <c r="AV458" s="6">
        <f>[1]Results!AY317</f>
        <v>252.30570169999999</v>
      </c>
      <c r="AW458" s="6">
        <f>[1]Results!AZ317</f>
        <v>254.80226010000001</v>
      </c>
      <c r="AX458" s="6">
        <f>[1]Results!BA317</f>
        <v>257.32966190000002</v>
      </c>
      <c r="AY458" s="6">
        <f>[1]Results!BB317</f>
        <v>259.88363229999999</v>
      </c>
      <c r="AZ458" s="6">
        <f>[1]Results!BC317</f>
        <v>262.47046649999999</v>
      </c>
      <c r="BA458" s="6">
        <f>[1]Results!BD317</f>
        <v>265.0955361</v>
      </c>
      <c r="BB458" s="6">
        <f>[1]Results!BE317</f>
        <v>285.81156920000001</v>
      </c>
      <c r="BC458" s="6">
        <f>[1]Results!BF317</f>
        <v>289.59841449999999</v>
      </c>
      <c r="BD458" s="6">
        <f>[1]Results!BG317</f>
        <v>293.44403879999999</v>
      </c>
      <c r="BE458" s="6">
        <f>[1]Results!BH317</f>
        <v>297.34999809999999</v>
      </c>
      <c r="BF458" s="6">
        <f>[1]Results!BI317</f>
        <v>301.31780850000001</v>
      </c>
    </row>
    <row r="459" spans="1:58" x14ac:dyDescent="0.35">
      <c r="A459" t="s">
        <v>38</v>
      </c>
      <c r="B459" s="6" t="str">
        <f>[1]Results!E318</f>
        <v>CF_toe_ccoa_0</v>
      </c>
      <c r="C459" s="6">
        <f>[1]Results!F318</f>
        <v>5.4830682990000001</v>
      </c>
      <c r="D459" s="6">
        <f>[1]Results!G318</f>
        <v>5.5492793770000004</v>
      </c>
      <c r="E459" s="6">
        <f>[1]Results!H318</f>
        <v>5.6226819580000003</v>
      </c>
      <c r="F459" s="6">
        <f>[1]Results!I318</f>
        <v>5.701917527</v>
      </c>
      <c r="G459" s="6">
        <f>[1]Results!J318</f>
        <v>5.7861248319999996</v>
      </c>
      <c r="H459" s="6">
        <f>[1]Results!K318</f>
        <v>5.8747395669999998</v>
      </c>
      <c r="I459" s="6">
        <f>[1]Results!L318</f>
        <v>5.9635537019999996</v>
      </c>
      <c r="J459" s="6">
        <f>[1]Results!M318</f>
        <v>6.0544641649999997</v>
      </c>
      <c r="K459" s="6">
        <f>[1]Results!N318</f>
        <v>6.1476467259999996</v>
      </c>
      <c r="L459" s="6">
        <f>[1]Results!O318</f>
        <v>6.2429638369999996</v>
      </c>
      <c r="M459" s="6">
        <f>[1]Results!P318</f>
        <v>6.3467157179999996</v>
      </c>
      <c r="N459" s="6">
        <f>[1]Results!Q318</f>
        <v>6.4481039610000002</v>
      </c>
      <c r="O459" s="6">
        <f>[1]Results!R318</f>
        <v>6.5501806470000004</v>
      </c>
      <c r="P459" s="6">
        <f>[1]Results!S318</f>
        <v>6.6535140009999996</v>
      </c>
      <c r="Q459" s="6">
        <f>[1]Results!T318</f>
        <v>6.7582072540000002</v>
      </c>
      <c r="R459" s="6">
        <f>[1]Results!U318</f>
        <v>6.8642977380000003</v>
      </c>
      <c r="S459" s="6">
        <f>[1]Results!V318</f>
        <v>6.9718316849999997</v>
      </c>
      <c r="T459" s="6">
        <f>[1]Results!W318</f>
        <v>7.0808734849999997</v>
      </c>
      <c r="U459" s="6">
        <f>[1]Results!X318</f>
        <v>7.191501186</v>
      </c>
      <c r="V459" s="6">
        <f>[1]Results!Y318</f>
        <v>7.3037997639999999</v>
      </c>
      <c r="W459" s="6">
        <f>[1]Results!Z318</f>
        <v>7.4130387689999999</v>
      </c>
      <c r="X459" s="6">
        <f>[1]Results!AA318</f>
        <v>7.5272154489999998</v>
      </c>
      <c r="Y459" s="6">
        <f>[1]Results!AB318</f>
        <v>7.6440588529999998</v>
      </c>
      <c r="Z459" s="6">
        <f>[1]Results!AC318</f>
        <v>7.7631628279999996</v>
      </c>
      <c r="AA459" s="6">
        <f>[1]Results!AD318</f>
        <v>7.8844808659999996</v>
      </c>
      <c r="AB459" s="6">
        <f>[1]Results!AE318</f>
        <v>7.9940915879999999</v>
      </c>
      <c r="AC459" s="6">
        <f>[1]Results!AF318</f>
        <v>8.1082709449999992</v>
      </c>
      <c r="AD459" s="6">
        <f>[1]Results!AG318</f>
        <v>8.2244082340000002</v>
      </c>
      <c r="AE459" s="6">
        <f>[1]Results!AH318</f>
        <v>8.3421332620000008</v>
      </c>
      <c r="AF459" s="6">
        <f>[1]Results!AI318</f>
        <v>8.4614956279999998</v>
      </c>
      <c r="AG459" s="6">
        <f>[1]Results!AJ318</f>
        <v>8.5826001230000006</v>
      </c>
      <c r="AH459" s="6">
        <f>[1]Results!AK318</f>
        <v>8.7055333939999997</v>
      </c>
      <c r="AI459" s="6">
        <f>[1]Results!AL318</f>
        <v>8.8303500489999998</v>
      </c>
      <c r="AJ459" s="6">
        <f>[1]Results!AM318</f>
        <v>8.9570736620000009</v>
      </c>
      <c r="AK459" s="6">
        <f>[1]Results!AN318</f>
        <v>9.0857025090000008</v>
      </c>
      <c r="AL459" s="6">
        <f>[1]Results!AO318</f>
        <v>9.2162167109999995</v>
      </c>
      <c r="AM459" s="6">
        <f>[1]Results!AP318</f>
        <v>9.3451920059999996</v>
      </c>
      <c r="AN459" s="6">
        <f>[1]Results!AQ318</f>
        <v>9.474724106</v>
      </c>
      <c r="AO459" s="6">
        <f>[1]Results!AR318</f>
        <v>9.6052880090000006</v>
      </c>
      <c r="AP459" s="6">
        <f>[1]Results!AS318</f>
        <v>9.7370358279999998</v>
      </c>
      <c r="AQ459" s="6">
        <f>[1]Results!AT318</f>
        <v>9.8700524590000001</v>
      </c>
      <c r="AR459" s="6">
        <f>[1]Results!AU318</f>
        <v>10.0044042</v>
      </c>
      <c r="AS459" s="6">
        <f>[1]Results!AV318</f>
        <v>10.140146639999999</v>
      </c>
      <c r="AT459" s="6">
        <f>[1]Results!AW318</f>
        <v>10.27732524</v>
      </c>
      <c r="AU459" s="6">
        <f>[1]Results!AX318</f>
        <v>10.41597535</v>
      </c>
      <c r="AV459" s="6">
        <f>[1]Results!AY318</f>
        <v>10.556122820000001</v>
      </c>
      <c r="AW459" s="6">
        <f>[1]Results!AZ318</f>
        <v>10.69809186</v>
      </c>
      <c r="AX459" s="6">
        <f>[1]Results!BA318</f>
        <v>10.841721420000001</v>
      </c>
      <c r="AY459" s="6">
        <f>[1]Results!BB318</f>
        <v>10.986985839999999</v>
      </c>
      <c r="AZ459" s="6">
        <f>[1]Results!BC318</f>
        <v>11.133882270000001</v>
      </c>
      <c r="BA459" s="6">
        <f>[1]Results!BD318</f>
        <v>11.28241703</v>
      </c>
      <c r="BB459" s="6">
        <f>[1]Results!BE318</f>
        <v>12.5681329</v>
      </c>
      <c r="BC459" s="6">
        <f>[1]Results!BF318</f>
        <v>12.78677233</v>
      </c>
      <c r="BD459" s="6">
        <f>[1]Results!BG318</f>
        <v>13.00876092</v>
      </c>
      <c r="BE459" s="6">
        <f>[1]Results!BH318</f>
        <v>13.23413545</v>
      </c>
      <c r="BF459" s="6">
        <f>[1]Results!BI318</f>
        <v>13.462935549999999</v>
      </c>
    </row>
    <row r="460" spans="1:58" x14ac:dyDescent="0.35">
      <c r="B460" s="6" t="s">
        <v>74</v>
      </c>
      <c r="C460" s="6">
        <f>C461+C462+C463</f>
        <v>62.3153900549</v>
      </c>
      <c r="D460" s="6">
        <f t="shared" ref="D460:AI460" si="274">D461+D462+D463</f>
        <v>62.583346583300006</v>
      </c>
      <c r="E460" s="6">
        <f t="shared" si="274"/>
        <v>62.795814122499998</v>
      </c>
      <c r="F460" s="6">
        <f t="shared" si="274"/>
        <v>63.082021249</v>
      </c>
      <c r="G460" s="6">
        <f t="shared" si="274"/>
        <v>63.470170130299998</v>
      </c>
      <c r="H460" s="6">
        <f t="shared" si="274"/>
        <v>63.960663665600002</v>
      </c>
      <c r="I460" s="6">
        <f t="shared" si="274"/>
        <v>64.514941180299999</v>
      </c>
      <c r="J460" s="6">
        <f t="shared" si="274"/>
        <v>65.126747541300006</v>
      </c>
      <c r="K460" s="6">
        <f t="shared" si="274"/>
        <v>65.783745727400003</v>
      </c>
      <c r="L460" s="6">
        <f t="shared" si="274"/>
        <v>66.4751153789</v>
      </c>
      <c r="M460" s="6">
        <f t="shared" si="274"/>
        <v>67.234859986200007</v>
      </c>
      <c r="N460" s="6">
        <f t="shared" si="274"/>
        <v>67.994732561299998</v>
      </c>
      <c r="O460" s="6">
        <f t="shared" si="274"/>
        <v>68.764468224600009</v>
      </c>
      <c r="P460" s="6">
        <f t="shared" si="274"/>
        <v>69.543923961700003</v>
      </c>
      <c r="Q460" s="6">
        <f t="shared" si="274"/>
        <v>70.331634644699989</v>
      </c>
      <c r="R460" s="6">
        <f t="shared" si="274"/>
        <v>71.126409337300004</v>
      </c>
      <c r="S460" s="6">
        <f t="shared" si="274"/>
        <v>71.927518913400007</v>
      </c>
      <c r="T460" s="6">
        <f t="shared" si="274"/>
        <v>72.734618120699992</v>
      </c>
      <c r="U460" s="6">
        <f t="shared" si="274"/>
        <v>73.547639607199997</v>
      </c>
      <c r="V460" s="6">
        <f t="shared" si="274"/>
        <v>74.366706732300003</v>
      </c>
      <c r="W460" s="6">
        <f t="shared" si="274"/>
        <v>75.161052557100007</v>
      </c>
      <c r="X460" s="6">
        <f t="shared" si="274"/>
        <v>75.977021470799997</v>
      </c>
      <c r="Y460" s="6">
        <f t="shared" si="274"/>
        <v>76.804758805900008</v>
      </c>
      <c r="Z460" s="6">
        <f t="shared" si="274"/>
        <v>77.642608561199992</v>
      </c>
      <c r="AA460" s="6">
        <f t="shared" si="274"/>
        <v>78.4904948553</v>
      </c>
      <c r="AB460" s="6">
        <f t="shared" si="274"/>
        <v>79.259413418999998</v>
      </c>
      <c r="AC460" s="6">
        <f t="shared" si="274"/>
        <v>80.039553521000002</v>
      </c>
      <c r="AD460" s="6">
        <f t="shared" si="274"/>
        <v>80.821508148500001</v>
      </c>
      <c r="AE460" s="6">
        <f t="shared" si="274"/>
        <v>81.605653535399995</v>
      </c>
      <c r="AF460" s="6">
        <f t="shared" si="274"/>
        <v>82.394030788000009</v>
      </c>
      <c r="AG460" s="6">
        <f t="shared" si="274"/>
        <v>83.188680873099997</v>
      </c>
      <c r="AH460" s="6">
        <f t="shared" si="274"/>
        <v>83.991292738399991</v>
      </c>
      <c r="AI460" s="6">
        <f t="shared" si="274"/>
        <v>84.803141419100001</v>
      </c>
      <c r="AJ460" s="6">
        <f>AJ461+AJ462+AJ463</f>
        <v>85.625129149600014</v>
      </c>
      <c r="AK460" s="6">
        <f t="shared" ref="AK460" si="275">AK461+AK462+AK463</f>
        <v>86.457857157400014</v>
      </c>
      <c r="AL460" s="6">
        <f t="shared" ref="AL460:BC460" si="276">AL461+AL462+AL463</f>
        <v>87.301701144899994</v>
      </c>
      <c r="AM460" s="6">
        <f t="shared" si="276"/>
        <v>88.135527438000011</v>
      </c>
      <c r="AN460" s="6">
        <f t="shared" si="276"/>
        <v>88.96964258509999</v>
      </c>
      <c r="AO460" s="6">
        <f t="shared" si="276"/>
        <v>89.807267484600004</v>
      </c>
      <c r="AP460" s="6">
        <f t="shared" si="276"/>
        <v>90.650183636500003</v>
      </c>
      <c r="AQ460" s="6">
        <f t="shared" si="276"/>
        <v>91.499812815200002</v>
      </c>
      <c r="AR460" s="6">
        <f t="shared" si="276"/>
        <v>92.357377609899999</v>
      </c>
      <c r="AS460" s="6">
        <f t="shared" si="276"/>
        <v>93.22389826669999</v>
      </c>
      <c r="AT460" s="6">
        <f t="shared" si="276"/>
        <v>94.100176904000008</v>
      </c>
      <c r="AU460" s="6">
        <f t="shared" si="276"/>
        <v>94.9867856539</v>
      </c>
      <c r="AV460" s="6">
        <f t="shared" si="276"/>
        <v>95.884016549699993</v>
      </c>
      <c r="AW460" s="6">
        <f t="shared" si="276"/>
        <v>96.793479544099995</v>
      </c>
      <c r="AX460" s="6">
        <f t="shared" si="276"/>
        <v>97.714495581799994</v>
      </c>
      <c r="AY460" s="6">
        <f t="shared" si="276"/>
        <v>98.646587135100006</v>
      </c>
      <c r="AZ460" s="6">
        <f t="shared" si="276"/>
        <v>99.590707722100007</v>
      </c>
      <c r="BA460" s="6">
        <f t="shared" si="276"/>
        <v>100.54759459099999</v>
      </c>
      <c r="BB460" s="6">
        <f t="shared" si="276"/>
        <v>108.96271776330001</v>
      </c>
      <c r="BC460" s="6">
        <f t="shared" si="276"/>
        <v>110.34745505659998</v>
      </c>
      <c r="BD460" s="6">
        <f t="shared" ref="BD460:BF460" si="277">BD461+BD462+BD463</f>
        <v>111.7525966617</v>
      </c>
      <c r="BE460" s="6">
        <f t="shared" si="277"/>
        <v>113.1788236631</v>
      </c>
      <c r="BF460" s="6">
        <f t="shared" si="277"/>
        <v>114.6268495106</v>
      </c>
    </row>
    <row r="461" spans="1:58" x14ac:dyDescent="0.35">
      <c r="B461" s="6" t="str">
        <f>[1]Results!E321</f>
        <v>CF_toe_ccoi_0</v>
      </c>
      <c r="C461" s="6">
        <f>[1]Results!F321</f>
        <v>8.4917494900000001E-2</v>
      </c>
      <c r="D461" s="6">
        <f>[1]Results!G321</f>
        <v>8.5904173299999997E-2</v>
      </c>
      <c r="E461" s="6">
        <f>[1]Results!H321</f>
        <v>8.6975202500000001E-2</v>
      </c>
      <c r="F461" s="6">
        <f>[1]Results!I321</f>
        <v>8.8142268999999995E-2</v>
      </c>
      <c r="G461" s="6">
        <f>[1]Results!J321</f>
        <v>8.9414280299999996E-2</v>
      </c>
      <c r="H461" s="6">
        <f>[1]Results!K321</f>
        <v>9.0790635600000003E-2</v>
      </c>
      <c r="I461" s="6">
        <f>[1]Results!L321</f>
        <v>9.2207440299999999E-2</v>
      </c>
      <c r="J461" s="6">
        <f>[1]Results!M321</f>
        <v>9.3684891300000003E-2</v>
      </c>
      <c r="K461" s="6">
        <f>[1]Results!N321</f>
        <v>9.5219327399999998E-2</v>
      </c>
      <c r="L461" s="6">
        <f>[1]Results!O321</f>
        <v>9.68034589E-2</v>
      </c>
      <c r="M461" s="6">
        <f>[1]Results!P321</f>
        <v>9.8529666200000005E-2</v>
      </c>
      <c r="N461" s="6">
        <f>[1]Results!Q321</f>
        <v>0.1002378513</v>
      </c>
      <c r="O461" s="6">
        <f>[1]Results!R321</f>
        <v>0.1019637946</v>
      </c>
      <c r="P461" s="6">
        <f>[1]Results!S321</f>
        <v>0.10371059169999999</v>
      </c>
      <c r="Q461" s="6">
        <f>[1]Results!T321</f>
        <v>0.10547654469999999</v>
      </c>
      <c r="R461" s="6">
        <f>[1]Results!U321</f>
        <v>0.10725994730000001</v>
      </c>
      <c r="S461" s="6">
        <f>[1]Results!V321</f>
        <v>0.1090597834</v>
      </c>
      <c r="T461" s="6">
        <f>[1]Results!W321</f>
        <v>0.1108757007</v>
      </c>
      <c r="U461" s="6">
        <f>[1]Results!X321</f>
        <v>0.1127078772</v>
      </c>
      <c r="V461" s="6">
        <f>[1]Results!Y321</f>
        <v>0.1145568923</v>
      </c>
      <c r="W461" s="6">
        <f>[1]Results!Z321</f>
        <v>0.11634893709999999</v>
      </c>
      <c r="X461" s="6">
        <f>[1]Results!AA321</f>
        <v>0.1182004708</v>
      </c>
      <c r="Y461" s="6">
        <f>[1]Results!AB321</f>
        <v>0.1200823359</v>
      </c>
      <c r="Z461" s="6">
        <f>[1]Results!AC321</f>
        <v>0.12199055120000001</v>
      </c>
      <c r="AA461" s="6">
        <f>[1]Results!AD321</f>
        <v>0.1239253453</v>
      </c>
      <c r="AB461" s="6">
        <f>[1]Results!AE321</f>
        <v>0.12567097899999999</v>
      </c>
      <c r="AC461" s="6">
        <f>[1]Results!AF321</f>
        <v>0.12745954100000001</v>
      </c>
      <c r="AD461" s="6">
        <f>[1]Results!AG321</f>
        <v>0.12925843849999999</v>
      </c>
      <c r="AE461" s="6">
        <f>[1]Results!AH321</f>
        <v>0.1310666754</v>
      </c>
      <c r="AF461" s="6">
        <f>[1]Results!AI321</f>
        <v>0.132888268</v>
      </c>
      <c r="AG461" s="6">
        <f>[1]Results!AJ321</f>
        <v>0.13472742309999999</v>
      </c>
      <c r="AH461" s="6">
        <f>[1]Results!AK321</f>
        <v>0.13658764840000001</v>
      </c>
      <c r="AI461" s="6">
        <f>[1]Results!AL321</f>
        <v>0.13847164910000001</v>
      </c>
      <c r="AJ461" s="6">
        <f>[1]Results!AM321</f>
        <v>0.14038139960000001</v>
      </c>
      <c r="AK461" s="6">
        <f>[1]Results!AN321</f>
        <v>0.14231825740000001</v>
      </c>
      <c r="AL461" s="6">
        <f>[1]Results!AO321</f>
        <v>0.1442830849</v>
      </c>
      <c r="AM461" s="6">
        <f>[1]Results!AP321</f>
        <v>0.14622375800000001</v>
      </c>
      <c r="AN461" s="6">
        <f>[1]Results!AQ321</f>
        <v>0.1481684751</v>
      </c>
      <c r="AO461" s="6">
        <f>[1]Results!AR321</f>
        <v>0.1501243146</v>
      </c>
      <c r="AP461" s="6">
        <f>[1]Results!AS321</f>
        <v>0.15209465650000001</v>
      </c>
      <c r="AQ461" s="6">
        <f>[1]Results!AT321</f>
        <v>0.15408211520000001</v>
      </c>
      <c r="AR461" s="6">
        <f>[1]Results!AU321</f>
        <v>0.15608895989999999</v>
      </c>
      <c r="AS461" s="6">
        <f>[1]Results!AV321</f>
        <v>0.15811713669999999</v>
      </c>
      <c r="AT461" s="6">
        <f>[1]Results!AW321</f>
        <v>0.160168264</v>
      </c>
      <c r="AU461" s="6">
        <f>[1]Results!AX321</f>
        <v>0.16224365390000001</v>
      </c>
      <c r="AV461" s="6">
        <f>[1]Results!AY321</f>
        <v>0.1643443597</v>
      </c>
      <c r="AW461" s="6">
        <f>[1]Results!AZ321</f>
        <v>0.16647602410000001</v>
      </c>
      <c r="AX461" s="6">
        <f>[1]Results!BA321</f>
        <v>0.16863686180000001</v>
      </c>
      <c r="AY461" s="6">
        <f>[1]Results!BB321</f>
        <v>0.17082688509999999</v>
      </c>
      <c r="AZ461" s="6">
        <f>[1]Results!BC321</f>
        <v>0.1730462321</v>
      </c>
      <c r="BA461" s="6">
        <f>[1]Results!BD321</f>
        <v>0.175295061</v>
      </c>
      <c r="BB461" s="6">
        <f>[1]Results!BE321</f>
        <v>0.1973296433</v>
      </c>
      <c r="BC461" s="6">
        <f>[1]Results!BF321</f>
        <v>0.2006222366</v>
      </c>
      <c r="BD461" s="6">
        <f>[1]Results!BG321</f>
        <v>0.2039584817</v>
      </c>
      <c r="BE461" s="6">
        <f>[1]Results!BH321</f>
        <v>0.20733960309999999</v>
      </c>
      <c r="BF461" s="6">
        <f>[1]Results!BI321</f>
        <v>0.21076692059999999</v>
      </c>
    </row>
    <row r="462" spans="1:58" x14ac:dyDescent="0.35">
      <c r="B462" s="6" t="str">
        <f>[1]Results!E324</f>
        <v>CF_toe_cfut_0</v>
      </c>
      <c r="C462" s="6">
        <f>[1]Results!F324</f>
        <v>47.396219520000002</v>
      </c>
      <c r="D462" s="6">
        <f>[1]Results!G324</f>
        <v>47.572488120000003</v>
      </c>
      <c r="E462" s="6">
        <f>[1]Results!H324</f>
        <v>47.715054289999998</v>
      </c>
      <c r="F462" s="6">
        <f>[1]Results!I324</f>
        <v>47.933097969999999</v>
      </c>
      <c r="G462" s="6">
        <f>[1]Results!J324</f>
        <v>48.24853444</v>
      </c>
      <c r="H462" s="6">
        <f>[1]Results!K324</f>
        <v>48.652318800000003</v>
      </c>
      <c r="I462" s="6">
        <f>[1]Results!L324</f>
        <v>49.110529769999999</v>
      </c>
      <c r="J462" s="6">
        <f>[1]Results!M324</f>
        <v>49.614984</v>
      </c>
      <c r="K462" s="6">
        <f>[1]Results!N324</f>
        <v>50.155093440000002</v>
      </c>
      <c r="L462" s="6">
        <f>[1]Results!O324</f>
        <v>50.722348719999999</v>
      </c>
      <c r="M462" s="6">
        <f>[1]Results!P324</f>
        <v>51.340709930000003</v>
      </c>
      <c r="N462" s="6">
        <f>[1]Results!Q324</f>
        <v>51.96165276</v>
      </c>
      <c r="O462" s="6">
        <f>[1]Results!R324</f>
        <v>52.591532960000002</v>
      </c>
      <c r="P462" s="6">
        <f>[1]Results!S324</f>
        <v>53.229606799999999</v>
      </c>
      <c r="Q462" s="6">
        <f>[1]Results!T324</f>
        <v>53.874380670000001</v>
      </c>
      <c r="R462" s="6">
        <f>[1]Results!U324</f>
        <v>54.524709289999997</v>
      </c>
      <c r="S462" s="6">
        <f>[1]Results!V324</f>
        <v>55.179880930000003</v>
      </c>
      <c r="T462" s="6">
        <f>[1]Results!W324</f>
        <v>55.839527969999999</v>
      </c>
      <c r="U462" s="6">
        <f>[1]Results!X324</f>
        <v>56.50352857</v>
      </c>
      <c r="V462" s="6">
        <f>[1]Results!Y324</f>
        <v>57.171929089999999</v>
      </c>
      <c r="W462" s="6">
        <f>[1]Results!Z324</f>
        <v>57.822471800000002</v>
      </c>
      <c r="X462" s="6">
        <f>[1]Results!AA324</f>
        <v>58.488130830000003</v>
      </c>
      <c r="Y462" s="6">
        <f>[1]Results!AB324</f>
        <v>59.162029029999999</v>
      </c>
      <c r="Z462" s="6">
        <f>[1]Results!AC324</f>
        <v>59.843234629999998</v>
      </c>
      <c r="AA462" s="6">
        <f>[1]Results!AD324</f>
        <v>60.531841640000003</v>
      </c>
      <c r="AB462" s="6">
        <f>[1]Results!AE324</f>
        <v>61.163390640000003</v>
      </c>
      <c r="AC462" s="6">
        <f>[1]Results!AF324</f>
        <v>61.801863189999999</v>
      </c>
      <c r="AD462" s="6">
        <f>[1]Results!AG324</f>
        <v>62.440449460000004</v>
      </c>
      <c r="AE462" s="6">
        <f>[1]Results!AH324</f>
        <v>63.079769509999998</v>
      </c>
      <c r="AF462" s="6">
        <f>[1]Results!AI324</f>
        <v>63.721679989999998</v>
      </c>
      <c r="AG462" s="6">
        <f>[1]Results!AJ324</f>
        <v>64.367969029999998</v>
      </c>
      <c r="AH462" s="6">
        <f>[1]Results!AK324</f>
        <v>65.020083499999998</v>
      </c>
      <c r="AI462" s="6">
        <f>[1]Results!AL324</f>
        <v>65.679104249999995</v>
      </c>
      <c r="AJ462" s="6">
        <f>[1]Results!AM324</f>
        <v>66.345791820000002</v>
      </c>
      <c r="AK462" s="6">
        <f>[1]Results!AN324</f>
        <v>67.020651830000006</v>
      </c>
      <c r="AL462" s="6">
        <f>[1]Results!AO324</f>
        <v>67.704000789999995</v>
      </c>
      <c r="AM462" s="6">
        <f>[1]Results!AP324</f>
        <v>68.380444920000002</v>
      </c>
      <c r="AN462" s="6">
        <f>[1]Results!AQ324</f>
        <v>69.057209229999998</v>
      </c>
      <c r="AO462" s="6">
        <f>[1]Results!AR324</f>
        <v>69.736492429999998</v>
      </c>
      <c r="AP462" s="6">
        <f>[1]Results!AS324</f>
        <v>70.419591629999999</v>
      </c>
      <c r="AQ462" s="6">
        <f>[1]Results!AT324</f>
        <v>71.107616780000001</v>
      </c>
      <c r="AR462" s="6">
        <f>[1]Results!AU324</f>
        <v>71.80155972</v>
      </c>
      <c r="AS462" s="6">
        <f>[1]Results!AV324</f>
        <v>72.502267489999994</v>
      </c>
      <c r="AT462" s="6">
        <f>[1]Results!AW324</f>
        <v>73.210424000000003</v>
      </c>
      <c r="AU462" s="6">
        <f>[1]Results!AX324</f>
        <v>73.926553310000003</v>
      </c>
      <c r="AV462" s="6">
        <f>[1]Results!AY324</f>
        <v>74.651039150000003</v>
      </c>
      <c r="AW462" s="6">
        <f>[1]Results!AZ324</f>
        <v>75.385560929999997</v>
      </c>
      <c r="AX462" s="6">
        <f>[1]Results!BA324</f>
        <v>76.129668129999999</v>
      </c>
      <c r="AY462" s="6">
        <f>[1]Results!BB324</f>
        <v>76.883308330000006</v>
      </c>
      <c r="AZ462" s="6">
        <f>[1]Results!BC324</f>
        <v>77.646438520000004</v>
      </c>
      <c r="BA462" s="6">
        <f>[1]Results!BD324</f>
        <v>78.419003579999995</v>
      </c>
      <c r="BB462" s="6">
        <f>[1]Results!BE324</f>
        <v>85.312169370000007</v>
      </c>
      <c r="BC462" s="6">
        <f>[1]Results!BF324</f>
        <v>86.423256069999994</v>
      </c>
      <c r="BD462" s="6">
        <f>[1]Results!BG324</f>
        <v>87.550619229999995</v>
      </c>
      <c r="BE462" s="6">
        <f>[1]Results!BH324</f>
        <v>88.694809750000005</v>
      </c>
      <c r="BF462" s="6">
        <f>[1]Results!BI324</f>
        <v>89.856421949999998</v>
      </c>
    </row>
    <row r="463" spans="1:58" x14ac:dyDescent="0.35">
      <c r="B463" s="6" t="str">
        <f>[1]Results!E327</f>
        <v>CF_toe_cfuh_0</v>
      </c>
      <c r="C463" s="6">
        <f>[1]Results!F327</f>
        <v>14.83425304</v>
      </c>
      <c r="D463" s="6">
        <f>[1]Results!G327</f>
        <v>14.924954290000001</v>
      </c>
      <c r="E463" s="6">
        <f>[1]Results!H327</f>
        <v>14.99378463</v>
      </c>
      <c r="F463" s="6">
        <f>[1]Results!I327</f>
        <v>15.060781009999999</v>
      </c>
      <c r="G463" s="6">
        <f>[1]Results!J327</f>
        <v>15.13222141</v>
      </c>
      <c r="H463" s="6">
        <f>[1]Results!K327</f>
        <v>15.217554229999999</v>
      </c>
      <c r="I463" s="6">
        <f>[1]Results!L327</f>
        <v>15.312203970000001</v>
      </c>
      <c r="J463" s="6">
        <f>[1]Results!M327</f>
        <v>15.41807865</v>
      </c>
      <c r="K463" s="6">
        <f>[1]Results!N327</f>
        <v>15.533432960000001</v>
      </c>
      <c r="L463" s="6">
        <f>[1]Results!O327</f>
        <v>15.6559632</v>
      </c>
      <c r="M463" s="6">
        <f>[1]Results!P327</f>
        <v>15.79562039</v>
      </c>
      <c r="N463" s="6">
        <f>[1]Results!Q327</f>
        <v>15.93284195</v>
      </c>
      <c r="O463" s="6">
        <f>[1]Results!R327</f>
        <v>16.07097147</v>
      </c>
      <c r="P463" s="6">
        <f>[1]Results!S327</f>
        <v>16.210606569999999</v>
      </c>
      <c r="Q463" s="6">
        <f>[1]Results!T327</f>
        <v>16.351777429999999</v>
      </c>
      <c r="R463" s="6">
        <f>[1]Results!U327</f>
        <v>16.494440099999998</v>
      </c>
      <c r="S463" s="6">
        <f>[1]Results!V327</f>
        <v>16.638578200000001</v>
      </c>
      <c r="T463" s="6">
        <f>[1]Results!W327</f>
        <v>16.78421445</v>
      </c>
      <c r="U463" s="6">
        <f>[1]Results!X327</f>
        <v>16.931403159999999</v>
      </c>
      <c r="V463" s="6">
        <f>[1]Results!Y327</f>
        <v>17.080220749999999</v>
      </c>
      <c r="W463" s="6">
        <f>[1]Results!Z327</f>
        <v>17.222231820000001</v>
      </c>
      <c r="X463" s="6">
        <f>[1]Results!AA327</f>
        <v>17.37069017</v>
      </c>
      <c r="Y463" s="6">
        <f>[1]Results!AB327</f>
        <v>17.52264744</v>
      </c>
      <c r="Z463" s="6">
        <f>[1]Results!AC327</f>
        <v>17.677383379999998</v>
      </c>
      <c r="AA463" s="6">
        <f>[1]Results!AD327</f>
        <v>17.834727869999998</v>
      </c>
      <c r="AB463" s="6">
        <f>[1]Results!AE327</f>
        <v>17.9703518</v>
      </c>
      <c r="AC463" s="6">
        <f>[1]Results!AF327</f>
        <v>18.110230789999999</v>
      </c>
      <c r="AD463" s="6">
        <f>[1]Results!AG327</f>
        <v>18.251800249999999</v>
      </c>
      <c r="AE463" s="6">
        <f>[1]Results!AH327</f>
        <v>18.39481735</v>
      </c>
      <c r="AF463" s="6">
        <f>[1]Results!AI327</f>
        <v>18.539462530000002</v>
      </c>
      <c r="AG463" s="6">
        <f>[1]Results!AJ327</f>
        <v>18.68598442</v>
      </c>
      <c r="AH463" s="6">
        <f>[1]Results!AK327</f>
        <v>18.834621590000001</v>
      </c>
      <c r="AI463" s="6">
        <f>[1]Results!AL327</f>
        <v>18.985565520000002</v>
      </c>
      <c r="AJ463" s="6">
        <f>[1]Results!AM327</f>
        <v>19.138955930000002</v>
      </c>
      <c r="AK463" s="6">
        <f>[1]Results!AN327</f>
        <v>19.294887070000001</v>
      </c>
      <c r="AL463" s="6">
        <f>[1]Results!AO327</f>
        <v>19.453417269999999</v>
      </c>
      <c r="AM463" s="6">
        <f>[1]Results!AP327</f>
        <v>19.60885876</v>
      </c>
      <c r="AN463" s="6">
        <f>[1]Results!AQ327</f>
        <v>19.764264879999999</v>
      </c>
      <c r="AO463" s="6">
        <f>[1]Results!AR327</f>
        <v>19.920650739999999</v>
      </c>
      <c r="AP463" s="6">
        <f>[1]Results!AS327</f>
        <v>20.078497349999999</v>
      </c>
      <c r="AQ463" s="6">
        <f>[1]Results!AT327</f>
        <v>20.23811392</v>
      </c>
      <c r="AR463" s="6">
        <f>[1]Results!AU327</f>
        <v>20.399728929999998</v>
      </c>
      <c r="AS463" s="6">
        <f>[1]Results!AV327</f>
        <v>20.56351364</v>
      </c>
      <c r="AT463" s="6">
        <f>[1]Results!AW327</f>
        <v>20.729584639999999</v>
      </c>
      <c r="AU463" s="6">
        <f>[1]Results!AX327</f>
        <v>20.897988689999998</v>
      </c>
      <c r="AV463" s="6">
        <f>[1]Results!AY327</f>
        <v>21.068633040000002</v>
      </c>
      <c r="AW463" s="6">
        <f>[1]Results!AZ327</f>
        <v>21.241442589999998</v>
      </c>
      <c r="AX463" s="6">
        <f>[1]Results!BA327</f>
        <v>21.416190589999999</v>
      </c>
      <c r="AY463" s="6">
        <f>[1]Results!BB327</f>
        <v>21.592451919999998</v>
      </c>
      <c r="AZ463" s="6">
        <f>[1]Results!BC327</f>
        <v>21.77122297</v>
      </c>
      <c r="BA463" s="6">
        <f>[1]Results!BD327</f>
        <v>21.953295950000001</v>
      </c>
      <c r="BB463" s="6">
        <f>[1]Results!BE327</f>
        <v>23.453218750000001</v>
      </c>
      <c r="BC463" s="6">
        <f>[1]Results!BF327</f>
        <v>23.723576749999999</v>
      </c>
      <c r="BD463" s="6">
        <f>[1]Results!BG327</f>
        <v>23.998018949999999</v>
      </c>
      <c r="BE463" s="6">
        <f>[1]Results!BH327</f>
        <v>24.276674310000001</v>
      </c>
      <c r="BF463" s="6">
        <f>[1]Results!BI327</f>
        <v>24.559660640000001</v>
      </c>
    </row>
    <row r="464" spans="1:58" x14ac:dyDescent="0.35">
      <c r="B464" s="6" t="str">
        <f>[1]Results!E329</f>
        <v>CF_toe_cgas_0</v>
      </c>
      <c r="C464" s="6">
        <f>[1]Results!F329</f>
        <v>34.455909929999997</v>
      </c>
      <c r="D464" s="6">
        <f>[1]Results!G329</f>
        <v>34.735827729999997</v>
      </c>
      <c r="E464" s="6">
        <f>[1]Results!H329</f>
        <v>34.995736540000003</v>
      </c>
      <c r="F464" s="6">
        <f>[1]Results!I329</f>
        <v>35.262800059999996</v>
      </c>
      <c r="G464" s="6">
        <f>[1]Results!J329</f>
        <v>35.545407359999999</v>
      </c>
      <c r="H464" s="6">
        <f>[1]Results!K329</f>
        <v>35.859706209999999</v>
      </c>
      <c r="I464" s="6">
        <f>[1]Results!L329</f>
        <v>36.18981582</v>
      </c>
      <c r="J464" s="6">
        <f>[1]Results!M329</f>
        <v>36.543720520000001</v>
      </c>
      <c r="K464" s="6">
        <f>[1]Results!N329</f>
        <v>36.918847040000003</v>
      </c>
      <c r="L464" s="6">
        <f>[1]Results!O329</f>
        <v>37.31092039</v>
      </c>
      <c r="M464" s="6">
        <f>[1]Results!P329</f>
        <v>37.750746650000004</v>
      </c>
      <c r="N464" s="6">
        <f>[1]Results!Q329</f>
        <v>38.18104099</v>
      </c>
      <c r="O464" s="6">
        <f>[1]Results!R329</f>
        <v>38.613982350000001</v>
      </c>
      <c r="P464" s="6">
        <f>[1]Results!S329</f>
        <v>39.051442819999998</v>
      </c>
      <c r="Q464" s="6">
        <f>[1]Results!T329</f>
        <v>39.493438849999997</v>
      </c>
      <c r="R464" s="6">
        <f>[1]Results!U329</f>
        <v>39.939729470000003</v>
      </c>
      <c r="S464" s="6">
        <f>[1]Results!V329</f>
        <v>40.390138100000001</v>
      </c>
      <c r="T464" s="6">
        <f>[1]Results!W329</f>
        <v>40.844607410000002</v>
      </c>
      <c r="U464" s="6">
        <f>[1]Results!X329</f>
        <v>41.303192799999998</v>
      </c>
      <c r="V464" s="6">
        <f>[1]Results!Y329</f>
        <v>41.766041960000003</v>
      </c>
      <c r="W464" s="6">
        <f>[1]Results!Z329</f>
        <v>42.20831708</v>
      </c>
      <c r="X464" s="6">
        <f>[1]Results!AA329</f>
        <v>42.66986035</v>
      </c>
      <c r="Y464" s="6">
        <f>[1]Results!AB329</f>
        <v>43.140639159999999</v>
      </c>
      <c r="Z464" s="6">
        <f>[1]Results!AC329</f>
        <v>43.61865675</v>
      </c>
      <c r="AA464" s="6">
        <f>[1]Results!AD329</f>
        <v>44.103556349999998</v>
      </c>
      <c r="AB464" s="6">
        <f>[1]Results!AE329</f>
        <v>44.5238005</v>
      </c>
      <c r="AC464" s="6">
        <f>[1]Results!AF329</f>
        <v>44.958608830000003</v>
      </c>
      <c r="AD464" s="6">
        <f>[1]Results!AG329</f>
        <v>45.397820119999999</v>
      </c>
      <c r="AE464" s="6">
        <f>[1]Results!AH329</f>
        <v>45.840496799999997</v>
      </c>
      <c r="AF464" s="6">
        <f>[1]Results!AI329</f>
        <v>46.287105920000002</v>
      </c>
      <c r="AG464" s="6">
        <f>[1]Results!AJ329</f>
        <v>46.738403920000003</v>
      </c>
      <c r="AH464" s="6">
        <f>[1]Results!AK329</f>
        <v>47.195129999999999</v>
      </c>
      <c r="AI464" s="6">
        <f>[1]Results!AL329</f>
        <v>47.65790724</v>
      </c>
      <c r="AJ464" s="6">
        <f>[1]Results!AM329</f>
        <v>48.127221919999997</v>
      </c>
      <c r="AK464" s="6">
        <f>[1]Results!AN329</f>
        <v>48.603430549999999</v>
      </c>
      <c r="AL464" s="6">
        <f>[1]Results!AO329</f>
        <v>49.086777949999998</v>
      </c>
      <c r="AM464" s="6">
        <f>[1]Results!AP329</f>
        <v>49.560524809999997</v>
      </c>
      <c r="AN464" s="6">
        <f>[1]Results!AQ329</f>
        <v>50.034354649999997</v>
      </c>
      <c r="AO464" s="6">
        <f>[1]Results!AR329</f>
        <v>50.510984720000003</v>
      </c>
      <c r="AP464" s="6">
        <f>[1]Results!AS329</f>
        <v>50.991610739999999</v>
      </c>
      <c r="AQ464" s="6">
        <f>[1]Results!AT329</f>
        <v>51.476987559999998</v>
      </c>
      <c r="AR464" s="6">
        <f>[1]Results!AU329</f>
        <v>51.967675679999999</v>
      </c>
      <c r="AS464" s="6">
        <f>[1]Results!AV329</f>
        <v>52.464104079999998</v>
      </c>
      <c r="AT464" s="6">
        <f>[1]Results!AW329</f>
        <v>52.966582780000003</v>
      </c>
      <c r="AU464" s="6">
        <f>[1]Results!AX329</f>
        <v>53.475287039999998</v>
      </c>
      <c r="AV464" s="6">
        <f>[1]Results!AY329</f>
        <v>53.990182820000001</v>
      </c>
      <c r="AW464" s="6">
        <f>[1]Results!AZ329</f>
        <v>54.512204830000002</v>
      </c>
      <c r="AX464" s="6">
        <f>[1]Results!BA329</f>
        <v>55.039883469999999</v>
      </c>
      <c r="AY464" s="6">
        <f>[1]Results!BB329</f>
        <v>55.570551309999999</v>
      </c>
      <c r="AZ464" s="6">
        <f>[1]Results!BC329</f>
        <v>56.107931350000001</v>
      </c>
      <c r="BA464" s="6">
        <f>[1]Results!BD329</f>
        <v>56.65502738</v>
      </c>
      <c r="BB464" s="6">
        <f>[1]Results!BE329</f>
        <v>60.695917489999999</v>
      </c>
      <c r="BC464" s="6">
        <f>[1]Results!BF329</f>
        <v>61.493967240000003</v>
      </c>
      <c r="BD464" s="6">
        <f>[1]Results!BG329</f>
        <v>62.303657729999998</v>
      </c>
      <c r="BE464" s="6">
        <f>[1]Results!BH329</f>
        <v>63.125339080000003</v>
      </c>
      <c r="BF464" s="6">
        <f>[1]Results!BI329</f>
        <v>63.959341160000001</v>
      </c>
    </row>
    <row r="465" spans="1:58" x14ac:dyDescent="0.35">
      <c r="B465" s="6" t="str">
        <f>[1]Results!E335</f>
        <v>CF_toe_cele_0</v>
      </c>
      <c r="C465" s="6">
        <f>[1]Results!F335</f>
        <v>37.992390450000002</v>
      </c>
      <c r="D465" s="6">
        <f>[1]Results!G335</f>
        <v>38.276743850000003</v>
      </c>
      <c r="E465" s="6">
        <f>[1]Results!H335</f>
        <v>38.530684659999999</v>
      </c>
      <c r="F465" s="6">
        <f>[1]Results!I335</f>
        <v>38.797107580000002</v>
      </c>
      <c r="G465" s="6">
        <f>[1]Results!J335</f>
        <v>39.089575850000003</v>
      </c>
      <c r="H465" s="6">
        <f>[1]Results!K335</f>
        <v>39.41854953</v>
      </c>
      <c r="I465" s="6">
        <f>[1]Results!L335</f>
        <v>39.764851970000002</v>
      </c>
      <c r="J465" s="6">
        <f>[1]Results!M335</f>
        <v>40.133085770000001</v>
      </c>
      <c r="K465" s="6">
        <f>[1]Results!N335</f>
        <v>40.519239079999998</v>
      </c>
      <c r="L465" s="6">
        <f>[1]Results!O335</f>
        <v>40.918433100000001</v>
      </c>
      <c r="M465" s="6">
        <f>[1]Results!P335</f>
        <v>41.360046439999998</v>
      </c>
      <c r="N465" s="6">
        <f>[1]Results!Q335</f>
        <v>41.789856239999999</v>
      </c>
      <c r="O465" s="6">
        <f>[1]Results!R335</f>
        <v>42.21893962</v>
      </c>
      <c r="P465" s="6">
        <f>[1]Results!S335</f>
        <v>42.649196600000003</v>
      </c>
      <c r="Q465" s="6">
        <f>[1]Results!T335</f>
        <v>43.080938500000002</v>
      </c>
      <c r="R465" s="6">
        <f>[1]Results!U335</f>
        <v>43.514363170000003</v>
      </c>
      <c r="S465" s="6">
        <f>[1]Results!V335</f>
        <v>43.949823139999999</v>
      </c>
      <c r="T465" s="6">
        <f>[1]Results!W335</f>
        <v>44.387842900000003</v>
      </c>
      <c r="U465" s="6">
        <f>[1]Results!X335</f>
        <v>44.829082380000003</v>
      </c>
      <c r="V465" s="6">
        <f>[1]Results!Y335</f>
        <v>45.274291040000001</v>
      </c>
      <c r="W465" s="6">
        <f>[1]Results!Z335</f>
        <v>45.700009199999997</v>
      </c>
      <c r="X465" s="6">
        <f>[1]Results!AA335</f>
        <v>46.144843620000003</v>
      </c>
      <c r="Y465" s="6">
        <f>[1]Results!AB335</f>
        <v>46.600240380000002</v>
      </c>
      <c r="Z465" s="6">
        <f>[1]Results!AC335</f>
        <v>47.064854560000001</v>
      </c>
      <c r="AA465" s="6">
        <f>[1]Results!AD335</f>
        <v>47.538761239999999</v>
      </c>
      <c r="AB465" s="6">
        <f>[1]Results!AE335</f>
        <v>47.952820330000002</v>
      </c>
      <c r="AC465" s="6">
        <f>[1]Results!AF335</f>
        <v>48.382597920000002</v>
      </c>
      <c r="AD465" s="6">
        <f>[1]Results!AG335</f>
        <v>48.819584079999998</v>
      </c>
      <c r="AE465" s="6">
        <f>[1]Results!AH335</f>
        <v>49.263543329999997</v>
      </c>
      <c r="AF465" s="6">
        <f>[1]Results!AI335</f>
        <v>49.71563201</v>
      </c>
      <c r="AG465" s="6">
        <f>[1]Results!AJ335</f>
        <v>50.177029089999998</v>
      </c>
      <c r="AH465" s="6">
        <f>[1]Results!AK335</f>
        <v>50.648656180000003</v>
      </c>
      <c r="AI465" s="6">
        <f>[1]Results!AL335</f>
        <v>51.131139640000001</v>
      </c>
      <c r="AJ465" s="6">
        <f>[1]Results!AM335</f>
        <v>51.624838160000003</v>
      </c>
      <c r="AK465" s="6">
        <f>[1]Results!AN335</f>
        <v>52.129891000000001</v>
      </c>
      <c r="AL465" s="6">
        <f>[1]Results!AO335</f>
        <v>52.646271550000002</v>
      </c>
      <c r="AM465" s="6">
        <f>[1]Results!AP335</f>
        <v>53.157286259999999</v>
      </c>
      <c r="AN465" s="6">
        <f>[1]Results!AQ335</f>
        <v>53.671763110000001</v>
      </c>
      <c r="AO465" s="6">
        <f>[1]Results!AR335</f>
        <v>54.192208170000001</v>
      </c>
      <c r="AP465" s="6">
        <f>[1]Results!AS335</f>
        <v>54.719747689999998</v>
      </c>
      <c r="AQ465" s="6">
        <f>[1]Results!AT335</f>
        <v>55.255125870000001</v>
      </c>
      <c r="AR465" s="6">
        <f>[1]Results!AU335</f>
        <v>55.798907479999997</v>
      </c>
      <c r="AS465" s="6">
        <f>[1]Results!AV335</f>
        <v>56.351518640000002</v>
      </c>
      <c r="AT465" s="6">
        <f>[1]Results!AW335</f>
        <v>56.91326188</v>
      </c>
      <c r="AU465" s="6">
        <f>[1]Results!AX335</f>
        <v>57.484299720000003</v>
      </c>
      <c r="AV465" s="6">
        <f>[1]Results!AY335</f>
        <v>58.064578019999999</v>
      </c>
      <c r="AW465" s="6">
        <f>[1]Results!AZ335</f>
        <v>58.654896819999998</v>
      </c>
      <c r="AX465" s="6">
        <f>[1]Results!BA335</f>
        <v>59.254107259999998</v>
      </c>
      <c r="AY465" s="6">
        <f>[1]Results!BB335</f>
        <v>59.861396560000003</v>
      </c>
      <c r="AZ465" s="6">
        <f>[1]Results!BC335</f>
        <v>60.477901770000003</v>
      </c>
      <c r="BA465" s="6">
        <f>[1]Results!BD335</f>
        <v>61.104611380000001</v>
      </c>
      <c r="BB465" s="6">
        <f>[1]Results!BE335</f>
        <v>65.412551059999998</v>
      </c>
      <c r="BC465" s="6">
        <f>[1]Results!BF335</f>
        <v>66.296898889999994</v>
      </c>
      <c r="BD465" s="6">
        <f>[1]Results!BG335</f>
        <v>67.196138849999997</v>
      </c>
      <c r="BE465" s="6">
        <f>[1]Results!BH335</f>
        <v>68.110568479999998</v>
      </c>
      <c r="BF465" s="6">
        <f>[1]Results!BI335</f>
        <v>69.040456840000004</v>
      </c>
    </row>
    <row r="466" spans="1:58" x14ac:dyDescent="0.35">
      <c r="B466" s="6" t="s">
        <v>75</v>
      </c>
      <c r="C466" s="6">
        <f>SUM(C467:C469)</f>
        <v>22.078645743999999</v>
      </c>
      <c r="D466" s="6">
        <f t="shared" ref="D466:AL466" si="278">SUM(D467:D469)</f>
        <v>22.270430365999999</v>
      </c>
      <c r="E466" s="6">
        <f t="shared" si="278"/>
        <v>22.456198661999998</v>
      </c>
      <c r="F466" s="6">
        <f t="shared" si="278"/>
        <v>22.649220161999999</v>
      </c>
      <c r="G466" s="6">
        <f t="shared" si="278"/>
        <v>22.853726761000001</v>
      </c>
      <c r="H466" s="6">
        <f t="shared" si="278"/>
        <v>23.067920970999999</v>
      </c>
      <c r="I466" s="6">
        <f t="shared" si="278"/>
        <v>23.277889724000001</v>
      </c>
      <c r="J466" s="6">
        <f t="shared" si="278"/>
        <v>23.492637008999999</v>
      </c>
      <c r="K466" s="6">
        <f t="shared" si="278"/>
        <v>23.713659592999999</v>
      </c>
      <c r="L466" s="6">
        <f t="shared" si="278"/>
        <v>23.940446156</v>
      </c>
      <c r="M466" s="6">
        <f t="shared" si="278"/>
        <v>24.197038359</v>
      </c>
      <c r="N466" s="6">
        <f t="shared" si="278"/>
        <v>24.441766017999999</v>
      </c>
      <c r="O466" s="6">
        <f t="shared" si="278"/>
        <v>24.685427838999999</v>
      </c>
      <c r="P466" s="6">
        <f t="shared" si="278"/>
        <v>24.930408024000002</v>
      </c>
      <c r="Q466" s="6">
        <f t="shared" si="278"/>
        <v>25.177385686000001</v>
      </c>
      <c r="R466" s="6">
        <f t="shared" si="278"/>
        <v>25.426656571000002</v>
      </c>
      <c r="S466" s="6">
        <f t="shared" si="278"/>
        <v>25.678449077</v>
      </c>
      <c r="T466" s="6">
        <f t="shared" si="278"/>
        <v>25.933005942000001</v>
      </c>
      <c r="U466" s="6">
        <f t="shared" si="278"/>
        <v>26.190597269000001</v>
      </c>
      <c r="V466" s="6">
        <f t="shared" si="278"/>
        <v>26.451512133000001</v>
      </c>
      <c r="W466" s="6">
        <f t="shared" si="278"/>
        <v>26.69826582</v>
      </c>
      <c r="X466" s="6">
        <f t="shared" si="278"/>
        <v>26.96039279</v>
      </c>
      <c r="Y466" s="6">
        <f t="shared" si="278"/>
        <v>27.229960540999997</v>
      </c>
      <c r="Z466" s="6">
        <f t="shared" si="278"/>
        <v>27.505289304000001</v>
      </c>
      <c r="AA466" s="6">
        <f t="shared" si="278"/>
        <v>27.785996922999999</v>
      </c>
      <c r="AB466" s="6">
        <f t="shared" si="278"/>
        <v>28.021588364999999</v>
      </c>
      <c r="AC466" s="6">
        <f t="shared" si="278"/>
        <v>28.271214241999999</v>
      </c>
      <c r="AD466" s="6">
        <f t="shared" si="278"/>
        <v>28.526711648999999</v>
      </c>
      <c r="AE466" s="6">
        <f t="shared" si="278"/>
        <v>28.786944274</v>
      </c>
      <c r="AF466" s="6">
        <f t="shared" si="278"/>
        <v>29.051958515999999</v>
      </c>
      <c r="AG466" s="6">
        <f t="shared" si="278"/>
        <v>29.321994840999999</v>
      </c>
      <c r="AH466" s="6">
        <f t="shared" si="278"/>
        <v>29.597269286</v>
      </c>
      <c r="AI466" s="6">
        <f t="shared" si="278"/>
        <v>29.877922640000001</v>
      </c>
      <c r="AJ466" s="6">
        <f t="shared" si="278"/>
        <v>30.164016973000003</v>
      </c>
      <c r="AK466" s="6">
        <f t="shared" si="278"/>
        <v>30.455549133000002</v>
      </c>
      <c r="AL466" s="6">
        <f t="shared" si="278"/>
        <v>30.752469728999998</v>
      </c>
      <c r="AM466" s="6">
        <f t="shared" ref="AM466:BC466" si="279">SUM(AM467:AM469)</f>
        <v>31.042924529</v>
      </c>
      <c r="AN466" s="6">
        <f t="shared" si="279"/>
        <v>31.334349989</v>
      </c>
      <c r="AO466" s="6">
        <f t="shared" si="279"/>
        <v>31.628731422999998</v>
      </c>
      <c r="AP466" s="6">
        <f t="shared" si="279"/>
        <v>31.926835541999999</v>
      </c>
      <c r="AQ466" s="6">
        <f t="shared" si="279"/>
        <v>32.229077478000001</v>
      </c>
      <c r="AR466" s="6">
        <f t="shared" si="279"/>
        <v>32.535742948999996</v>
      </c>
      <c r="AS466" s="6">
        <f t="shared" si="279"/>
        <v>32.847058611999998</v>
      </c>
      <c r="AT466" s="6">
        <f t="shared" si="279"/>
        <v>33.163218755000003</v>
      </c>
      <c r="AU466" s="6">
        <f t="shared" si="279"/>
        <v>33.484404089999998</v>
      </c>
      <c r="AV466" s="6">
        <f t="shared" si="279"/>
        <v>33.810801519000002</v>
      </c>
      <c r="AW466" s="6">
        <f t="shared" si="279"/>
        <v>34.143586991999996</v>
      </c>
      <c r="AX466" s="6">
        <f t="shared" si="279"/>
        <v>34.479454218000001</v>
      </c>
      <c r="AY466" s="6">
        <f t="shared" si="279"/>
        <v>34.818111418000001</v>
      </c>
      <c r="AZ466" s="6">
        <f t="shared" si="279"/>
        <v>35.160043391000002</v>
      </c>
      <c r="BA466" s="6">
        <f t="shared" si="279"/>
        <v>35.505885703999994</v>
      </c>
      <c r="BB466" s="6">
        <f t="shared" si="279"/>
        <v>38.172249958999998</v>
      </c>
      <c r="BC466" s="6">
        <f t="shared" si="279"/>
        <v>38.673320986</v>
      </c>
      <c r="BD466" s="6">
        <f t="shared" ref="BD466:BF466" si="280">SUM(BD467:BD469)</f>
        <v>39.182884635000008</v>
      </c>
      <c r="BE466" s="6">
        <f t="shared" si="280"/>
        <v>39.701131445000001</v>
      </c>
      <c r="BF466" s="6">
        <f t="shared" si="280"/>
        <v>40.228225399999999</v>
      </c>
    </row>
    <row r="467" spans="1:58" x14ac:dyDescent="0.35">
      <c r="B467" s="6" t="str">
        <f>[1]Results!E345</f>
        <v>CF_toe_chea_0</v>
      </c>
      <c r="C467" s="6">
        <f>[1]Results!F345</f>
        <v>5.141788762</v>
      </c>
      <c r="D467" s="6">
        <f>[1]Results!G345</f>
        <v>5.2038577220000004</v>
      </c>
      <c r="E467" s="6">
        <f>[1]Results!H345</f>
        <v>5.272784723</v>
      </c>
      <c r="F467" s="6">
        <f>[1]Results!I345</f>
        <v>5.3464468930000004</v>
      </c>
      <c r="G467" s="6">
        <f>[1]Results!J345</f>
        <v>5.4244187999999998</v>
      </c>
      <c r="H467" s="6">
        <f>[1]Results!K345</f>
        <v>5.4986044400000003</v>
      </c>
      <c r="I467" s="6">
        <f>[1]Results!L345</f>
        <v>5.5637983780000004</v>
      </c>
      <c r="J467" s="6">
        <f>[1]Results!M345</f>
        <v>5.6246720750000003</v>
      </c>
      <c r="K467" s="6">
        <f>[1]Results!N345</f>
        <v>5.6838613010000003</v>
      </c>
      <c r="L467" s="6">
        <f>[1]Results!O345</f>
        <v>5.7427184279999999</v>
      </c>
      <c r="M467" s="6">
        <f>[1]Results!P345</f>
        <v>5.8100617000000003</v>
      </c>
      <c r="N467" s="6">
        <f>[1]Results!Q345</f>
        <v>5.8729795730000003</v>
      </c>
      <c r="O467" s="6">
        <f>[1]Results!R345</f>
        <v>5.9345829759999997</v>
      </c>
      <c r="P467" s="6">
        <f>[1]Results!S345</f>
        <v>5.9959336820000004</v>
      </c>
      <c r="Q467" s="6">
        <f>[1]Results!T345</f>
        <v>6.0574305170000002</v>
      </c>
      <c r="R467" s="6">
        <f>[1]Results!U345</f>
        <v>6.1192295520000002</v>
      </c>
      <c r="S467" s="6">
        <f>[1]Results!V345</f>
        <v>6.1813978890000003</v>
      </c>
      <c r="T467" s="6">
        <f>[1]Results!W345</f>
        <v>6.243974658</v>
      </c>
      <c r="U467" s="6">
        <f>[1]Results!X345</f>
        <v>6.3069944580000001</v>
      </c>
      <c r="V467" s="6">
        <f>[1]Results!Y345</f>
        <v>6.3704948010000004</v>
      </c>
      <c r="W467" s="6">
        <f>[1]Results!Z345</f>
        <v>6.428866867</v>
      </c>
      <c r="X467" s="6">
        <f>[1]Results!AA345</f>
        <v>6.4912065459999999</v>
      </c>
      <c r="Y467" s="6">
        <f>[1]Results!AB345</f>
        <v>6.5554274939999999</v>
      </c>
      <c r="Z467" s="6">
        <f>[1]Results!AC345</f>
        <v>6.6208421409999998</v>
      </c>
      <c r="AA467" s="6">
        <f>[1]Results!AD345</f>
        <v>6.6872012920000001</v>
      </c>
      <c r="AB467" s="6">
        <f>[1]Results!AE345</f>
        <v>6.7386793650000003</v>
      </c>
      <c r="AC467" s="6">
        <f>[1]Results!AF345</f>
        <v>6.7930564240000004</v>
      </c>
      <c r="AD467" s="6">
        <f>[1]Results!AG345</f>
        <v>6.8487940189999996</v>
      </c>
      <c r="AE467" s="6">
        <f>[1]Results!AH345</f>
        <v>6.9055177780000001</v>
      </c>
      <c r="AF467" s="6">
        <f>[1]Results!AI345</f>
        <v>6.9631214080000001</v>
      </c>
      <c r="AG467" s="6">
        <f>[1]Results!AJ345</f>
        <v>7.0215933350000004</v>
      </c>
      <c r="AH467" s="6">
        <f>[1]Results!AK345</f>
        <v>7.0809498959999999</v>
      </c>
      <c r="AI467" s="6">
        <f>[1]Results!AL345</f>
        <v>7.1412105029999999</v>
      </c>
      <c r="AJ467" s="6">
        <f>[1]Results!AM345</f>
        <v>7.2023887459999996</v>
      </c>
      <c r="AK467" s="6">
        <f>[1]Results!AN345</f>
        <v>7.2644906750000002</v>
      </c>
      <c r="AL467" s="6">
        <f>[1]Results!AO345</f>
        <v>7.3275163059999997</v>
      </c>
      <c r="AM467" s="6">
        <f>[1]Results!AP345</f>
        <v>7.3879446199999999</v>
      </c>
      <c r="AN467" s="6">
        <f>[1]Results!AQ345</f>
        <v>7.4478828510000001</v>
      </c>
      <c r="AO467" s="6">
        <f>[1]Results!AR345</f>
        <v>7.508100132</v>
      </c>
      <c r="AP467" s="6">
        <f>[1]Results!AS345</f>
        <v>7.5689293930000003</v>
      </c>
      <c r="AQ467" s="6">
        <f>[1]Results!AT345</f>
        <v>7.6305427379999999</v>
      </c>
      <c r="AR467" s="6">
        <f>[1]Results!AU345</f>
        <v>7.6930537110000001</v>
      </c>
      <c r="AS467" s="6">
        <f>[1]Results!AV345</f>
        <v>7.756562143</v>
      </c>
      <c r="AT467" s="6">
        <f>[1]Results!AW345</f>
        <v>7.8211815180000004</v>
      </c>
      <c r="AU467" s="6">
        <f>[1]Results!AX345</f>
        <v>7.8870720509999996</v>
      </c>
      <c r="AV467" s="6">
        <f>[1]Results!AY345</f>
        <v>7.9545176590000004</v>
      </c>
      <c r="AW467" s="6">
        <f>[1]Results!AZ345</f>
        <v>8.0245124790000002</v>
      </c>
      <c r="AX467" s="6">
        <f>[1]Results!BA345</f>
        <v>8.0941612329999995</v>
      </c>
      <c r="AY467" s="6">
        <f>[1]Results!BB345</f>
        <v>8.1630872340000007</v>
      </c>
      <c r="AZ467" s="6">
        <f>[1]Results!BC345</f>
        <v>8.2315349990000009</v>
      </c>
      <c r="BA467" s="6">
        <f>[1]Results!BD345</f>
        <v>8.2999359869999996</v>
      </c>
      <c r="BB467" s="6">
        <f>[1]Results!BE345</f>
        <v>8.8248155520000005</v>
      </c>
      <c r="BC467" s="6">
        <f>[1]Results!BF345</f>
        <v>8.9214467200000005</v>
      </c>
      <c r="BD467" s="6">
        <f>[1]Results!BG345</f>
        <v>9.0193785480000006</v>
      </c>
      <c r="BE467" s="6">
        <f>[1]Results!BH345</f>
        <v>9.1186607859999995</v>
      </c>
      <c r="BF467" s="6">
        <f>[1]Results!BI345</f>
        <v>9.2193318049999995</v>
      </c>
    </row>
    <row r="468" spans="1:58" x14ac:dyDescent="0.35">
      <c r="B468" s="6" t="str">
        <f>[1]Results!E347</f>
        <v>CF_toe_cbio_0</v>
      </c>
      <c r="C468" s="6">
        <f>[1]Results!F347</f>
        <v>8.2066322189999994</v>
      </c>
      <c r="D468" s="6">
        <f>[1]Results!G347</f>
        <v>8.2272731690000001</v>
      </c>
      <c r="E468" s="6">
        <f>[1]Results!H347</f>
        <v>8.2228348679999996</v>
      </c>
      <c r="F468" s="6">
        <f>[1]Results!I347</f>
        <v>8.2111086899999997</v>
      </c>
      <c r="G468" s="6">
        <f>[1]Results!J347</f>
        <v>8.1980360660000002</v>
      </c>
      <c r="H468" s="6">
        <f>[1]Results!K347</f>
        <v>8.1912228660000004</v>
      </c>
      <c r="I468" s="6">
        <f>[1]Results!L347</f>
        <v>8.1896895779999994</v>
      </c>
      <c r="J468" s="6">
        <f>[1]Results!M347</f>
        <v>8.1943002329999999</v>
      </c>
      <c r="K468" s="6">
        <f>[1]Results!N347</f>
        <v>8.2038736369999992</v>
      </c>
      <c r="L468" s="6">
        <f>[1]Results!O347</f>
        <v>8.2169014300000001</v>
      </c>
      <c r="M468" s="6">
        <f>[1]Results!P347</f>
        <v>8.2375590790000004</v>
      </c>
      <c r="N468" s="6">
        <f>[1]Results!Q347</f>
        <v>8.2567148049999997</v>
      </c>
      <c r="O468" s="6">
        <f>[1]Results!R347</f>
        <v>8.2757272929999992</v>
      </c>
      <c r="P468" s="6">
        <f>[1]Results!S347</f>
        <v>8.2949545019999995</v>
      </c>
      <c r="Q468" s="6">
        <f>[1]Results!T347</f>
        <v>8.3144870189999995</v>
      </c>
      <c r="R468" s="6">
        <f>[1]Results!U347</f>
        <v>8.334349499</v>
      </c>
      <c r="S468" s="6">
        <f>[1]Results!V347</f>
        <v>8.3545609180000007</v>
      </c>
      <c r="T468" s="6">
        <f>[1]Results!W347</f>
        <v>8.3751510539999998</v>
      </c>
      <c r="U468" s="6">
        <f>[1]Results!X347</f>
        <v>8.3961620410000002</v>
      </c>
      <c r="V468" s="6">
        <f>[1]Results!Y347</f>
        <v>8.4176450819999999</v>
      </c>
      <c r="W468" s="6">
        <f>[1]Results!Z347</f>
        <v>8.4359666729999994</v>
      </c>
      <c r="X468" s="6">
        <f>[1]Results!AA347</f>
        <v>8.4569724040000001</v>
      </c>
      <c r="Y468" s="6">
        <f>[1]Results!AB347</f>
        <v>8.4794335669999992</v>
      </c>
      <c r="Z468" s="6">
        <f>[1]Results!AC347</f>
        <v>8.502958993</v>
      </c>
      <c r="AA468" s="6">
        <f>[1]Results!AD347</f>
        <v>8.5274204509999993</v>
      </c>
      <c r="AB468" s="6">
        <f>[1]Results!AE347</f>
        <v>8.54247522</v>
      </c>
      <c r="AC468" s="6">
        <f>[1]Results!AF347</f>
        <v>8.5594170680000001</v>
      </c>
      <c r="AD468" s="6">
        <f>[1]Results!AG347</f>
        <v>8.5773863699999993</v>
      </c>
      <c r="AE468" s="6">
        <f>[1]Results!AH347</f>
        <v>8.5962145159999999</v>
      </c>
      <c r="AF468" s="6">
        <f>[1]Results!AI347</f>
        <v>8.6159032379999996</v>
      </c>
      <c r="AG468" s="6">
        <f>[1]Results!AJ347</f>
        <v>8.6364932060000008</v>
      </c>
      <c r="AH468" s="6">
        <f>[1]Results!AK347</f>
        <v>8.6580247000000004</v>
      </c>
      <c r="AI468" s="6">
        <f>[1]Results!AL347</f>
        <v>8.6805255270000004</v>
      </c>
      <c r="AJ468" s="6">
        <f>[1]Results!AM347</f>
        <v>8.7040090069999998</v>
      </c>
      <c r="AK468" s="6">
        <f>[1]Results!AN347</f>
        <v>8.7284760380000002</v>
      </c>
      <c r="AL468" s="6">
        <f>[1]Results!AO347</f>
        <v>8.7539185530000001</v>
      </c>
      <c r="AM468" s="6">
        <f>[1]Results!AP347</f>
        <v>8.7779995290000006</v>
      </c>
      <c r="AN468" s="6">
        <f>[1]Results!AQ347</f>
        <v>8.8020075680000005</v>
      </c>
      <c r="AO468" s="6">
        <f>[1]Results!AR347</f>
        <v>8.8264244010000006</v>
      </c>
      <c r="AP468" s="6">
        <f>[1]Results!AS347</f>
        <v>8.8514642989999999</v>
      </c>
      <c r="AQ468" s="6">
        <f>[1]Results!AT347</f>
        <v>8.8772394200000004</v>
      </c>
      <c r="AR468" s="6">
        <f>[1]Results!AU347</f>
        <v>8.9038170179999998</v>
      </c>
      <c r="AS468" s="6">
        <f>[1]Results!AV347</f>
        <v>8.9312390990000008</v>
      </c>
      <c r="AT468" s="6">
        <f>[1]Results!AW347</f>
        <v>8.959522497</v>
      </c>
      <c r="AU468" s="6">
        <f>[1]Results!AX347</f>
        <v>8.9886435290000009</v>
      </c>
      <c r="AV468" s="6">
        <f>[1]Results!AY347</f>
        <v>9.01847727</v>
      </c>
      <c r="AW468" s="6">
        <f>[1]Results!AZ347</f>
        <v>9.0486459230000005</v>
      </c>
      <c r="AX468" s="6">
        <f>[1]Results!BA347</f>
        <v>9.0791001849999997</v>
      </c>
      <c r="AY468" s="6">
        <f>[1]Results!BB347</f>
        <v>9.1099881640000007</v>
      </c>
      <c r="AZ468" s="6">
        <f>[1]Results!BC347</f>
        <v>9.1415747720000002</v>
      </c>
      <c r="BA468" s="6">
        <f>[1]Results!BD347</f>
        <v>9.1740776069999992</v>
      </c>
      <c r="BB468" s="6">
        <f>[1]Results!BE347</f>
        <v>9.484807537</v>
      </c>
      <c r="BC468" s="6">
        <f>[1]Results!BF347</f>
        <v>9.5424931760000007</v>
      </c>
      <c r="BD468" s="6">
        <f>[1]Results!BG347</f>
        <v>9.6013940170000005</v>
      </c>
      <c r="BE468" s="6">
        <f>[1]Results!BH347</f>
        <v>9.6615604289999997</v>
      </c>
      <c r="BF468" s="6">
        <f>[1]Results!BI347</f>
        <v>9.7230260650000009</v>
      </c>
    </row>
    <row r="469" spans="1:58" x14ac:dyDescent="0.35">
      <c r="B469" s="6" t="str">
        <f>[1]Results!E350</f>
        <v>CF_toe_cote_0</v>
      </c>
      <c r="C469" s="6">
        <f>[1]Results!F350</f>
        <v>8.7302247630000007</v>
      </c>
      <c r="D469" s="6">
        <f>[1]Results!G350</f>
        <v>8.8392994750000007</v>
      </c>
      <c r="E469" s="6">
        <f>[1]Results!H350</f>
        <v>8.9605790709999997</v>
      </c>
      <c r="F469" s="6">
        <f>[1]Results!I350</f>
        <v>9.0916645789999997</v>
      </c>
      <c r="G469" s="6">
        <f>[1]Results!J350</f>
        <v>9.2312718950000008</v>
      </c>
      <c r="H469" s="6">
        <f>[1]Results!K350</f>
        <v>9.3780936649999997</v>
      </c>
      <c r="I469" s="6">
        <f>[1]Results!L350</f>
        <v>9.5244017680000006</v>
      </c>
      <c r="J469" s="6">
        <f>[1]Results!M350</f>
        <v>9.6736647009999999</v>
      </c>
      <c r="K469" s="6">
        <f>[1]Results!N350</f>
        <v>9.8259246549999997</v>
      </c>
      <c r="L469" s="6">
        <f>[1]Results!O350</f>
        <v>9.9808262980000002</v>
      </c>
      <c r="M469" s="6">
        <f>[1]Results!P350</f>
        <v>10.14941758</v>
      </c>
      <c r="N469" s="6">
        <f>[1]Results!Q350</f>
        <v>10.312071639999999</v>
      </c>
      <c r="O469" s="6">
        <f>[1]Results!R350</f>
        <v>10.47511757</v>
      </c>
      <c r="P469" s="6">
        <f>[1]Results!S350</f>
        <v>10.63951984</v>
      </c>
      <c r="Q469" s="6">
        <f>[1]Results!T350</f>
        <v>10.805468149999999</v>
      </c>
      <c r="R469" s="6">
        <f>[1]Results!U350</f>
        <v>10.97307752</v>
      </c>
      <c r="S469" s="6">
        <f>[1]Results!V350</f>
        <v>11.14249027</v>
      </c>
      <c r="T469" s="6">
        <f>[1]Results!W350</f>
        <v>11.313880230000001</v>
      </c>
      <c r="U469" s="6">
        <f>[1]Results!X350</f>
        <v>11.487440769999999</v>
      </c>
      <c r="V469" s="6">
        <f>[1]Results!Y350</f>
        <v>11.66337225</v>
      </c>
      <c r="W469" s="6">
        <f>[1]Results!Z350</f>
        <v>11.83343228</v>
      </c>
      <c r="X469" s="6">
        <f>[1]Results!AA350</f>
        <v>12.012213839999999</v>
      </c>
      <c r="Y469" s="6">
        <f>[1]Results!AB350</f>
        <v>12.19509948</v>
      </c>
      <c r="Z469" s="6">
        <f>[1]Results!AC350</f>
        <v>12.381488170000001</v>
      </c>
      <c r="AA469" s="6">
        <f>[1]Results!AD350</f>
        <v>12.57137518</v>
      </c>
      <c r="AB469" s="6">
        <f>[1]Results!AE350</f>
        <v>12.74043378</v>
      </c>
      <c r="AC469" s="6">
        <f>[1]Results!AF350</f>
        <v>12.91874075</v>
      </c>
      <c r="AD469" s="6">
        <f>[1]Results!AG350</f>
        <v>13.10053126</v>
      </c>
      <c r="AE469" s="6">
        <f>[1]Results!AH350</f>
        <v>13.28521198</v>
      </c>
      <c r="AF469" s="6">
        <f>[1]Results!AI350</f>
        <v>13.47293387</v>
      </c>
      <c r="AG469" s="6">
        <f>[1]Results!AJ350</f>
        <v>13.663908299999999</v>
      </c>
      <c r="AH469" s="6">
        <f>[1]Results!AK350</f>
        <v>13.858294689999999</v>
      </c>
      <c r="AI469" s="6">
        <f>[1]Results!AL350</f>
        <v>14.056186609999999</v>
      </c>
      <c r="AJ469" s="6">
        <f>[1]Results!AM350</f>
        <v>14.25761922</v>
      </c>
      <c r="AK469" s="6">
        <f>[1]Results!AN350</f>
        <v>14.46258242</v>
      </c>
      <c r="AL469" s="6">
        <f>[1]Results!AO350</f>
        <v>14.67103487</v>
      </c>
      <c r="AM469" s="6">
        <f>[1]Results!AP350</f>
        <v>14.876980379999999</v>
      </c>
      <c r="AN469" s="6">
        <f>[1]Results!AQ350</f>
        <v>15.08445957</v>
      </c>
      <c r="AO469" s="6">
        <f>[1]Results!AR350</f>
        <v>15.29420689</v>
      </c>
      <c r="AP469" s="6">
        <f>[1]Results!AS350</f>
        <v>15.50644185</v>
      </c>
      <c r="AQ469" s="6">
        <f>[1]Results!AT350</f>
        <v>15.721295319999999</v>
      </c>
      <c r="AR469" s="6">
        <f>[1]Results!AU350</f>
        <v>15.93887222</v>
      </c>
      <c r="AS469" s="6">
        <f>[1]Results!AV350</f>
        <v>16.159257369999999</v>
      </c>
      <c r="AT469" s="6">
        <f>[1]Results!AW350</f>
        <v>16.382514740000001</v>
      </c>
      <c r="AU469" s="6">
        <f>[1]Results!AX350</f>
        <v>16.60868851</v>
      </c>
      <c r="AV469" s="6">
        <f>[1]Results!AY350</f>
        <v>16.83780659</v>
      </c>
      <c r="AW469" s="6">
        <f>[1]Results!AZ350</f>
        <v>17.070428589999999</v>
      </c>
      <c r="AX469" s="6">
        <f>[1]Results!BA350</f>
        <v>17.306192800000002</v>
      </c>
      <c r="AY469" s="6">
        <f>[1]Results!BB350</f>
        <v>17.545036020000001</v>
      </c>
      <c r="AZ469" s="6">
        <f>[1]Results!BC350</f>
        <v>17.786933619999999</v>
      </c>
      <c r="BA469" s="6">
        <f>[1]Results!BD350</f>
        <v>18.031872109999998</v>
      </c>
      <c r="BB469" s="6">
        <f>[1]Results!BE350</f>
        <v>19.86262687</v>
      </c>
      <c r="BC469" s="6">
        <f>[1]Results!BF350</f>
        <v>20.209381090000001</v>
      </c>
      <c r="BD469" s="6">
        <f>[1]Results!BG350</f>
        <v>20.562112070000001</v>
      </c>
      <c r="BE469" s="6">
        <f>[1]Results!BH350</f>
        <v>20.92091023</v>
      </c>
      <c r="BF469" s="6">
        <f>[1]Results!BI350</f>
        <v>21.285867530000001</v>
      </c>
    </row>
    <row r="471" spans="1:58" x14ac:dyDescent="0.35">
      <c r="C471" s="2">
        <v>42005</v>
      </c>
      <c r="D471" s="2">
        <v>42370</v>
      </c>
      <c r="E471" s="2">
        <v>42736</v>
      </c>
      <c r="F471" s="2">
        <v>43101</v>
      </c>
      <c r="G471" s="2">
        <v>43466</v>
      </c>
      <c r="H471" s="2">
        <v>43831</v>
      </c>
      <c r="I471" s="2">
        <v>44197</v>
      </c>
      <c r="J471" s="2">
        <v>44562</v>
      </c>
      <c r="K471" s="2">
        <v>44927</v>
      </c>
      <c r="L471" s="2">
        <v>45292</v>
      </c>
      <c r="M471" s="2">
        <v>45658</v>
      </c>
      <c r="N471" s="2">
        <v>46023</v>
      </c>
      <c r="O471" s="2">
        <v>46388</v>
      </c>
      <c r="P471" s="2">
        <v>46753</v>
      </c>
      <c r="Q471" s="2">
        <v>47119</v>
      </c>
      <c r="R471" s="2">
        <v>47484</v>
      </c>
      <c r="S471" s="2">
        <v>47849</v>
      </c>
      <c r="T471" s="2">
        <v>48214</v>
      </c>
      <c r="U471" s="2">
        <v>48580</v>
      </c>
      <c r="V471" s="2">
        <v>48945</v>
      </c>
      <c r="W471" s="2">
        <v>49310</v>
      </c>
      <c r="X471" s="2">
        <v>49675</v>
      </c>
      <c r="Y471" s="2">
        <v>50041</v>
      </c>
      <c r="Z471" s="2">
        <v>50406</v>
      </c>
      <c r="AA471" s="2">
        <v>50771</v>
      </c>
      <c r="AB471" s="2">
        <v>51136</v>
      </c>
      <c r="AC471" s="2">
        <v>51502</v>
      </c>
      <c r="AD471" s="2">
        <v>51867</v>
      </c>
      <c r="AE471" s="2">
        <v>52232</v>
      </c>
      <c r="AF471" s="2">
        <v>52597</v>
      </c>
      <c r="AG471" s="2">
        <v>52963</v>
      </c>
      <c r="AH471" s="2">
        <v>53328</v>
      </c>
      <c r="AI471" s="2">
        <v>53693</v>
      </c>
      <c r="AJ471" s="2">
        <v>54058</v>
      </c>
      <c r="AK471" s="2">
        <v>54424</v>
      </c>
      <c r="AL471" s="2">
        <v>54789</v>
      </c>
      <c r="AM471" s="2">
        <v>54790</v>
      </c>
      <c r="AN471" s="2">
        <v>54791</v>
      </c>
      <c r="AO471" s="2">
        <v>54792</v>
      </c>
      <c r="AP471" s="2">
        <v>54793</v>
      </c>
      <c r="AQ471" s="2">
        <v>54794</v>
      </c>
      <c r="AR471" s="2">
        <v>54795</v>
      </c>
      <c r="AS471" s="2">
        <v>54796</v>
      </c>
      <c r="AT471" s="2">
        <v>54797</v>
      </c>
      <c r="AU471" s="2">
        <v>54798</v>
      </c>
      <c r="AV471" s="2">
        <v>54799</v>
      </c>
      <c r="AW471" s="2">
        <v>54800</v>
      </c>
      <c r="AX471" s="2">
        <v>54801</v>
      </c>
      <c r="AY471" s="2">
        <v>54802</v>
      </c>
      <c r="AZ471" s="2">
        <v>54803</v>
      </c>
      <c r="BA471" s="2">
        <v>54804</v>
      </c>
      <c r="BB471" s="2">
        <v>54805</v>
      </c>
      <c r="BC471" s="2">
        <v>54806</v>
      </c>
      <c r="BD471" s="2">
        <v>54807</v>
      </c>
      <c r="BE471" s="2">
        <v>54808</v>
      </c>
      <c r="BF471" s="2">
        <v>54809</v>
      </c>
    </row>
    <row r="472" spans="1:58" x14ac:dyDescent="0.35">
      <c r="A472" s="12" t="s">
        <v>93</v>
      </c>
      <c r="B472" t="s">
        <v>77</v>
      </c>
      <c r="C472" s="4">
        <f>C445/C458-1</f>
        <v>-1.0912494599697786E-2</v>
      </c>
      <c r="D472" s="4">
        <f t="shared" ref="D472:AL472" si="281">D445/D458-1</f>
        <v>-1.4889787661489629E-2</v>
      </c>
      <c r="E472" s="4">
        <f t="shared" si="281"/>
        <v>-1.8212285139361462E-2</v>
      </c>
      <c r="F472" s="4">
        <f t="shared" si="281"/>
        <v>-2.1262822499417022E-2</v>
      </c>
      <c r="G472" s="4">
        <f t="shared" si="281"/>
        <v>-2.3909182181444777E-2</v>
      </c>
      <c r="H472" s="4">
        <f t="shared" si="281"/>
        <v>-2.6260748665972167E-2</v>
      </c>
      <c r="I472" s="4">
        <f t="shared" si="281"/>
        <v>-2.8433211224373922E-2</v>
      </c>
      <c r="J472" s="4">
        <f t="shared" si="281"/>
        <v>-3.0485969837699134E-2</v>
      </c>
      <c r="K472" s="4">
        <f t="shared" si="281"/>
        <v>-3.2475288803146984E-2</v>
      </c>
      <c r="L472" s="4">
        <f t="shared" si="281"/>
        <v>-3.4478068679921647E-2</v>
      </c>
      <c r="M472" s="4">
        <f t="shared" si="281"/>
        <v>-3.7439829805704705E-2</v>
      </c>
      <c r="N472" s="4">
        <f t="shared" si="281"/>
        <v>-3.9322672816125337E-2</v>
      </c>
      <c r="O472" s="4">
        <f t="shared" si="281"/>
        <v>-4.0968079129685919E-2</v>
      </c>
      <c r="P472" s="4">
        <f t="shared" si="281"/>
        <v>-4.2503640409198518E-2</v>
      </c>
      <c r="Q472" s="4">
        <f t="shared" si="281"/>
        <v>-4.3954967846094428E-2</v>
      </c>
      <c r="R472" s="4">
        <f t="shared" si="281"/>
        <v>-4.5336691690351039E-2</v>
      </c>
      <c r="S472" s="4">
        <f t="shared" si="281"/>
        <v>-4.6707187603555855E-2</v>
      </c>
      <c r="T472" s="4">
        <f t="shared" si="281"/>
        <v>-4.8060167262370168E-2</v>
      </c>
      <c r="U472" s="4">
        <f t="shared" si="281"/>
        <v>-4.9404393655209211E-2</v>
      </c>
      <c r="V472" s="4">
        <f t="shared" si="281"/>
        <v>-5.0750525492233245E-2</v>
      </c>
      <c r="W472" s="4">
        <f t="shared" si="281"/>
        <v>-5.2105103415013287E-2</v>
      </c>
      <c r="X472" s="4">
        <f t="shared" si="281"/>
        <v>-5.3479078849408945E-2</v>
      </c>
      <c r="Y472" s="4">
        <f t="shared" si="281"/>
        <v>-5.4872172985526713E-2</v>
      </c>
      <c r="Z472" s="4">
        <f t="shared" si="281"/>
        <v>-5.6285552151164375E-2</v>
      </c>
      <c r="AA472" s="4">
        <f t="shared" si="281"/>
        <v>-5.7718545162500856E-2</v>
      </c>
      <c r="AB472" s="4">
        <f t="shared" si="281"/>
        <v>-5.9162086085930321E-2</v>
      </c>
      <c r="AC472" s="4">
        <f t="shared" si="281"/>
        <v>-6.0608682430536409E-2</v>
      </c>
      <c r="AD472" s="4">
        <f t="shared" si="281"/>
        <v>-6.2057233588729832E-2</v>
      </c>
      <c r="AE472" s="4">
        <f t="shared" si="281"/>
        <v>-6.35055992128708E-2</v>
      </c>
      <c r="AF472" s="4">
        <f t="shared" si="281"/>
        <v>-6.4949586507050072E-2</v>
      </c>
      <c r="AG472" s="4">
        <f t="shared" si="281"/>
        <v>-6.6385328242269948E-2</v>
      </c>
      <c r="AH472" s="4">
        <f t="shared" si="281"/>
        <v>-6.7800090522902368E-2</v>
      </c>
      <c r="AI472" s="4">
        <f t="shared" si="281"/>
        <v>-6.9196218625925399E-2</v>
      </c>
      <c r="AJ472" s="4">
        <f t="shared" si="281"/>
        <v>-7.0573343845027892E-2</v>
      </c>
      <c r="AK472" s="4">
        <f t="shared" si="281"/>
        <v>-7.1930721063681924E-2</v>
      </c>
      <c r="AL472" s="4">
        <f t="shared" si="281"/>
        <v>-7.3267257961168841E-2</v>
      </c>
      <c r="AM472" s="4">
        <f t="shared" ref="AM472:BC472" si="282">AM445/AM458-1</f>
        <v>-7.4497967503274864E-2</v>
      </c>
      <c r="AN472" s="4">
        <f t="shared" si="282"/>
        <v>-7.5671310924338098E-2</v>
      </c>
      <c r="AO472" s="4">
        <f t="shared" si="282"/>
        <v>-7.6800481247154107E-2</v>
      </c>
      <c r="AP472" s="4">
        <f t="shared" si="282"/>
        <v>-7.7891640792335681E-2</v>
      </c>
      <c r="AQ472" s="4">
        <f t="shared" si="282"/>
        <v>-7.8949687152417236E-2</v>
      </c>
      <c r="AR472" s="4">
        <f t="shared" si="282"/>
        <v>-7.9966189758877038E-2</v>
      </c>
      <c r="AS472" s="4">
        <f t="shared" si="282"/>
        <v>-8.0952234099595954E-2</v>
      </c>
      <c r="AT472" s="4">
        <f t="shared" si="282"/>
        <v>-8.1913354093472335E-2</v>
      </c>
      <c r="AU472" s="4">
        <f t="shared" si="282"/>
        <v>-8.2853132340440783E-2</v>
      </c>
      <c r="AV472" s="4">
        <f t="shared" si="282"/>
        <v>-8.3773182522573153E-2</v>
      </c>
      <c r="AW472" s="4">
        <f t="shared" si="282"/>
        <v>-8.4626439308416623E-2</v>
      </c>
      <c r="AX472" s="4">
        <f t="shared" si="282"/>
        <v>-8.5425217744787396E-2</v>
      </c>
      <c r="AY472" s="4">
        <f t="shared" si="282"/>
        <v>-8.6166347229401863E-2</v>
      </c>
      <c r="AZ472" s="4">
        <f t="shared" si="282"/>
        <v>-8.6878449617873388E-2</v>
      </c>
      <c r="BA472" s="4">
        <f t="shared" si="282"/>
        <v>-8.7584159437681275E-2</v>
      </c>
      <c r="BB472" s="4">
        <f t="shared" si="282"/>
        <v>-6.458486285795928E-3</v>
      </c>
      <c r="BC472" s="4">
        <f t="shared" si="282"/>
        <v>-6.4784218630451473E-3</v>
      </c>
      <c r="BD472" s="4">
        <f t="shared" ref="BD472:BF472" si="283">BD445/BD458-1</f>
        <v>-6.4910318430363434E-3</v>
      </c>
      <c r="BE472" s="4">
        <f t="shared" si="283"/>
        <v>-6.4976697909722159E-3</v>
      </c>
      <c r="BF472" s="4">
        <f t="shared" si="283"/>
        <v>-6.4989958932348824E-3</v>
      </c>
    </row>
    <row r="473" spans="1:58" x14ac:dyDescent="0.35">
      <c r="A473" t="s">
        <v>88</v>
      </c>
      <c r="B473" t="s">
        <v>76</v>
      </c>
      <c r="C473" s="4">
        <f>(C446-C459)/C$458</f>
        <v>-8.2960706868283449E-4</v>
      </c>
      <c r="D473" s="4">
        <f t="shared" ref="D473:AL473" si="284">(D446-D459)/D$458</f>
        <v>-1.0773034333517427E-3</v>
      </c>
      <c r="E473" s="4">
        <f t="shared" si="284"/>
        <v>-1.2212595449907191E-3</v>
      </c>
      <c r="F473" s="4">
        <f t="shared" si="284"/>
        <v>-1.3435639605218362E-3</v>
      </c>
      <c r="G473" s="4">
        <f t="shared" si="284"/>
        <v>-1.4584518447544772E-3</v>
      </c>
      <c r="H473" s="4">
        <f t="shared" si="284"/>
        <v>-1.5686711181858734E-3</v>
      </c>
      <c r="I473" s="4">
        <f t="shared" si="284"/>
        <v>-1.6759163470958431E-3</v>
      </c>
      <c r="J473" s="4">
        <f t="shared" si="284"/>
        <v>-1.7801817973791799E-3</v>
      </c>
      <c r="K473" s="4">
        <f t="shared" si="284"/>
        <v>-1.8821728065940495E-3</v>
      </c>
      <c r="L473" s="4">
        <f t="shared" si="284"/>
        <v>-1.9828518544631945E-3</v>
      </c>
      <c r="M473" s="4">
        <f t="shared" si="284"/>
        <v>-2.1480084478455938E-3</v>
      </c>
      <c r="N473" s="4">
        <f t="shared" si="284"/>
        <v>-2.2220706740604243E-3</v>
      </c>
      <c r="O473" s="4">
        <f t="shared" si="284"/>
        <v>-2.2778552640348379E-3</v>
      </c>
      <c r="P473" s="4">
        <f t="shared" si="284"/>
        <v>-2.3297732192447498E-3</v>
      </c>
      <c r="Q473" s="4">
        <f t="shared" si="284"/>
        <v>-2.3813131315221577E-3</v>
      </c>
      <c r="R473" s="4">
        <f t="shared" si="284"/>
        <v>-2.4337190013111729E-3</v>
      </c>
      <c r="S473" s="4">
        <f t="shared" si="284"/>
        <v>-2.4903070137964971E-3</v>
      </c>
      <c r="T473" s="4">
        <f t="shared" si="284"/>
        <v>-2.5493068777464145E-3</v>
      </c>
      <c r="U473" s="4">
        <f t="shared" si="284"/>
        <v>-2.6106116715869819E-3</v>
      </c>
      <c r="V473" s="4">
        <f t="shared" si="284"/>
        <v>-2.6743079375766213E-3</v>
      </c>
      <c r="W473" s="4">
        <f t="shared" si="284"/>
        <v>-2.7399555609816891E-3</v>
      </c>
      <c r="X473" s="4">
        <f t="shared" si="284"/>
        <v>-2.8084147142047582E-3</v>
      </c>
      <c r="Y473" s="4">
        <f t="shared" si="284"/>
        <v>-2.8790547438210632E-3</v>
      </c>
      <c r="Z473" s="4">
        <f t="shared" si="284"/>
        <v>-2.9516004631007522E-3</v>
      </c>
      <c r="AA473" s="4">
        <f t="shared" si="284"/>
        <v>-3.0257895167508822E-3</v>
      </c>
      <c r="AB473" s="4">
        <f t="shared" si="284"/>
        <v>-3.0999233940376294E-3</v>
      </c>
      <c r="AC473" s="4">
        <f t="shared" si="284"/>
        <v>-3.1748098155113947E-3</v>
      </c>
      <c r="AD473" s="4">
        <f t="shared" si="284"/>
        <v>-3.2504300596635912E-3</v>
      </c>
      <c r="AE473" s="4">
        <f t="shared" si="284"/>
        <v>-3.3265188160602433E-3</v>
      </c>
      <c r="AF473" s="4">
        <f t="shared" si="284"/>
        <v>-3.4028064958289668E-3</v>
      </c>
      <c r="AG473" s="4">
        <f t="shared" si="284"/>
        <v>-3.479054716790725E-3</v>
      </c>
      <c r="AH473" s="4">
        <f t="shared" si="284"/>
        <v>-3.554383376968044E-3</v>
      </c>
      <c r="AI473" s="4">
        <f t="shared" si="284"/>
        <v>-3.6291737649612834E-3</v>
      </c>
      <c r="AJ473" s="4">
        <f t="shared" si="284"/>
        <v>-3.7033831411551997E-3</v>
      </c>
      <c r="AK473" s="4">
        <f t="shared" si="284"/>
        <v>-3.7769241385845168E-3</v>
      </c>
      <c r="AL473" s="4">
        <f t="shared" si="284"/>
        <v>-3.8497294327291091E-3</v>
      </c>
      <c r="AM473" s="4">
        <f t="shared" ref="AM473:BC473" si="285">(AM446-AM459)/AM$458</f>
        <v>-3.9152692928696494E-3</v>
      </c>
      <c r="AN473" s="4">
        <f t="shared" si="285"/>
        <v>-3.9789394432720353E-3</v>
      </c>
      <c r="AO473" s="4">
        <f t="shared" si="285"/>
        <v>-4.041571861230068E-3</v>
      </c>
      <c r="AP473" s="4">
        <f t="shared" si="285"/>
        <v>-4.1032762638613255E-3</v>
      </c>
      <c r="AQ473" s="4">
        <f t="shared" si="285"/>
        <v>-4.1640996582945969E-3</v>
      </c>
      <c r="AR473" s="4">
        <f t="shared" si="285"/>
        <v>-4.2231215892146361E-3</v>
      </c>
      <c r="AS473" s="4">
        <f t="shared" si="285"/>
        <v>-4.2812347096526648E-3</v>
      </c>
      <c r="AT473" s="4">
        <f t="shared" si="285"/>
        <v>-4.3386753295822211E-3</v>
      </c>
      <c r="AU473" s="4">
        <f t="shared" si="285"/>
        <v>-4.3955723724579702E-3</v>
      </c>
      <c r="AV473" s="4">
        <f t="shared" si="285"/>
        <v>-4.4520408711794125E-3</v>
      </c>
      <c r="AW473" s="4">
        <f t="shared" si="285"/>
        <v>-4.5048411012897464E-3</v>
      </c>
      <c r="AX473" s="4">
        <f t="shared" si="285"/>
        <v>-4.5568810853048435E-3</v>
      </c>
      <c r="AY473" s="4">
        <f t="shared" si="285"/>
        <v>-4.6087771415221938E-3</v>
      </c>
      <c r="AZ473" s="4">
        <f t="shared" si="285"/>
        <v>-4.6605575983917459E-3</v>
      </c>
      <c r="BA473" s="4">
        <f t="shared" si="285"/>
        <v>-4.7122148806337414E-3</v>
      </c>
      <c r="BB473" s="4">
        <f t="shared" si="285"/>
        <v>6.0997985661663914E-5</v>
      </c>
      <c r="BC473" s="4">
        <f t="shared" si="285"/>
        <v>6.4757018895901747E-5</v>
      </c>
      <c r="BD473" s="4">
        <f t="shared" ref="BD473:BF473" si="286">(BD446-BD459)/BD$458</f>
        <v>6.8663483785173939E-5</v>
      </c>
      <c r="BE473" s="4">
        <f t="shared" si="286"/>
        <v>7.2721338954668705E-5</v>
      </c>
      <c r="BF473" s="4">
        <f t="shared" si="286"/>
        <v>7.6927149163177053E-5</v>
      </c>
    </row>
    <row r="474" spans="1:58" x14ac:dyDescent="0.35">
      <c r="B474" t="s">
        <v>74</v>
      </c>
      <c r="C474" s="4">
        <f>(C447-C460)/C$458</f>
        <v>-3.1766953163514166E-3</v>
      </c>
      <c r="D474" s="4">
        <f t="shared" ref="D474:AL474" si="287">(D447-D460)/D$458</f>
        <v>-4.325389648978651E-3</v>
      </c>
      <c r="E474" s="4">
        <f t="shared" si="287"/>
        <v>-5.3428350348563207E-3</v>
      </c>
      <c r="F474" s="4">
        <f t="shared" si="287"/>
        <v>-6.3456272965093747E-3</v>
      </c>
      <c r="G474" s="4">
        <f t="shared" si="287"/>
        <v>-7.2796972276798723E-3</v>
      </c>
      <c r="H474" s="4">
        <f t="shared" si="287"/>
        <v>-8.1535694700653871E-3</v>
      </c>
      <c r="I474" s="4">
        <f t="shared" si="287"/>
        <v>-8.9764519997755851E-3</v>
      </c>
      <c r="J474" s="4">
        <f t="shared" si="287"/>
        <v>-9.748799379844823E-3</v>
      </c>
      <c r="K474" s="4">
        <f t="shared" si="287"/>
        <v>-1.0477040828810211E-2</v>
      </c>
      <c r="L474" s="4">
        <f t="shared" si="287"/>
        <v>-1.1176523793382227E-2</v>
      </c>
      <c r="M474" s="4">
        <f t="shared" si="287"/>
        <v>-1.2122782591359189E-2</v>
      </c>
      <c r="N474" s="4">
        <f t="shared" si="287"/>
        <v>-1.2696624258350043E-2</v>
      </c>
      <c r="O474" s="4">
        <f t="shared" si="287"/>
        <v>-1.3153858093379158E-2</v>
      </c>
      <c r="P474" s="4">
        <f t="shared" si="287"/>
        <v>-1.3540974759396043E-2</v>
      </c>
      <c r="Q474" s="4">
        <f t="shared" si="287"/>
        <v>-1.3873290281088642E-2</v>
      </c>
      <c r="R474" s="4">
        <f t="shared" si="287"/>
        <v>-1.4161399995468435E-2</v>
      </c>
      <c r="S474" s="4">
        <f t="shared" si="287"/>
        <v>-1.4424838422907699E-2</v>
      </c>
      <c r="T474" s="4">
        <f t="shared" si="287"/>
        <v>-1.466751162250356E-2</v>
      </c>
      <c r="U474" s="4">
        <f t="shared" si="287"/>
        <v>-1.489661921333362E-2</v>
      </c>
      <c r="V474" s="4">
        <f t="shared" si="287"/>
        <v>-1.511896107937653E-2</v>
      </c>
      <c r="W474" s="4">
        <f t="shared" si="287"/>
        <v>-1.5340174943323072E-2</v>
      </c>
      <c r="X474" s="4">
        <f t="shared" si="287"/>
        <v>-1.55643227057819E-2</v>
      </c>
      <c r="Y474" s="4">
        <f t="shared" si="287"/>
        <v>-1.5793718096960129E-2</v>
      </c>
      <c r="Z474" s="4">
        <f t="shared" si="287"/>
        <v>-1.6030332125946848E-2</v>
      </c>
      <c r="AA474" s="4">
        <f t="shared" si="287"/>
        <v>-1.6275166642598218E-2</v>
      </c>
      <c r="AB474" s="4">
        <f t="shared" si="287"/>
        <v>-1.6528028154773184E-2</v>
      </c>
      <c r="AC474" s="4">
        <f t="shared" si="287"/>
        <v>-1.6785793196349888E-2</v>
      </c>
      <c r="AD474" s="4">
        <f t="shared" si="287"/>
        <v>-1.7048235089696533E-2</v>
      </c>
      <c r="AE474" s="4">
        <f t="shared" si="287"/>
        <v>-1.7314632997666543E-2</v>
      </c>
      <c r="AF474" s="4">
        <f t="shared" si="287"/>
        <v>-1.758371474498633E-2</v>
      </c>
      <c r="AG474" s="4">
        <f t="shared" si="287"/>
        <v>-1.7854147303745641E-2</v>
      </c>
      <c r="AH474" s="4">
        <f t="shared" si="287"/>
        <v>-1.8122475860601648E-2</v>
      </c>
      <c r="AI474" s="4">
        <f t="shared" si="287"/>
        <v>-1.8388810217537098E-2</v>
      </c>
      <c r="AJ474" s="4">
        <f t="shared" si="287"/>
        <v>-1.8652427722231364E-2</v>
      </c>
      <c r="AK474" s="4">
        <f t="shared" si="287"/>
        <v>-1.8912603080760107E-2</v>
      </c>
      <c r="AL474" s="4">
        <f t="shared" si="287"/>
        <v>-1.9168489115659649E-2</v>
      </c>
      <c r="AM474" s="4">
        <f t="shared" ref="AM474:BC474" si="288">(AM447-AM460)/AM$458</f>
        <v>-1.9399239831802709E-2</v>
      </c>
      <c r="AN474" s="4">
        <f t="shared" si="288"/>
        <v>-1.9616158277558717E-2</v>
      </c>
      <c r="AO474" s="4">
        <f t="shared" si="288"/>
        <v>-1.9820946816927369E-2</v>
      </c>
      <c r="AP474" s="4">
        <f t="shared" si="288"/>
        <v>-2.0013885576555854E-2</v>
      </c>
      <c r="AQ474" s="4">
        <f t="shared" si="288"/>
        <v>-2.0195296299371921E-2</v>
      </c>
      <c r="AR474" s="4">
        <f t="shared" si="288"/>
        <v>-2.0362524683857408E-2</v>
      </c>
      <c r="AS474" s="4">
        <f t="shared" si="288"/>
        <v>-2.0517846368711651E-2</v>
      </c>
      <c r="AT474" s="4">
        <f t="shared" si="288"/>
        <v>-2.0662081802305936E-2</v>
      </c>
      <c r="AU474" s="4">
        <f t="shared" si="288"/>
        <v>-2.0795602639971728E-2</v>
      </c>
      <c r="AV474" s="4">
        <f t="shared" si="288"/>
        <v>-2.0918249187945267E-2</v>
      </c>
      <c r="AW474" s="4">
        <f t="shared" si="288"/>
        <v>-2.1017660190683726E-2</v>
      </c>
      <c r="AX474" s="4">
        <f t="shared" si="288"/>
        <v>-2.1100386030935014E-2</v>
      </c>
      <c r="AY474" s="4">
        <f t="shared" si="288"/>
        <v>-2.1166858122291986E-2</v>
      </c>
      <c r="AZ474" s="4">
        <f t="shared" si="288"/>
        <v>-2.1220906543784463E-2</v>
      </c>
      <c r="BA474" s="4">
        <f t="shared" si="288"/>
        <v>-2.1265192676324374E-2</v>
      </c>
      <c r="BB474" s="4">
        <f t="shared" si="288"/>
        <v>2.3950669873721675E-4</v>
      </c>
      <c r="BC474" s="4">
        <f t="shared" si="288"/>
        <v>2.8874343578292038E-4</v>
      </c>
      <c r="BD474" s="4">
        <f t="shared" ref="BD474:BF474" si="289">(BD447-BD460)/BD$458</f>
        <v>3.3972792941266245E-4</v>
      </c>
      <c r="BE474" s="4">
        <f t="shared" si="289"/>
        <v>3.9240162248381299E-4</v>
      </c>
      <c r="BF474" s="4">
        <f t="shared" si="289"/>
        <v>4.4679491753305683E-4</v>
      </c>
    </row>
    <row r="475" spans="1:58" x14ac:dyDescent="0.35">
      <c r="B475" t="s">
        <v>54</v>
      </c>
      <c r="C475" s="4">
        <f>(C451-C464)/C$458</f>
        <v>-2.2932257655331714E-3</v>
      </c>
      <c r="D475" s="4">
        <f t="shared" ref="D475:AL475" si="290">(D451-D464)/D$458</f>
        <v>-2.8131983207953311E-3</v>
      </c>
      <c r="E475" s="4">
        <f t="shared" si="290"/>
        <v>-3.3612968316841319E-3</v>
      </c>
      <c r="F475" s="4">
        <f t="shared" si="290"/>
        <v>-3.9492810389435279E-3</v>
      </c>
      <c r="G475" s="4">
        <f t="shared" si="290"/>
        <v>-4.4836068129798382E-3</v>
      </c>
      <c r="H475" s="4">
        <f t="shared" si="290"/>
        <v>-4.9977828755073863E-3</v>
      </c>
      <c r="I475" s="4">
        <f t="shared" si="290"/>
        <v>-5.5109380136045662E-3</v>
      </c>
      <c r="J475" s="4">
        <f t="shared" si="290"/>
        <v>-6.0222271691929216E-3</v>
      </c>
      <c r="K475" s="4">
        <f t="shared" si="290"/>
        <v>-6.534289427391515E-3</v>
      </c>
      <c r="L475" s="4">
        <f t="shared" si="290"/>
        <v>-7.0688521570261955E-3</v>
      </c>
      <c r="M475" s="4">
        <f t="shared" si="290"/>
        <v>-7.842010451375411E-3</v>
      </c>
      <c r="N475" s="4">
        <f t="shared" si="290"/>
        <v>-8.4164800729264379E-3</v>
      </c>
      <c r="O475" s="4">
        <f t="shared" si="290"/>
        <v>-8.9590045602666816E-3</v>
      </c>
      <c r="P475" s="4">
        <f t="shared" si="290"/>
        <v>-9.4837299899220226E-3</v>
      </c>
      <c r="Q475" s="4">
        <f t="shared" si="290"/>
        <v>-9.9868999243903356E-3</v>
      </c>
      <c r="R475" s="4">
        <f t="shared" si="290"/>
        <v>-1.046509830190692E-2</v>
      </c>
      <c r="S475" s="4">
        <f t="shared" si="290"/>
        <v>-1.0926804129828131E-2</v>
      </c>
      <c r="T475" s="4">
        <f t="shared" si="290"/>
        <v>-1.1368086366064184E-2</v>
      </c>
      <c r="U475" s="4">
        <f t="shared" si="290"/>
        <v>-1.1790697570535844E-2</v>
      </c>
      <c r="V475" s="4">
        <f t="shared" si="290"/>
        <v>-1.2197885199083656E-2</v>
      </c>
      <c r="W475" s="4">
        <f t="shared" si="290"/>
        <v>-1.2592755574149725E-2</v>
      </c>
      <c r="X475" s="4">
        <f t="shared" si="290"/>
        <v>-1.2978617360762479E-2</v>
      </c>
      <c r="Y475" s="4">
        <f t="shared" si="290"/>
        <v>-1.335676239707958E-2</v>
      </c>
      <c r="Z475" s="4">
        <f t="shared" si="290"/>
        <v>-1.3728575533929272E-2</v>
      </c>
      <c r="AA475" s="4">
        <f t="shared" si="290"/>
        <v>-1.4094910422379609E-2</v>
      </c>
      <c r="AB475" s="4">
        <f t="shared" si="290"/>
        <v>-1.4456716718633949E-2</v>
      </c>
      <c r="AC475" s="4">
        <f t="shared" si="290"/>
        <v>-1.4811709502319277E-2</v>
      </c>
      <c r="AD475" s="4">
        <f t="shared" si="290"/>
        <v>-1.5160936407846654E-2</v>
      </c>
      <c r="AE475" s="4">
        <f t="shared" si="290"/>
        <v>-1.5504341197785539E-2</v>
      </c>
      <c r="AF475" s="4">
        <f t="shared" si="290"/>
        <v>-1.5840568103086344E-2</v>
      </c>
      <c r="AG475" s="4">
        <f t="shared" si="290"/>
        <v>-1.6168654673409701E-2</v>
      </c>
      <c r="AH475" s="4">
        <f t="shared" si="290"/>
        <v>-1.6486167594700799E-2</v>
      </c>
      <c r="AI475" s="4">
        <f t="shared" si="290"/>
        <v>-1.6794075294337789E-2</v>
      </c>
      <c r="AJ475" s="4">
        <f t="shared" si="290"/>
        <v>-1.7092880585585262E-2</v>
      </c>
      <c r="AK475" s="4">
        <f t="shared" si="290"/>
        <v>-1.7382916836312844E-2</v>
      </c>
      <c r="AL475" s="4">
        <f t="shared" si="290"/>
        <v>-1.7664205049610589E-2</v>
      </c>
      <c r="AM475" s="4">
        <f t="shared" ref="AM475:BC475" si="291">(AM451-AM464)/AM$458</f>
        <v>-1.7920976539435779E-2</v>
      </c>
      <c r="AN475" s="4">
        <f t="shared" si="291"/>
        <v>-1.8164715712259544E-2</v>
      </c>
      <c r="AO475" s="4">
        <f t="shared" si="291"/>
        <v>-1.839755180557999E-2</v>
      </c>
      <c r="AP475" s="4">
        <f t="shared" si="291"/>
        <v>-1.8619682649398991E-2</v>
      </c>
      <c r="AQ475" s="4">
        <f t="shared" si="291"/>
        <v>-1.8831247286799874E-2</v>
      </c>
      <c r="AR475" s="4">
        <f t="shared" si="291"/>
        <v>-1.9030172776531969E-2</v>
      </c>
      <c r="AS475" s="4">
        <f t="shared" si="291"/>
        <v>-1.9218761410362412E-2</v>
      </c>
      <c r="AT475" s="4">
        <f t="shared" si="291"/>
        <v>-1.9397951776406432E-2</v>
      </c>
      <c r="AU475" s="4">
        <f t="shared" si="291"/>
        <v>-1.9568184868606245E-2</v>
      </c>
      <c r="AV475" s="4">
        <f t="shared" si="291"/>
        <v>-1.9729311452179529E-2</v>
      </c>
      <c r="AW475" s="4">
        <f t="shared" si="291"/>
        <v>-1.987127731132712E-2</v>
      </c>
      <c r="AX475" s="4">
        <f t="shared" si="291"/>
        <v>-1.9997854122234014E-2</v>
      </c>
      <c r="AY475" s="4">
        <f t="shared" si="291"/>
        <v>-2.0101447381532547E-2</v>
      </c>
      <c r="AZ475" s="4">
        <f t="shared" si="291"/>
        <v>-2.0196918383577445E-2</v>
      </c>
      <c r="BA475" s="4">
        <f t="shared" si="291"/>
        <v>-2.0295645634600328E-2</v>
      </c>
      <c r="BB475" s="4">
        <f t="shared" si="291"/>
        <v>-8.661421253622131E-4</v>
      </c>
      <c r="BC475" s="4">
        <f t="shared" si="291"/>
        <v>-8.3995684306484059E-4</v>
      </c>
      <c r="BD475" s="4">
        <f t="shared" ref="BD475:BF475" si="292">(BD451-BD464)/BD$458</f>
        <v>-8.1262219868272971E-4</v>
      </c>
      <c r="BE475" s="4">
        <f t="shared" si="292"/>
        <v>-7.8445734484772862E-4</v>
      </c>
      <c r="BF475" s="4">
        <f t="shared" si="292"/>
        <v>-7.5553111557959596E-4</v>
      </c>
    </row>
    <row r="476" spans="1:58" x14ac:dyDescent="0.35">
      <c r="B476" t="s">
        <v>11</v>
      </c>
      <c r="C476" s="4">
        <f>(C452-C465)/C$458</f>
        <v>-2.6546192897366513E-3</v>
      </c>
      <c r="D476" s="4">
        <f t="shared" ref="D476:AL476" si="293">(D452-D465)/D$458</f>
        <v>-3.8440749399097276E-3</v>
      </c>
      <c r="E476" s="4">
        <f t="shared" si="293"/>
        <v>-4.8525932785350116E-3</v>
      </c>
      <c r="F476" s="4">
        <f t="shared" si="293"/>
        <v>-5.708713237416097E-3</v>
      </c>
      <c r="G476" s="4">
        <f t="shared" si="293"/>
        <v>-6.3745408783756593E-3</v>
      </c>
      <c r="H476" s="4">
        <f t="shared" si="293"/>
        <v>-6.9072596457395918E-3</v>
      </c>
      <c r="I476" s="4">
        <f t="shared" si="293"/>
        <v>-7.3614049428874992E-3</v>
      </c>
      <c r="J476" s="4">
        <f t="shared" si="293"/>
        <v>-7.7739613542767228E-3</v>
      </c>
      <c r="K476" s="4">
        <f t="shared" si="293"/>
        <v>-8.1731421946219136E-3</v>
      </c>
      <c r="L476" s="4">
        <f t="shared" si="293"/>
        <v>-8.5858166926398947E-3</v>
      </c>
      <c r="M476" s="4">
        <f t="shared" si="293"/>
        <v>-9.2236897382739196E-3</v>
      </c>
      <c r="N476" s="4">
        <f t="shared" si="293"/>
        <v>-9.6242267748257535E-3</v>
      </c>
      <c r="O476" s="4">
        <f t="shared" si="293"/>
        <v>-9.9736765024402638E-3</v>
      </c>
      <c r="P476" s="4">
        <f t="shared" si="293"/>
        <v>-1.03051803217531E-2</v>
      </c>
      <c r="Q476" s="4">
        <f t="shared" si="293"/>
        <v>-1.0628221666127736E-2</v>
      </c>
      <c r="R476" s="4">
        <f t="shared" si="293"/>
        <v>-1.0949115614078962E-2</v>
      </c>
      <c r="S476" s="4">
        <f t="shared" si="293"/>
        <v>-1.1283157972258184E-2</v>
      </c>
      <c r="T476" s="4">
        <f t="shared" si="293"/>
        <v>-1.1632265649677431E-2</v>
      </c>
      <c r="U476" s="4">
        <f t="shared" si="293"/>
        <v>-1.1997758500531395E-2</v>
      </c>
      <c r="V476" s="4">
        <f t="shared" si="293"/>
        <v>-1.2380477536734078E-2</v>
      </c>
      <c r="W476" s="4">
        <f t="shared" si="293"/>
        <v>-1.2780226118234431E-2</v>
      </c>
      <c r="X476" s="4">
        <f t="shared" si="293"/>
        <v>-1.319718407910354E-2</v>
      </c>
      <c r="Y476" s="4">
        <f t="shared" si="293"/>
        <v>-1.3629559107328396E-2</v>
      </c>
      <c r="Z476" s="4">
        <f t="shared" si="293"/>
        <v>-1.4076011466553262E-2</v>
      </c>
      <c r="AA476" s="4">
        <f t="shared" si="293"/>
        <v>-1.4534893135542303E-2</v>
      </c>
      <c r="AB476" s="4">
        <f t="shared" si="293"/>
        <v>-1.5003277022298582E-2</v>
      </c>
      <c r="AC476" s="4">
        <f t="shared" si="293"/>
        <v>-1.5477065178910211E-2</v>
      </c>
      <c r="AD476" s="4">
        <f t="shared" si="293"/>
        <v>-1.5953493065288829E-2</v>
      </c>
      <c r="AE476" s="4">
        <f t="shared" si="293"/>
        <v>-1.64313750976137E-2</v>
      </c>
      <c r="AF476" s="4">
        <f t="shared" si="293"/>
        <v>-1.6909725815488458E-2</v>
      </c>
      <c r="AG476" s="4">
        <f t="shared" si="293"/>
        <v>-1.7387612903752216E-2</v>
      </c>
      <c r="AH476" s="4">
        <f t="shared" si="293"/>
        <v>-1.7862095207879056E-2</v>
      </c>
      <c r="AI476" s="4">
        <f t="shared" si="293"/>
        <v>-1.8332792076396098E-2</v>
      </c>
      <c r="AJ476" s="4">
        <f t="shared" si="293"/>
        <v>-1.8799448761388931E-2</v>
      </c>
      <c r="AK476" s="4">
        <f t="shared" si="293"/>
        <v>-1.9261848841921038E-2</v>
      </c>
      <c r="AL476" s="4">
        <f t="shared" si="293"/>
        <v>-1.9719860964479818E-2</v>
      </c>
      <c r="AM476" s="4">
        <f t="shared" ref="AM476:BC476" si="294">(AM452-AM465)/AM$458</f>
        <v>-2.0155554720930117E-2</v>
      </c>
      <c r="AN476" s="4">
        <f t="shared" si="294"/>
        <v>-2.0573066650533597E-2</v>
      </c>
      <c r="AO476" s="4">
        <f t="shared" si="294"/>
        <v>-2.0976334479582592E-2</v>
      </c>
      <c r="AP476" s="4">
        <f t="shared" si="294"/>
        <v>-2.136878590964773E-2</v>
      </c>
      <c r="AQ476" s="4">
        <f t="shared" si="294"/>
        <v>-2.1753502783465894E-2</v>
      </c>
      <c r="AR476" s="4">
        <f t="shared" si="294"/>
        <v>-2.2130389188882573E-2</v>
      </c>
      <c r="AS476" s="4">
        <f t="shared" si="294"/>
        <v>-2.2502053492318173E-2</v>
      </c>
      <c r="AT476" s="4">
        <f t="shared" si="294"/>
        <v>-2.287076503231467E-2</v>
      </c>
      <c r="AU476" s="4">
        <f t="shared" si="294"/>
        <v>-2.3238247228940676E-2</v>
      </c>
      <c r="AV476" s="4">
        <f t="shared" si="294"/>
        <v>-2.3605428216131343E-2</v>
      </c>
      <c r="AW476" s="4">
        <f t="shared" si="294"/>
        <v>-2.3961987690390974E-2</v>
      </c>
      <c r="AX476" s="4">
        <f t="shared" si="294"/>
        <v>-2.4309455869999719E-2</v>
      </c>
      <c r="AY476" s="4">
        <f t="shared" si="294"/>
        <v>-2.4648964397285762E-2</v>
      </c>
      <c r="AZ476" s="4">
        <f t="shared" si="294"/>
        <v>-2.4987424975678175E-2</v>
      </c>
      <c r="BA476" s="4">
        <f t="shared" si="294"/>
        <v>-2.533055689578622E-2</v>
      </c>
      <c r="BB476" s="4">
        <f t="shared" si="294"/>
        <v>-3.684713823683807E-3</v>
      </c>
      <c r="BC476" s="4">
        <f t="shared" si="294"/>
        <v>-3.753445307622707E-3</v>
      </c>
      <c r="BD476" s="4">
        <f t="shared" ref="BD476:BF476" si="295">(BD452-BD465)/BD$458</f>
        <v>-3.8196067454071307E-3</v>
      </c>
      <c r="BE476" s="4">
        <f t="shared" si="295"/>
        <v>-3.8837634685695037E-3</v>
      </c>
      <c r="BF476" s="4">
        <f t="shared" si="295"/>
        <v>-3.9463448772560899E-3</v>
      </c>
    </row>
    <row r="477" spans="1:58" x14ac:dyDescent="0.35">
      <c r="B477" t="s">
        <v>75</v>
      </c>
      <c r="C477" s="4">
        <f>(C453-C466)/C$458</f>
        <v>-1.9583469758117891E-3</v>
      </c>
      <c r="D477" s="4">
        <f t="shared" ref="D477:AL477" si="296">(D453-D466)/D$458</f>
        <v>-2.8298214616473559E-3</v>
      </c>
      <c r="E477" s="4">
        <f t="shared" si="296"/>
        <v>-3.4343004541613213E-3</v>
      </c>
      <c r="F477" s="4">
        <f t="shared" si="296"/>
        <v>-3.9156366929029938E-3</v>
      </c>
      <c r="G477" s="4">
        <f t="shared" si="296"/>
        <v>-4.3128857409029542E-3</v>
      </c>
      <c r="H477" s="4">
        <f t="shared" si="296"/>
        <v>-4.6334658377174881E-3</v>
      </c>
      <c r="I477" s="4">
        <f t="shared" si="296"/>
        <v>-4.9084997365793324E-3</v>
      </c>
      <c r="J477" s="4">
        <f t="shared" si="296"/>
        <v>-5.1608004124641367E-3</v>
      </c>
      <c r="K477" s="4">
        <f t="shared" si="296"/>
        <v>-5.4086433128931813E-3</v>
      </c>
      <c r="L477" s="4">
        <f t="shared" si="296"/>
        <v>-5.6640242435921145E-3</v>
      </c>
      <c r="M477" s="4">
        <f t="shared" si="296"/>
        <v>-6.1033380974550543E-3</v>
      </c>
      <c r="N477" s="4">
        <f t="shared" si="296"/>
        <v>-6.3632709157540653E-3</v>
      </c>
      <c r="O477" s="4">
        <f t="shared" si="296"/>
        <v>-6.6036848450492522E-3</v>
      </c>
      <c r="P477" s="4">
        <f t="shared" si="296"/>
        <v>-6.8439821631864888E-3</v>
      </c>
      <c r="Q477" s="4">
        <f t="shared" si="296"/>
        <v>-7.0852428689337776E-3</v>
      </c>
      <c r="R477" s="4">
        <f t="shared" si="296"/>
        <v>-7.3273585282162736E-3</v>
      </c>
      <c r="S477" s="4">
        <f t="shared" si="296"/>
        <v>-7.582080076410644E-3</v>
      </c>
      <c r="T477" s="4">
        <f t="shared" si="296"/>
        <v>-7.8429963327247814E-3</v>
      </c>
      <c r="U477" s="4">
        <f t="shared" si="296"/>
        <v>-8.1087070887335064E-3</v>
      </c>
      <c r="V477" s="4">
        <f t="shared" si="296"/>
        <v>-8.3788940776423747E-3</v>
      </c>
      <c r="W477" s="4">
        <f t="shared" si="296"/>
        <v>-8.6519913694548152E-3</v>
      </c>
      <c r="X477" s="4">
        <f t="shared" si="296"/>
        <v>-8.9305400914234442E-3</v>
      </c>
      <c r="Y477" s="4">
        <f t="shared" si="296"/>
        <v>-9.2130789377267257E-3</v>
      </c>
      <c r="Z477" s="4">
        <f t="shared" si="296"/>
        <v>-9.499032518411164E-3</v>
      </c>
      <c r="AA477" s="4">
        <f t="shared" si="296"/>
        <v>-9.787785472440403E-3</v>
      </c>
      <c r="AB477" s="4">
        <f t="shared" si="296"/>
        <v>-1.0074140668630877E-2</v>
      </c>
      <c r="AC477" s="4">
        <f t="shared" si="296"/>
        <v>-1.0359305181285796E-2</v>
      </c>
      <c r="AD477" s="4">
        <f t="shared" si="296"/>
        <v>-1.0644139096551866E-2</v>
      </c>
      <c r="AE477" s="4">
        <f t="shared" si="296"/>
        <v>-1.0928730874600159E-2</v>
      </c>
      <c r="AF477" s="4">
        <f t="shared" si="296"/>
        <v>-1.1212771236502661E-2</v>
      </c>
      <c r="AG477" s="4">
        <f t="shared" si="296"/>
        <v>-1.1495858544575778E-2</v>
      </c>
      <c r="AH477" s="4">
        <f t="shared" si="296"/>
        <v>-1.1774968497743548E-2</v>
      </c>
      <c r="AI477" s="4">
        <f t="shared" si="296"/>
        <v>-1.2051367072963471E-2</v>
      </c>
      <c r="AJ477" s="4">
        <f t="shared" si="296"/>
        <v>-1.2325203298807113E-2</v>
      </c>
      <c r="AK477" s="4">
        <f t="shared" si="296"/>
        <v>-1.2596428429850441E-2</v>
      </c>
      <c r="AL477" s="4">
        <f t="shared" si="296"/>
        <v>-1.2864973440173736E-2</v>
      </c>
      <c r="AM477" s="4">
        <f t="shared" ref="AM477:BC477" si="297">(AM453-AM466)/AM$458</f>
        <v>-1.3106927090559953E-2</v>
      </c>
      <c r="AN477" s="4">
        <f t="shared" si="297"/>
        <v>-1.3338430815016554E-2</v>
      </c>
      <c r="AO477" s="4">
        <f t="shared" si="297"/>
        <v>-1.356407627747132E-2</v>
      </c>
      <c r="AP477" s="4">
        <f t="shared" si="297"/>
        <v>-1.3786010489920232E-2</v>
      </c>
      <c r="AQ477" s="4">
        <f t="shared" si="297"/>
        <v>-1.4005541007562881E-2</v>
      </c>
      <c r="AR477" s="4">
        <f t="shared" si="297"/>
        <v>-1.4219981639897048E-2</v>
      </c>
      <c r="AS477" s="4">
        <f t="shared" si="297"/>
        <v>-1.4432338116102202E-2</v>
      </c>
      <c r="AT477" s="4">
        <f t="shared" si="297"/>
        <v>-1.4643880039695472E-2</v>
      </c>
      <c r="AU477" s="4">
        <f t="shared" si="297"/>
        <v>-1.4855524987915602E-2</v>
      </c>
      <c r="AV477" s="4">
        <f t="shared" si="297"/>
        <v>-1.5068152944559481E-2</v>
      </c>
      <c r="AW477" s="4">
        <f t="shared" si="297"/>
        <v>-1.5270672938587479E-2</v>
      </c>
      <c r="AX477" s="4">
        <f t="shared" si="297"/>
        <v>-1.5460640672454087E-2</v>
      </c>
      <c r="AY477" s="4">
        <f t="shared" si="297"/>
        <v>-1.5640299852773761E-2</v>
      </c>
      <c r="AZ477" s="4">
        <f t="shared" si="297"/>
        <v>-1.5812642074913227E-2</v>
      </c>
      <c r="BA477" s="4">
        <f t="shared" si="297"/>
        <v>-1.5980549281682129E-2</v>
      </c>
      <c r="BB477" s="4">
        <f t="shared" si="297"/>
        <v>-2.2081348168183248E-3</v>
      </c>
      <c r="BC477" s="4">
        <f t="shared" si="297"/>
        <v>-2.2385202975619312E-3</v>
      </c>
      <c r="BD477" s="4">
        <f t="shared" ref="BD477:BF477" si="298">(BD453-BD466)/BD$458</f>
        <v>-2.2671941938934635E-3</v>
      </c>
      <c r="BE477" s="4">
        <f t="shared" si="298"/>
        <v>-2.2945721350586448E-3</v>
      </c>
      <c r="BF477" s="4">
        <f t="shared" si="298"/>
        <v>-2.3208418263801216E-3</v>
      </c>
    </row>
    <row r="479" spans="1:58" x14ac:dyDescent="0.35">
      <c r="A479" s="12" t="s">
        <v>94</v>
      </c>
      <c r="B479" s="3" t="str">
        <f>[1]Results!E205</f>
        <v>YG_toe_2</v>
      </c>
      <c r="C479" s="3">
        <f>[1]Results!F205</f>
        <v>146.05450830000001</v>
      </c>
      <c r="D479" s="3">
        <f>[1]Results!G205</f>
        <v>146.57091600000001</v>
      </c>
      <c r="E479" s="3">
        <f>[1]Results!H205</f>
        <v>147.1089102</v>
      </c>
      <c r="F479" s="3">
        <f>[1]Results!I205</f>
        <v>147.76364649999999</v>
      </c>
      <c r="G479" s="3">
        <f>[1]Results!J205</f>
        <v>148.591454</v>
      </c>
      <c r="H479" s="3">
        <f>[1]Results!K205</f>
        <v>149.5915469</v>
      </c>
      <c r="I479" s="3">
        <f>[1]Results!L205</f>
        <v>150.6506301</v>
      </c>
      <c r="J479" s="3">
        <f>[1]Results!M205</f>
        <v>151.79322909999999</v>
      </c>
      <c r="K479" s="3">
        <f>[1]Results!N205</f>
        <v>152.99634209999999</v>
      </c>
      <c r="L479" s="3">
        <f>[1]Results!O205</f>
        <v>154.2335339</v>
      </c>
      <c r="M479" s="3">
        <f>[1]Results!P205</f>
        <v>155.4105409</v>
      </c>
      <c r="N479" s="3">
        <f>[1]Results!Q205</f>
        <v>156.80272009999999</v>
      </c>
      <c r="O479" s="3">
        <f>[1]Results!R205</f>
        <v>158.21707430000001</v>
      </c>
      <c r="P479" s="3">
        <f>[1]Results!S205</f>
        <v>159.64419620000001</v>
      </c>
      <c r="Q479" s="3">
        <f>[1]Results!T205</f>
        <v>161.082706</v>
      </c>
      <c r="R479" s="3">
        <f>[1]Results!U205</f>
        <v>162.5319978</v>
      </c>
      <c r="S479" s="3">
        <f>[1]Results!V205</f>
        <v>163.98103610000001</v>
      </c>
      <c r="T479" s="3">
        <f>[1]Results!W205</f>
        <v>165.43601200000001</v>
      </c>
      <c r="U479" s="3">
        <f>[1]Results!X205</f>
        <v>166.89786100000001</v>
      </c>
      <c r="V479" s="3">
        <f>[1]Results!Y205</f>
        <v>168.36750900000001</v>
      </c>
      <c r="W479" s="3">
        <f>[1]Results!Z205</f>
        <v>169.7452868</v>
      </c>
      <c r="X479" s="3">
        <f>[1]Results!AA205</f>
        <v>171.20332440000001</v>
      </c>
      <c r="Y479" s="3">
        <f>[1]Results!AB205</f>
        <v>172.68635259999999</v>
      </c>
      <c r="Z479" s="3">
        <f>[1]Results!AC205</f>
        <v>174.18932899999999</v>
      </c>
      <c r="AA479" s="3">
        <f>[1]Results!AD205</f>
        <v>175.71184640000001</v>
      </c>
      <c r="AB479" s="3">
        <f>[1]Results!AE205</f>
        <v>176.96926640000001</v>
      </c>
      <c r="AC479" s="3">
        <f>[1]Results!AF205</f>
        <v>178.3160307</v>
      </c>
      <c r="AD479" s="3">
        <f>[1]Results!AG205</f>
        <v>179.6810112</v>
      </c>
      <c r="AE479" s="3">
        <f>[1]Results!AH205</f>
        <v>181.06282350000001</v>
      </c>
      <c r="AF479" s="3">
        <f>[1]Results!AI205</f>
        <v>182.46406809999999</v>
      </c>
      <c r="AG479" s="3">
        <f>[1]Results!AJ205</f>
        <v>183.88776110000001</v>
      </c>
      <c r="AH479" s="3">
        <f>[1]Results!AK205</f>
        <v>185.33929760000001</v>
      </c>
      <c r="AI479" s="3">
        <f>[1]Results!AL205</f>
        <v>186.81868840000001</v>
      </c>
      <c r="AJ479" s="3">
        <f>[1]Results!AM205</f>
        <v>188.3268372</v>
      </c>
      <c r="AK479" s="3">
        <f>[1]Results!AN205</f>
        <v>189.8641691</v>
      </c>
      <c r="AL479" s="3">
        <f>[1]Results!AO205</f>
        <v>191.43078360000001</v>
      </c>
      <c r="AM479" s="3">
        <f>[1]Results!AP205</f>
        <v>192.9865977</v>
      </c>
      <c r="AN479" s="3">
        <f>[1]Results!AQ205</f>
        <v>194.55904810000001</v>
      </c>
      <c r="AO479" s="3">
        <f>[1]Results!AR205</f>
        <v>196.15338259999999</v>
      </c>
      <c r="AP479" s="3">
        <f>[1]Results!AS205</f>
        <v>197.77123449999999</v>
      </c>
      <c r="AQ479" s="3">
        <f>[1]Results!AT205</f>
        <v>199.4132778</v>
      </c>
      <c r="AR479" s="3">
        <f>[1]Results!AU205</f>
        <v>201.08431160000001</v>
      </c>
      <c r="AS479" s="3">
        <f>[1]Results!AV205</f>
        <v>202.78167680000001</v>
      </c>
      <c r="AT479" s="3">
        <f>[1]Results!AW205</f>
        <v>204.5051244</v>
      </c>
      <c r="AU479" s="3">
        <f>[1]Results!AX205</f>
        <v>206.25439030000001</v>
      </c>
      <c r="AV479" s="3">
        <f>[1]Results!AY205</f>
        <v>208.02916540000001</v>
      </c>
      <c r="AW479" s="3">
        <f>[1]Results!AZ205</f>
        <v>209.85050469999999</v>
      </c>
      <c r="AX479" s="3">
        <f>[1]Results!BA205</f>
        <v>211.70380979999999</v>
      </c>
      <c r="AY479" s="3">
        <f>[1]Results!BB205</f>
        <v>213.58672480000001</v>
      </c>
      <c r="AZ479" s="3">
        <f>[1]Results!BC205</f>
        <v>215.49763010000001</v>
      </c>
      <c r="BA479" s="3">
        <f>[1]Results!BD205</f>
        <v>217.4353581</v>
      </c>
      <c r="BB479" s="3">
        <f>[1]Results!BE205</f>
        <v>260.51870730000002</v>
      </c>
      <c r="BC479" s="3">
        <f>[1]Results!BF205</f>
        <v>264.01853419999998</v>
      </c>
      <c r="BD479" s="3">
        <f>[1]Results!BG205</f>
        <v>267.57925560000001</v>
      </c>
      <c r="BE479" s="3">
        <f>[1]Results!BH205</f>
        <v>271.20175319999998</v>
      </c>
      <c r="BF479" s="3">
        <f>[1]Results!BI205</f>
        <v>274.88702260000002</v>
      </c>
    </row>
    <row r="480" spans="1:58" x14ac:dyDescent="0.35">
      <c r="A480" t="s">
        <v>39</v>
      </c>
      <c r="B480" s="3" t="str">
        <f>[1]Results!E206</f>
        <v>YG_toe_ccoa_2</v>
      </c>
      <c r="C480" s="3">
        <f>[1]Results!F206</f>
        <v>2.3252469630000001</v>
      </c>
      <c r="D480" s="3">
        <f>[1]Results!G206</f>
        <v>2.3321141490000001</v>
      </c>
      <c r="E480" s="3">
        <f>[1]Results!H206</f>
        <v>2.3487777849999998</v>
      </c>
      <c r="F480" s="3">
        <f>[1]Results!I206</f>
        <v>2.3690186770000001</v>
      </c>
      <c r="G480" s="3">
        <f>[1]Results!J206</f>
        <v>2.3917453979999999</v>
      </c>
      <c r="H480" s="3">
        <f>[1]Results!K206</f>
        <v>2.4165405450000002</v>
      </c>
      <c r="I480" s="3">
        <f>[1]Results!L206</f>
        <v>2.4415541740000002</v>
      </c>
      <c r="J480" s="3">
        <f>[1]Results!M206</f>
        <v>2.4675823879999998</v>
      </c>
      <c r="K480" s="3">
        <f>[1]Results!N206</f>
        <v>2.4946252539999998</v>
      </c>
      <c r="L480" s="3">
        <f>[1]Results!O206</f>
        <v>2.5225445710000001</v>
      </c>
      <c r="M480" s="3">
        <f>[1]Results!P206</f>
        <v>2.5485468619999998</v>
      </c>
      <c r="N480" s="3">
        <f>[1]Results!Q206</f>
        <v>2.5808057170000001</v>
      </c>
      <c r="O480" s="3">
        <f>[1]Results!R206</f>
        <v>2.6148186010000001</v>
      </c>
      <c r="P480" s="3">
        <f>[1]Results!S206</f>
        <v>2.6496282510000002</v>
      </c>
      <c r="Q480" s="3">
        <f>[1]Results!T206</f>
        <v>2.6849914519999998</v>
      </c>
      <c r="R480" s="3">
        <f>[1]Results!U206</f>
        <v>2.7208275089999998</v>
      </c>
      <c r="S480" s="3">
        <f>[1]Results!V206</f>
        <v>2.7567963039999999</v>
      </c>
      <c r="T480" s="3">
        <f>[1]Results!W206</f>
        <v>2.7931465260000001</v>
      </c>
      <c r="U480" s="3">
        <f>[1]Results!X206</f>
        <v>2.8299125260000002</v>
      </c>
      <c r="V480" s="3">
        <f>[1]Results!Y206</f>
        <v>2.867098532</v>
      </c>
      <c r="W480" s="3">
        <f>[1]Results!Z206</f>
        <v>2.9029278459999999</v>
      </c>
      <c r="X480" s="3">
        <f>[1]Results!AA206</f>
        <v>2.9404200189999998</v>
      </c>
      <c r="Y480" s="3">
        <f>[1]Results!AB206</f>
        <v>2.9786292620000001</v>
      </c>
      <c r="Z480" s="3">
        <f>[1]Results!AC206</f>
        <v>3.0173848099999998</v>
      </c>
      <c r="AA480" s="3">
        <f>[1]Results!AD206</f>
        <v>3.0566692889999998</v>
      </c>
      <c r="AB480" s="3">
        <f>[1]Results!AE206</f>
        <v>3.0913950219999999</v>
      </c>
      <c r="AC480" s="3">
        <f>[1]Results!AF206</f>
        <v>3.1279093269999998</v>
      </c>
      <c r="AD480" s="3">
        <f>[1]Results!AG206</f>
        <v>3.1649794409999998</v>
      </c>
      <c r="AE480" s="3">
        <f>[1]Results!AH206</f>
        <v>3.2024166959999998</v>
      </c>
      <c r="AF480" s="3">
        <f>[1]Results!AI206</f>
        <v>3.240232083</v>
      </c>
      <c r="AG480" s="3">
        <f>[1]Results!AJ206</f>
        <v>3.278466495</v>
      </c>
      <c r="AH480" s="3">
        <f>[1]Results!AK206</f>
        <v>3.3172475650000002</v>
      </c>
      <c r="AI480" s="3">
        <f>[1]Results!AL206</f>
        <v>3.3565249499999998</v>
      </c>
      <c r="AJ480" s="3">
        <f>[1]Results!AM206</f>
        <v>3.3963033650000001</v>
      </c>
      <c r="AK480" s="3">
        <f>[1]Results!AN206</f>
        <v>3.436589101</v>
      </c>
      <c r="AL480" s="3">
        <f>[1]Results!AO206</f>
        <v>3.477383777</v>
      </c>
      <c r="AM480" s="3">
        <f>[1]Results!AP206</f>
        <v>3.51832893</v>
      </c>
      <c r="AN480" s="3">
        <f>[1]Results!AQ206</f>
        <v>3.559501858</v>
      </c>
      <c r="AO480" s="3">
        <f>[1]Results!AR206</f>
        <v>3.600968559</v>
      </c>
      <c r="AP480" s="3">
        <f>[1]Results!AS206</f>
        <v>3.6427715630000002</v>
      </c>
      <c r="AQ480" s="3">
        <f>[1]Results!AT206</f>
        <v>3.6849417149999999</v>
      </c>
      <c r="AR480" s="3">
        <f>[1]Results!AU206</f>
        <v>3.7276484050000001</v>
      </c>
      <c r="AS480" s="3">
        <f>[1]Results!AV206</f>
        <v>3.7707868100000002</v>
      </c>
      <c r="AT480" s="3">
        <f>[1]Results!AW206</f>
        <v>3.8143525220000001</v>
      </c>
      <c r="AU480" s="3">
        <f>[1]Results!AX206</f>
        <v>3.8583543119999999</v>
      </c>
      <c r="AV480" s="3">
        <f>[1]Results!AY206</f>
        <v>3.9028000999999999</v>
      </c>
      <c r="AW480" s="3">
        <f>[1]Results!AZ206</f>
        <v>3.94832523</v>
      </c>
      <c r="AX480" s="3">
        <f>[1]Results!BA206</f>
        <v>3.9944219749999998</v>
      </c>
      <c r="AY480" s="3">
        <f>[1]Results!BB206</f>
        <v>4.0410139049999998</v>
      </c>
      <c r="AZ480" s="3">
        <f>[1]Results!BC206</f>
        <v>4.0880974730000004</v>
      </c>
      <c r="BA480" s="3">
        <f>[1]Results!BD206</f>
        <v>4.1356800690000002</v>
      </c>
      <c r="BB480" s="3">
        <f>[1]Results!BE206</f>
        <v>5.3030612970000002</v>
      </c>
      <c r="BC480" s="3">
        <f>[1]Results!BF206</f>
        <v>5.3926175350000003</v>
      </c>
      <c r="BD480" s="3">
        <f>[1]Results!BG206</f>
        <v>5.4835762130000001</v>
      </c>
      <c r="BE480" s="3">
        <f>[1]Results!BH206</f>
        <v>5.5759606100000001</v>
      </c>
      <c r="BF480" s="3">
        <f>[1]Results!BI206</f>
        <v>5.6697948240000002</v>
      </c>
    </row>
    <row r="481" spans="1:58" x14ac:dyDescent="0.35">
      <c r="B481" s="3" t="s">
        <v>74</v>
      </c>
      <c r="C481" s="3">
        <f>SUM(C482:C484)</f>
        <v>50.617067272999996</v>
      </c>
      <c r="D481" s="3">
        <f t="shared" ref="D481:AL481" si="299">SUM(D482:D484)</f>
        <v>50.761642203999997</v>
      </c>
      <c r="E481" s="3">
        <f t="shared" si="299"/>
        <v>50.902082319999998</v>
      </c>
      <c r="F481" s="3">
        <f t="shared" si="299"/>
        <v>51.095950883999997</v>
      </c>
      <c r="G481" s="3">
        <f t="shared" si="299"/>
        <v>51.365465124000004</v>
      </c>
      <c r="H481" s="3">
        <f t="shared" si="299"/>
        <v>51.708464855000003</v>
      </c>
      <c r="I481" s="3">
        <f t="shared" si="299"/>
        <v>52.087795370999999</v>
      </c>
      <c r="J481" s="3">
        <f t="shared" si="299"/>
        <v>52.508823245999999</v>
      </c>
      <c r="K481" s="3">
        <f t="shared" si="299"/>
        <v>52.962853691000007</v>
      </c>
      <c r="L481" s="3">
        <f t="shared" si="299"/>
        <v>53.441403366999992</v>
      </c>
      <c r="M481" s="3">
        <f t="shared" si="299"/>
        <v>53.909370281999998</v>
      </c>
      <c r="N481" s="3">
        <f t="shared" si="299"/>
        <v>54.468498509</v>
      </c>
      <c r="O481" s="3">
        <f t="shared" si="299"/>
        <v>55.048605476999995</v>
      </c>
      <c r="P481" s="3">
        <f t="shared" si="299"/>
        <v>55.643403086999996</v>
      </c>
      <c r="Q481" s="3">
        <f t="shared" si="299"/>
        <v>56.250219758</v>
      </c>
      <c r="R481" s="3">
        <f t="shared" si="299"/>
        <v>56.867251529000001</v>
      </c>
      <c r="S481" s="3">
        <f t="shared" si="299"/>
        <v>57.489999521999998</v>
      </c>
      <c r="T481" s="3">
        <f t="shared" si="299"/>
        <v>58.119731114000004</v>
      </c>
      <c r="U481" s="3">
        <f t="shared" si="299"/>
        <v>58.755670835000004</v>
      </c>
      <c r="V481" s="3">
        <f t="shared" si="299"/>
        <v>59.397158584000003</v>
      </c>
      <c r="W481" s="3">
        <f t="shared" si="299"/>
        <v>60.012619192000002</v>
      </c>
      <c r="X481" s="3">
        <f t="shared" si="299"/>
        <v>60.653956633999996</v>
      </c>
      <c r="Y481" s="3">
        <f t="shared" si="299"/>
        <v>61.303190262000001</v>
      </c>
      <c r="Z481" s="3">
        <f t="shared" si="299"/>
        <v>61.958860025999996</v>
      </c>
      <c r="AA481" s="3">
        <f t="shared" si="299"/>
        <v>62.620743086999994</v>
      </c>
      <c r="AB481" s="3">
        <f t="shared" si="299"/>
        <v>63.200017516999999</v>
      </c>
      <c r="AC481" s="3">
        <f t="shared" si="299"/>
        <v>63.805205266999998</v>
      </c>
      <c r="AD481" s="3">
        <f t="shared" si="299"/>
        <v>64.412176439999996</v>
      </c>
      <c r="AE481" s="3">
        <f t="shared" si="299"/>
        <v>65.020977474000006</v>
      </c>
      <c r="AF481" s="3">
        <f t="shared" si="299"/>
        <v>65.632950304000005</v>
      </c>
      <c r="AG481" s="3">
        <f t="shared" si="299"/>
        <v>66.249498892000005</v>
      </c>
      <c r="AH481" s="3">
        <f t="shared" si="299"/>
        <v>66.87269843</v>
      </c>
      <c r="AI481" s="3">
        <f t="shared" si="299"/>
        <v>67.502763772999998</v>
      </c>
      <c r="AJ481" s="3">
        <f t="shared" si="299"/>
        <v>68.140342005999997</v>
      </c>
      <c r="AK481" s="3">
        <f t="shared" si="299"/>
        <v>68.785908867000003</v>
      </c>
      <c r="AL481" s="3">
        <f t="shared" si="299"/>
        <v>69.439820187999999</v>
      </c>
      <c r="AM481" s="3">
        <f t="shared" ref="AM481:BC481" si="300">SUM(AM482:AM484)</f>
        <v>70.089675763000002</v>
      </c>
      <c r="AN481" s="3">
        <f t="shared" si="300"/>
        <v>70.742842019999998</v>
      </c>
      <c r="AO481" s="3">
        <f t="shared" si="300"/>
        <v>71.401143524000005</v>
      </c>
      <c r="AP481" s="3">
        <f t="shared" si="300"/>
        <v>72.065654402999996</v>
      </c>
      <c r="AQ481" s="3">
        <f t="shared" si="300"/>
        <v>72.73721880299999</v>
      </c>
      <c r="AR481" s="3">
        <f t="shared" si="300"/>
        <v>73.417958956999996</v>
      </c>
      <c r="AS481" s="3">
        <f t="shared" si="300"/>
        <v>74.107320074</v>
      </c>
      <c r="AT481" s="3">
        <f t="shared" si="300"/>
        <v>74.805711856000002</v>
      </c>
      <c r="AU481" s="3">
        <f t="shared" si="300"/>
        <v>75.513483496000006</v>
      </c>
      <c r="AV481" s="3">
        <f t="shared" si="300"/>
        <v>76.230903940999994</v>
      </c>
      <c r="AW481" s="3">
        <f t="shared" si="300"/>
        <v>76.965071843999993</v>
      </c>
      <c r="AX481" s="3">
        <f t="shared" si="300"/>
        <v>77.710812515000001</v>
      </c>
      <c r="AY481" s="3">
        <f t="shared" si="300"/>
        <v>78.467847194000001</v>
      </c>
      <c r="AZ481" s="3">
        <f t="shared" si="300"/>
        <v>79.236140306999999</v>
      </c>
      <c r="BA481" s="3">
        <f t="shared" si="300"/>
        <v>80.015716574999999</v>
      </c>
      <c r="BB481" s="3">
        <f t="shared" si="300"/>
        <v>95.014426126000018</v>
      </c>
      <c r="BC481" s="3">
        <f t="shared" si="300"/>
        <v>96.327141432000005</v>
      </c>
      <c r="BD481" s="3">
        <f t="shared" ref="BD481:BF481" si="301">SUM(BD482:BD484)</f>
        <v>97.660754142000002</v>
      </c>
      <c r="BE481" s="3">
        <f t="shared" si="301"/>
        <v>99.01581788099999</v>
      </c>
      <c r="BF481" s="3">
        <f t="shared" si="301"/>
        <v>100.392923688</v>
      </c>
    </row>
    <row r="482" spans="1:58" x14ac:dyDescent="0.35">
      <c r="B482" s="3" t="str">
        <f>[1]Results!E209</f>
        <v>YG_toe_ccoi_2</v>
      </c>
      <c r="C482" s="3">
        <f>[1]Results!F209</f>
        <v>1.0772851459999999</v>
      </c>
      <c r="D482" s="3">
        <f>[1]Results!G209</f>
        <v>1.079412305</v>
      </c>
      <c r="E482" s="3">
        <f>[1]Results!H209</f>
        <v>1.0828672050000001</v>
      </c>
      <c r="F482" s="3">
        <f>[1]Results!I209</f>
        <v>1.0874738530000001</v>
      </c>
      <c r="G482" s="3">
        <f>[1]Results!J209</f>
        <v>1.093560251</v>
      </c>
      <c r="H482" s="3">
        <f>[1]Results!K209</f>
        <v>1.1011083100000001</v>
      </c>
      <c r="I482" s="3">
        <f>[1]Results!L209</f>
        <v>1.1093358900000001</v>
      </c>
      <c r="J482" s="3">
        <f>[1]Results!M209</f>
        <v>1.1183424289999999</v>
      </c>
      <c r="K482" s="3">
        <f>[1]Results!N209</f>
        <v>1.127986384</v>
      </c>
      <c r="L482" s="3">
        <f>[1]Results!O209</f>
        <v>1.1380922419999999</v>
      </c>
      <c r="M482" s="3">
        <f>[1]Results!P209</f>
        <v>1.1477376180000001</v>
      </c>
      <c r="N482" s="3">
        <f>[1]Results!Q209</f>
        <v>1.1594333080000001</v>
      </c>
      <c r="O482" s="3">
        <f>[1]Results!R209</f>
        <v>1.1717289870000001</v>
      </c>
      <c r="P482" s="3">
        <f>[1]Results!S209</f>
        <v>1.1843106219999999</v>
      </c>
      <c r="Q482" s="3">
        <f>[1]Results!T209</f>
        <v>1.1971009699999999</v>
      </c>
      <c r="R482" s="3">
        <f>[1]Results!U209</f>
        <v>1.210069488</v>
      </c>
      <c r="S482" s="3">
        <f>[1]Results!V209</f>
        <v>1.223117459</v>
      </c>
      <c r="T482" s="3">
        <f>[1]Results!W209</f>
        <v>1.2362864419999999</v>
      </c>
      <c r="U482" s="3">
        <f>[1]Results!X209</f>
        <v>1.2495755550000001</v>
      </c>
      <c r="V482" s="3">
        <f>[1]Results!Y209</f>
        <v>1.2629784020000001</v>
      </c>
      <c r="W482" s="3">
        <f>[1]Results!Z209</f>
        <v>1.275821275</v>
      </c>
      <c r="X482" s="3">
        <f>[1]Results!AA209</f>
        <v>1.289189326</v>
      </c>
      <c r="Y482" s="3">
        <f>[1]Results!AB209</f>
        <v>1.302782055</v>
      </c>
      <c r="Z482" s="3">
        <f>[1]Results!AC209</f>
        <v>1.316529616</v>
      </c>
      <c r="AA482" s="3">
        <f>[1]Results!AD209</f>
        <v>1.3304204770000001</v>
      </c>
      <c r="AB482" s="3">
        <f>[1]Results!AE209</f>
        <v>1.3425474470000001</v>
      </c>
      <c r="AC482" s="3">
        <f>[1]Results!AF209</f>
        <v>1.3551473789999999</v>
      </c>
      <c r="AD482" s="3">
        <f>[1]Results!AG209</f>
        <v>1.367888102</v>
      </c>
      <c r="AE482" s="3">
        <f>[1]Results!AH209</f>
        <v>1.380713522</v>
      </c>
      <c r="AF482" s="3">
        <f>[1]Results!AI209</f>
        <v>1.393635993</v>
      </c>
      <c r="AG482" s="3">
        <f>[1]Results!AJ209</f>
        <v>1.4066789740000001</v>
      </c>
      <c r="AH482" s="3">
        <f>[1]Results!AK209</f>
        <v>1.4198868469999999</v>
      </c>
      <c r="AI482" s="3">
        <f>[1]Results!AL209</f>
        <v>1.433259837</v>
      </c>
      <c r="AJ482" s="3">
        <f>[1]Results!AM209</f>
        <v>1.44680703</v>
      </c>
      <c r="AK482" s="3">
        <f>[1]Results!AN209</f>
        <v>1.4605360359999999</v>
      </c>
      <c r="AL482" s="3">
        <f>[1]Results!AO209</f>
        <v>1.4744524779999999</v>
      </c>
      <c r="AM482" s="3">
        <f>[1]Results!AP209</f>
        <v>1.488325753</v>
      </c>
      <c r="AN482" s="3">
        <f>[1]Results!AQ209</f>
        <v>1.5022745399999999</v>
      </c>
      <c r="AO482" s="3">
        <f>[1]Results!AR209</f>
        <v>1.516346484</v>
      </c>
      <c r="AP482" s="3">
        <f>[1]Results!AS209</f>
        <v>1.5305643630000001</v>
      </c>
      <c r="AQ482" s="3">
        <f>[1]Results!AT209</f>
        <v>1.5449435629999999</v>
      </c>
      <c r="AR482" s="3">
        <f>[1]Results!AU209</f>
        <v>1.559532827</v>
      </c>
      <c r="AS482" s="3">
        <f>[1]Results!AV209</f>
        <v>1.5743154939999999</v>
      </c>
      <c r="AT482" s="3">
        <f>[1]Results!AW209</f>
        <v>1.589294706</v>
      </c>
      <c r="AU482" s="3">
        <f>[1]Results!AX209</f>
        <v>1.604475826</v>
      </c>
      <c r="AV482" s="3">
        <f>[1]Results!AY209</f>
        <v>1.619863391</v>
      </c>
      <c r="AW482" s="3">
        <f>[1]Results!AZ209</f>
        <v>1.635630744</v>
      </c>
      <c r="AX482" s="3">
        <f>[1]Results!BA209</f>
        <v>1.651660745</v>
      </c>
      <c r="AY482" s="3">
        <f>[1]Results!BB209</f>
        <v>1.667931364</v>
      </c>
      <c r="AZ482" s="3">
        <f>[1]Results!BC209</f>
        <v>1.6844390970000001</v>
      </c>
      <c r="BA482" s="3">
        <f>[1]Results!BD209</f>
        <v>1.701184115</v>
      </c>
      <c r="BB482" s="3">
        <f>[1]Results!BE209</f>
        <v>2.0573651060000002</v>
      </c>
      <c r="BC482" s="3">
        <f>[1]Results!BF209</f>
        <v>2.086709532</v>
      </c>
      <c r="BD482" s="3">
        <f>[1]Results!BG209</f>
        <v>2.1165431620000001</v>
      </c>
      <c r="BE482" s="3">
        <f>[1]Results!BH209</f>
        <v>2.146877581</v>
      </c>
      <c r="BF482" s="3">
        <f>[1]Results!BI209</f>
        <v>2.1777251980000001</v>
      </c>
    </row>
    <row r="483" spans="1:58" x14ac:dyDescent="0.35">
      <c r="B483" s="3" t="str">
        <f>[1]Results!E212</f>
        <v>YG_toe_cfut_2</v>
      </c>
      <c r="C483" s="3">
        <f>[1]Results!F212</f>
        <v>41.682123939999997</v>
      </c>
      <c r="D483" s="3">
        <f>[1]Results!G212</f>
        <v>41.782059459999999</v>
      </c>
      <c r="E483" s="3">
        <f>[1]Results!H212</f>
        <v>41.887751080000001</v>
      </c>
      <c r="F483" s="3">
        <f>[1]Results!I212</f>
        <v>42.047291299999998</v>
      </c>
      <c r="G483" s="3">
        <f>[1]Results!J212</f>
        <v>42.276446270000001</v>
      </c>
      <c r="H483" s="3">
        <f>[1]Results!K212</f>
        <v>42.570782800000003</v>
      </c>
      <c r="I483" s="3">
        <f>[1]Results!L212</f>
        <v>42.897898130000002</v>
      </c>
      <c r="J483" s="3">
        <f>[1]Results!M212</f>
        <v>43.261618079999998</v>
      </c>
      <c r="K483" s="3">
        <f>[1]Results!N212</f>
        <v>43.654213519999999</v>
      </c>
      <c r="L483" s="3">
        <f>[1]Results!O212</f>
        <v>44.069007139999997</v>
      </c>
      <c r="M483" s="3">
        <f>[1]Results!P212</f>
        <v>44.473175640000001</v>
      </c>
      <c r="N483" s="3">
        <f>[1]Results!Q212</f>
        <v>44.959107670000002</v>
      </c>
      <c r="O483" s="3">
        <f>[1]Results!R212</f>
        <v>45.463319319999997</v>
      </c>
      <c r="P483" s="3">
        <f>[1]Results!S212</f>
        <v>45.980348970000001</v>
      </c>
      <c r="Q483" s="3">
        <f>[1]Results!T212</f>
        <v>46.507796220000003</v>
      </c>
      <c r="R483" s="3">
        <f>[1]Results!U212</f>
        <v>47.043988669999997</v>
      </c>
      <c r="S483" s="3">
        <f>[1]Results!V212</f>
        <v>47.585054499999998</v>
      </c>
      <c r="T483" s="3">
        <f>[1]Results!W212</f>
        <v>48.13199178</v>
      </c>
      <c r="U483" s="3">
        <f>[1]Results!X212</f>
        <v>48.684032270000003</v>
      </c>
      <c r="V483" s="3">
        <f>[1]Results!Y212</f>
        <v>49.240560139999999</v>
      </c>
      <c r="W483" s="3">
        <f>[1]Results!Z212</f>
        <v>49.775467900000002</v>
      </c>
      <c r="X483" s="3">
        <f>[1]Results!AA212</f>
        <v>50.331970269999999</v>
      </c>
      <c r="Y483" s="3">
        <f>[1]Results!AB212</f>
        <v>50.894430120000003</v>
      </c>
      <c r="Z483" s="3">
        <f>[1]Results!AC212</f>
        <v>51.461844300000003</v>
      </c>
      <c r="AA483" s="3">
        <f>[1]Results!AD212</f>
        <v>52.034094799999998</v>
      </c>
      <c r="AB483" s="3">
        <f>[1]Results!AE212</f>
        <v>52.537806519999997</v>
      </c>
      <c r="AC483" s="3">
        <f>[1]Results!AF212</f>
        <v>53.063855179999997</v>
      </c>
      <c r="AD483" s="3">
        <f>[1]Results!AG212</f>
        <v>53.590640010000001</v>
      </c>
      <c r="AE483" s="3">
        <f>[1]Results!AH212</f>
        <v>54.118392880000002</v>
      </c>
      <c r="AF483" s="3">
        <f>[1]Results!AI212</f>
        <v>54.648305020000002</v>
      </c>
      <c r="AG483" s="3">
        <f>[1]Results!AJ212</f>
        <v>55.181587610000001</v>
      </c>
      <c r="AH483" s="3">
        <f>[1]Results!AK212</f>
        <v>55.72001255</v>
      </c>
      <c r="AI483" s="3">
        <f>[1]Results!AL212</f>
        <v>56.263767360000003</v>
      </c>
      <c r="AJ483" s="3">
        <f>[1]Results!AM212</f>
        <v>56.813439379999998</v>
      </c>
      <c r="AK483" s="3">
        <f>[1]Results!AN212</f>
        <v>57.369473550000002</v>
      </c>
      <c r="AL483" s="3">
        <f>[1]Results!AO212</f>
        <v>57.93219783</v>
      </c>
      <c r="AM483" s="3">
        <f>[1]Results!AP212</f>
        <v>58.49154111</v>
      </c>
      <c r="AN483" s="3">
        <f>[1]Results!AQ212</f>
        <v>59.053646389999997</v>
      </c>
      <c r="AO483" s="3">
        <f>[1]Results!AR212</f>
        <v>59.619924580000003</v>
      </c>
      <c r="AP483" s="3">
        <f>[1]Results!AS212</f>
        <v>60.191228299999999</v>
      </c>
      <c r="AQ483" s="3">
        <f>[1]Results!AT212</f>
        <v>60.768253999999999</v>
      </c>
      <c r="AR483" s="3">
        <f>[1]Results!AU212</f>
        <v>61.352811119999998</v>
      </c>
      <c r="AS483" s="3">
        <f>[1]Results!AV212</f>
        <v>61.944421079999998</v>
      </c>
      <c r="AT483" s="3">
        <f>[1]Results!AW212</f>
        <v>62.543472940000001</v>
      </c>
      <c r="AU483" s="3">
        <f>[1]Results!AX212</f>
        <v>63.150294449999997</v>
      </c>
      <c r="AV483" s="3">
        <f>[1]Results!AY212</f>
        <v>63.76514281</v>
      </c>
      <c r="AW483" s="3">
        <f>[1]Results!AZ212</f>
        <v>64.394067960000001</v>
      </c>
      <c r="AX483" s="3">
        <f>[1]Results!BA212</f>
        <v>65.032601470000003</v>
      </c>
      <c r="AY483" s="3">
        <f>[1]Results!BB212</f>
        <v>65.680609950000004</v>
      </c>
      <c r="AZ483" s="3">
        <f>[1]Results!BC212</f>
        <v>66.338106490000001</v>
      </c>
      <c r="BA483" s="3">
        <f>[1]Results!BD212</f>
        <v>67.005136350000001</v>
      </c>
      <c r="BB483" s="3">
        <f>[1]Results!BE212</f>
        <v>79.759657880000006</v>
      </c>
      <c r="BC483" s="3">
        <f>[1]Results!BF212</f>
        <v>80.877687420000001</v>
      </c>
      <c r="BD483" s="3">
        <f>[1]Results!BG212</f>
        <v>82.013431510000004</v>
      </c>
      <c r="BE483" s="3">
        <f>[1]Results!BH212</f>
        <v>83.167382599999996</v>
      </c>
      <c r="BF483" s="3">
        <f>[1]Results!BI212</f>
        <v>84.340058659999997</v>
      </c>
    </row>
    <row r="484" spans="1:58" x14ac:dyDescent="0.35">
      <c r="B484" s="3" t="str">
        <f>[1]Results!E215</f>
        <v>YG_toe_cfuh_2</v>
      </c>
      <c r="C484" s="3">
        <f>[1]Results!F215</f>
        <v>7.8576581870000002</v>
      </c>
      <c r="D484" s="3">
        <f>[1]Results!G215</f>
        <v>7.900170439</v>
      </c>
      <c r="E484" s="3">
        <f>[1]Results!H215</f>
        <v>7.9314640350000003</v>
      </c>
      <c r="F484" s="3">
        <f>[1]Results!I215</f>
        <v>7.9611857309999996</v>
      </c>
      <c r="G484" s="3">
        <f>[1]Results!J215</f>
        <v>7.9954586030000003</v>
      </c>
      <c r="H484" s="3">
        <f>[1]Results!K215</f>
        <v>8.0365737450000001</v>
      </c>
      <c r="I484" s="3">
        <f>[1]Results!L215</f>
        <v>8.0805613510000001</v>
      </c>
      <c r="J484" s="3">
        <f>[1]Results!M215</f>
        <v>8.1288627370000004</v>
      </c>
      <c r="K484" s="3">
        <f>[1]Results!N215</f>
        <v>8.1806537870000007</v>
      </c>
      <c r="L484" s="3">
        <f>[1]Results!O215</f>
        <v>8.2343039850000004</v>
      </c>
      <c r="M484" s="3">
        <f>[1]Results!P215</f>
        <v>8.2884570239999995</v>
      </c>
      <c r="N484" s="3">
        <f>[1]Results!Q215</f>
        <v>8.3499575309999994</v>
      </c>
      <c r="O484" s="3">
        <f>[1]Results!R215</f>
        <v>8.4135571700000007</v>
      </c>
      <c r="P484" s="3">
        <f>[1]Results!S215</f>
        <v>8.4787434949999998</v>
      </c>
      <c r="Q484" s="3">
        <f>[1]Results!T215</f>
        <v>8.5453225679999996</v>
      </c>
      <c r="R484" s="3">
        <f>[1]Results!U215</f>
        <v>8.6131933709999995</v>
      </c>
      <c r="S484" s="3">
        <f>[1]Results!V215</f>
        <v>8.6818275630000006</v>
      </c>
      <c r="T484" s="3">
        <f>[1]Results!W215</f>
        <v>8.7514528919999997</v>
      </c>
      <c r="U484" s="3">
        <f>[1]Results!X215</f>
        <v>8.8220630100000008</v>
      </c>
      <c r="V484" s="3">
        <f>[1]Results!Y215</f>
        <v>8.8936200420000002</v>
      </c>
      <c r="W484" s="3">
        <f>[1]Results!Z215</f>
        <v>8.9613300169999999</v>
      </c>
      <c r="X484" s="3">
        <f>[1]Results!AA215</f>
        <v>9.032797038</v>
      </c>
      <c r="Y484" s="3">
        <f>[1]Results!AB215</f>
        <v>9.1059780870000004</v>
      </c>
      <c r="Z484" s="3">
        <f>[1]Results!AC215</f>
        <v>9.1804861100000004</v>
      </c>
      <c r="AA484" s="3">
        <f>[1]Results!AD215</f>
        <v>9.2562278100000004</v>
      </c>
      <c r="AB484" s="3">
        <f>[1]Results!AE215</f>
        <v>9.3196635499999996</v>
      </c>
      <c r="AC484" s="3">
        <f>[1]Results!AF215</f>
        <v>9.3862027080000008</v>
      </c>
      <c r="AD484" s="3">
        <f>[1]Results!AG215</f>
        <v>9.4536483279999999</v>
      </c>
      <c r="AE484" s="3">
        <f>[1]Results!AH215</f>
        <v>9.5218710719999997</v>
      </c>
      <c r="AF484" s="3">
        <f>[1]Results!AI215</f>
        <v>9.5910092910000007</v>
      </c>
      <c r="AG484" s="3">
        <f>[1]Results!AJ215</f>
        <v>9.6612323080000007</v>
      </c>
      <c r="AH484" s="3">
        <f>[1]Results!AK215</f>
        <v>9.7327990329999992</v>
      </c>
      <c r="AI484" s="3">
        <f>[1]Results!AL215</f>
        <v>9.8057365759999993</v>
      </c>
      <c r="AJ484" s="3">
        <f>[1]Results!AM215</f>
        <v>9.8800955960000003</v>
      </c>
      <c r="AK484" s="3">
        <f>[1]Results!AN215</f>
        <v>9.9558992810000007</v>
      </c>
      <c r="AL484" s="3">
        <f>[1]Results!AO215</f>
        <v>10.033169880000001</v>
      </c>
      <c r="AM484" s="3">
        <f>[1]Results!AP215</f>
        <v>10.109808900000001</v>
      </c>
      <c r="AN484" s="3">
        <f>[1]Results!AQ215</f>
        <v>10.18692109</v>
      </c>
      <c r="AO484" s="3">
        <f>[1]Results!AR215</f>
        <v>10.264872459999999</v>
      </c>
      <c r="AP484" s="3">
        <f>[1]Results!AS215</f>
        <v>10.343861739999999</v>
      </c>
      <c r="AQ484" s="3">
        <f>[1]Results!AT215</f>
        <v>10.42402124</v>
      </c>
      <c r="AR484" s="3">
        <f>[1]Results!AU215</f>
        <v>10.50561501</v>
      </c>
      <c r="AS484" s="3">
        <f>[1]Results!AV215</f>
        <v>10.5885835</v>
      </c>
      <c r="AT484" s="3">
        <f>[1]Results!AW215</f>
        <v>10.672944210000001</v>
      </c>
      <c r="AU484" s="3">
        <f>[1]Results!AX215</f>
        <v>10.758713220000001</v>
      </c>
      <c r="AV484" s="3">
        <f>[1]Results!AY215</f>
        <v>10.84589774</v>
      </c>
      <c r="AW484" s="3">
        <f>[1]Results!AZ215</f>
        <v>10.935373139999999</v>
      </c>
      <c r="AX484" s="3">
        <f>[1]Results!BA215</f>
        <v>11.0265503</v>
      </c>
      <c r="AY484" s="3">
        <f>[1]Results!BB215</f>
        <v>11.119305880000001</v>
      </c>
      <c r="AZ484" s="3">
        <f>[1]Results!BC215</f>
        <v>11.21359472</v>
      </c>
      <c r="BA484" s="3">
        <f>[1]Results!BD215</f>
        <v>11.30939611</v>
      </c>
      <c r="BB484" s="3">
        <f>[1]Results!BE215</f>
        <v>13.19740314</v>
      </c>
      <c r="BC484" s="3">
        <f>[1]Results!BF215</f>
        <v>13.36274448</v>
      </c>
      <c r="BD484" s="3">
        <f>[1]Results!BG215</f>
        <v>13.530779470000001</v>
      </c>
      <c r="BE484" s="3">
        <f>[1]Results!BH215</f>
        <v>13.7015577</v>
      </c>
      <c r="BF484" s="3">
        <f>[1]Results!BI215</f>
        <v>13.87513983</v>
      </c>
    </row>
    <row r="485" spans="1:58" x14ac:dyDescent="0.35">
      <c r="B485" s="3" t="str">
        <f>[1]Results!E217</f>
        <v>YG_toe_cgas_2</v>
      </c>
      <c r="C485" s="3">
        <f>[1]Results!F217</f>
        <v>6.4188251369999998</v>
      </c>
      <c r="D485" s="3">
        <f>[1]Results!G217</f>
        <v>6.4998769479999998</v>
      </c>
      <c r="E485" s="3">
        <f>[1]Results!H217</f>
        <v>6.5288774070000004</v>
      </c>
      <c r="F485" s="3">
        <f>[1]Results!I217</f>
        <v>6.5325874649999998</v>
      </c>
      <c r="G485" s="3">
        <f>[1]Results!J217</f>
        <v>6.5234835320000002</v>
      </c>
      <c r="H485" s="3">
        <f>[1]Results!K217</f>
        <v>6.507224431</v>
      </c>
      <c r="I485" s="3">
        <f>[1]Results!L217</f>
        <v>6.4816215760000002</v>
      </c>
      <c r="J485" s="3">
        <f>[1]Results!M217</f>
        <v>6.452841383</v>
      </c>
      <c r="K485" s="3">
        <f>[1]Results!N217</f>
        <v>6.4207761010000004</v>
      </c>
      <c r="L485" s="3">
        <f>[1]Results!O217</f>
        <v>6.3836469530000004</v>
      </c>
      <c r="M485" s="3">
        <f>[1]Results!P217</f>
        <v>6.3329061070000003</v>
      </c>
      <c r="N485" s="3">
        <f>[1]Results!Q217</f>
        <v>6.2930965890000001</v>
      </c>
      <c r="O485" s="3">
        <f>[1]Results!R217</f>
        <v>6.2457536710000001</v>
      </c>
      <c r="P485" s="3">
        <f>[1]Results!S217</f>
        <v>6.1945475730000004</v>
      </c>
      <c r="Q485" s="3">
        <f>[1]Results!T217</f>
        <v>6.1414831489999999</v>
      </c>
      <c r="R485" s="3">
        <f>[1]Results!U217</f>
        <v>6.0880181310000001</v>
      </c>
      <c r="S485" s="3">
        <f>[1]Results!V217</f>
        <v>6.0337849989999999</v>
      </c>
      <c r="T485" s="3">
        <f>[1]Results!W217</f>
        <v>5.980693649</v>
      </c>
      <c r="U485" s="3">
        <f>[1]Results!X217</f>
        <v>5.9291559139999999</v>
      </c>
      <c r="V485" s="3">
        <f>[1]Results!Y217</f>
        <v>5.8793378020000002</v>
      </c>
      <c r="W485" s="3">
        <f>[1]Results!Z217</f>
        <v>5.8264680679999996</v>
      </c>
      <c r="X485" s="3">
        <f>[1]Results!AA217</f>
        <v>5.7808292420000003</v>
      </c>
      <c r="Y485" s="3">
        <f>[1]Results!AB217</f>
        <v>5.7366557480000004</v>
      </c>
      <c r="Z485" s="3">
        <f>[1]Results!AC217</f>
        <v>5.6938724059999997</v>
      </c>
      <c r="AA485" s="3">
        <f>[1]Results!AD217</f>
        <v>5.6522457529999999</v>
      </c>
      <c r="AB485" s="3">
        <f>[1]Results!AE217</f>
        <v>5.5983916220000003</v>
      </c>
      <c r="AC485" s="3">
        <f>[1]Results!AF217</f>
        <v>5.5553704359999996</v>
      </c>
      <c r="AD485" s="3">
        <f>[1]Results!AG217</f>
        <v>5.5137460259999997</v>
      </c>
      <c r="AE485" s="3">
        <f>[1]Results!AH217</f>
        <v>5.473450197</v>
      </c>
      <c r="AF485" s="3">
        <f>[1]Results!AI217</f>
        <v>5.4340913009999996</v>
      </c>
      <c r="AG485" s="3">
        <f>[1]Results!AJ217</f>
        <v>5.3953195090000001</v>
      </c>
      <c r="AH485" s="3">
        <f>[1]Results!AK217</f>
        <v>5.3572411869999996</v>
      </c>
      <c r="AI485" s="3">
        <f>[1]Results!AL217</f>
        <v>5.3192966909999999</v>
      </c>
      <c r="AJ485" s="3">
        <f>[1]Results!AM217</f>
        <v>5.2812905199999998</v>
      </c>
      <c r="AK485" s="3">
        <f>[1]Results!AN217</f>
        <v>5.2430832299999999</v>
      </c>
      <c r="AL485" s="3">
        <f>[1]Results!AO217</f>
        <v>5.2046128100000004</v>
      </c>
      <c r="AM485" s="3">
        <f>[1]Results!AP217</f>
        <v>5.1664047780000004</v>
      </c>
      <c r="AN485" s="3">
        <f>[1]Results!AQ217</f>
        <v>5.128588476</v>
      </c>
      <c r="AO485" s="3">
        <f>[1]Results!AR217</f>
        <v>5.0909300000000002</v>
      </c>
      <c r="AP485" s="3">
        <f>[1]Results!AS217</f>
        <v>5.0533631689999998</v>
      </c>
      <c r="AQ485" s="3">
        <f>[1]Results!AT217</f>
        <v>5.0158325499999998</v>
      </c>
      <c r="AR485" s="3">
        <f>[1]Results!AU217</f>
        <v>4.9788569210000002</v>
      </c>
      <c r="AS485" s="3">
        <f>[1]Results!AV217</f>
        <v>4.9418242169999997</v>
      </c>
      <c r="AT485" s="3">
        <f>[1]Results!AW217</f>
        <v>4.9046858699999998</v>
      </c>
      <c r="AU485" s="3">
        <f>[1]Results!AX217</f>
        <v>4.8674205070000003</v>
      </c>
      <c r="AV485" s="3">
        <f>[1]Results!AY217</f>
        <v>4.8300292279999999</v>
      </c>
      <c r="AW485" s="3">
        <f>[1]Results!AZ217</f>
        <v>4.7947807290000002</v>
      </c>
      <c r="AX485" s="3">
        <f>[1]Results!BA217</f>
        <v>4.7594106439999999</v>
      </c>
      <c r="AY485" s="3">
        <f>[1]Results!BB217</f>
        <v>4.7239173550000002</v>
      </c>
      <c r="AZ485" s="3">
        <f>[1]Results!BC217</f>
        <v>4.6883239970000004</v>
      </c>
      <c r="BA485" s="3">
        <f>[1]Results!BD217</f>
        <v>4.6526880820000001</v>
      </c>
      <c r="BB485" s="3">
        <f>[1]Results!BE217</f>
        <v>6.2656216210000002</v>
      </c>
      <c r="BC485" s="3">
        <f>[1]Results!BF217</f>
        <v>6.2765990770000002</v>
      </c>
      <c r="BD485" s="3">
        <f>[1]Results!BG217</f>
        <v>6.2882836400000004</v>
      </c>
      <c r="BE485" s="3">
        <f>[1]Results!BH217</f>
        <v>6.3006207659999998</v>
      </c>
      <c r="BF485" s="3">
        <f>[1]Results!BI217</f>
        <v>6.3135823980000003</v>
      </c>
    </row>
    <row r="486" spans="1:58" x14ac:dyDescent="0.35">
      <c r="B486" s="3" t="str">
        <f>[1]Results!E223</f>
        <v>YG_toe_cele_2</v>
      </c>
      <c r="C486" s="3">
        <f>[1]Results!F223</f>
        <v>56.380606190000002</v>
      </c>
      <c r="D486" s="3">
        <f>[1]Results!G223</f>
        <v>56.543759610000002</v>
      </c>
      <c r="E486" s="3">
        <f>[1]Results!H223</f>
        <v>56.745910189999996</v>
      </c>
      <c r="F486" s="3">
        <f>[1]Results!I223</f>
        <v>57.005118269999997</v>
      </c>
      <c r="G486" s="3">
        <f>[1]Results!J223</f>
        <v>57.342540229999997</v>
      </c>
      <c r="H486" s="3">
        <f>[1]Results!K223</f>
        <v>57.756742029999998</v>
      </c>
      <c r="I486" s="3">
        <f>[1]Results!L223</f>
        <v>58.201876599999999</v>
      </c>
      <c r="J486" s="3">
        <f>[1]Results!M223</f>
        <v>58.680688320000002</v>
      </c>
      <c r="K486" s="3">
        <f>[1]Results!N223</f>
        <v>59.180719459999999</v>
      </c>
      <c r="L486" s="3">
        <f>[1]Results!O223</f>
        <v>59.688996950000003</v>
      </c>
      <c r="M486" s="3">
        <f>[1]Results!P223</f>
        <v>60.176092410000003</v>
      </c>
      <c r="N486" s="3">
        <f>[1]Results!Q223</f>
        <v>60.73271115</v>
      </c>
      <c r="O486" s="3">
        <f>[1]Results!R223</f>
        <v>61.295769470000003</v>
      </c>
      <c r="P486" s="3">
        <f>[1]Results!S223</f>
        <v>61.859717349999997</v>
      </c>
      <c r="Q486" s="3">
        <f>[1]Results!T223</f>
        <v>62.423009999999998</v>
      </c>
      <c r="R486" s="3">
        <f>[1]Results!U223</f>
        <v>62.984833709999997</v>
      </c>
      <c r="S486" s="3">
        <f>[1]Results!V223</f>
        <v>63.541632040000003</v>
      </c>
      <c r="T486" s="3">
        <f>[1]Results!W223</f>
        <v>64.094495199999997</v>
      </c>
      <c r="U486" s="3">
        <f>[1]Results!X223</f>
        <v>64.644209380000007</v>
      </c>
      <c r="V486" s="3">
        <f>[1]Results!Y223</f>
        <v>65.191866759999996</v>
      </c>
      <c r="W486" s="3">
        <f>[1]Results!Z223</f>
        <v>65.700349700000004</v>
      </c>
      <c r="X486" s="3">
        <f>[1]Results!AA223</f>
        <v>66.234505940000005</v>
      </c>
      <c r="Y486" s="3">
        <f>[1]Results!AB223</f>
        <v>66.776542019999994</v>
      </c>
      <c r="Z486" s="3">
        <f>[1]Results!AC223</f>
        <v>67.325113579999993</v>
      </c>
      <c r="AA486" s="3">
        <f>[1]Results!AD223</f>
        <v>67.880768309999993</v>
      </c>
      <c r="AB486" s="3">
        <f>[1]Results!AE223</f>
        <v>68.335654090000006</v>
      </c>
      <c r="AC486" s="3">
        <f>[1]Results!AF223</f>
        <v>68.820219789999996</v>
      </c>
      <c r="AD486" s="3">
        <f>[1]Results!AG223</f>
        <v>69.313313949999994</v>
      </c>
      <c r="AE486" s="3">
        <f>[1]Results!AH223</f>
        <v>69.815020899999993</v>
      </c>
      <c r="AF486" s="3">
        <f>[1]Results!AI223</f>
        <v>70.326970029999998</v>
      </c>
      <c r="AG486" s="3">
        <f>[1]Results!AJ223</f>
        <v>70.850796340000002</v>
      </c>
      <c r="AH486" s="3">
        <f>[1]Results!AK223</f>
        <v>71.388593850000007</v>
      </c>
      <c r="AI486" s="3">
        <f>[1]Results!AL223</f>
        <v>71.940975350000002</v>
      </c>
      <c r="AJ486" s="3">
        <f>[1]Results!AM223</f>
        <v>72.508346549999999</v>
      </c>
      <c r="AK486" s="3">
        <f>[1]Results!AN223</f>
        <v>73.090784780000007</v>
      </c>
      <c r="AL486" s="3">
        <f>[1]Results!AO223</f>
        <v>73.688129799999999</v>
      </c>
      <c r="AM486" s="3">
        <f>[1]Results!AP223</f>
        <v>74.282089920000004</v>
      </c>
      <c r="AN486" s="3">
        <f>[1]Results!AQ223</f>
        <v>74.885839590000003</v>
      </c>
      <c r="AO486" s="3">
        <f>[1]Results!AR223</f>
        <v>75.501577710000007</v>
      </c>
      <c r="AP486" s="3">
        <f>[1]Results!AS223</f>
        <v>76.129518230000002</v>
      </c>
      <c r="AQ486" s="3">
        <f>[1]Results!AT223</f>
        <v>76.769412389999999</v>
      </c>
      <c r="AR486" s="3">
        <f>[1]Results!AU223</f>
        <v>77.422142910000005</v>
      </c>
      <c r="AS486" s="3">
        <f>[1]Results!AV223</f>
        <v>78.086981719999997</v>
      </c>
      <c r="AT486" s="3">
        <f>[1]Results!AW223</f>
        <v>78.763460190000004</v>
      </c>
      <c r="AU486" s="3">
        <f>[1]Results!AX223</f>
        <v>79.451066299999994</v>
      </c>
      <c r="AV486" s="3">
        <f>[1]Results!AY223</f>
        <v>80.149282400000004</v>
      </c>
      <c r="AW486" s="3">
        <f>[1]Results!AZ223</f>
        <v>80.864092119999995</v>
      </c>
      <c r="AX486" s="3">
        <f>[1]Results!BA223</f>
        <v>81.592232379999999</v>
      </c>
      <c r="AY486" s="3">
        <f>[1]Results!BB223</f>
        <v>82.332450589999993</v>
      </c>
      <c r="AZ486" s="3">
        <f>[1]Results!BC223</f>
        <v>83.083549649999995</v>
      </c>
      <c r="BA486" s="3">
        <f>[1]Results!BD223</f>
        <v>83.844492250000002</v>
      </c>
      <c r="BB486" s="3">
        <f>[1]Results!BE223</f>
        <v>100.3150411</v>
      </c>
      <c r="BC486" s="3">
        <f>[1]Results!BF223</f>
        <v>101.6970796</v>
      </c>
      <c r="BD486" s="3">
        <f>[1]Results!BG223</f>
        <v>103.1047011</v>
      </c>
      <c r="BE486" s="3">
        <f>[1]Results!BH223</f>
        <v>104.53813890000001</v>
      </c>
      <c r="BF486" s="3">
        <f>[1]Results!BI223</f>
        <v>105.99762610000001</v>
      </c>
    </row>
    <row r="487" spans="1:58" x14ac:dyDescent="0.35">
      <c r="B487" s="3" t="s">
        <v>75</v>
      </c>
      <c r="C487" s="3">
        <f>SUM(C488:C490)</f>
        <v>30.312762726000003</v>
      </c>
      <c r="D487" s="3">
        <f t="shared" ref="D487:AL487" si="302">SUM(D488:D490)</f>
        <v>30.433523132000001</v>
      </c>
      <c r="E487" s="3">
        <f t="shared" si="302"/>
        <v>30.583262527999999</v>
      </c>
      <c r="F487" s="3">
        <f t="shared" si="302"/>
        <v>30.760971156000004</v>
      </c>
      <c r="G487" s="3">
        <f t="shared" si="302"/>
        <v>30.968219707999999</v>
      </c>
      <c r="H487" s="3">
        <f t="shared" si="302"/>
        <v>31.202575071999998</v>
      </c>
      <c r="I487" s="3">
        <f t="shared" si="302"/>
        <v>31.437782374000001</v>
      </c>
      <c r="J487" s="3">
        <f t="shared" si="302"/>
        <v>31.683293720000002</v>
      </c>
      <c r="K487" s="3">
        <f t="shared" si="302"/>
        <v>31.937367621999996</v>
      </c>
      <c r="L487" s="3">
        <f t="shared" si="302"/>
        <v>32.196942076999996</v>
      </c>
      <c r="M487" s="3">
        <f t="shared" si="302"/>
        <v>32.443625232999999</v>
      </c>
      <c r="N487" s="3">
        <f t="shared" si="302"/>
        <v>32.727608181999997</v>
      </c>
      <c r="O487" s="3">
        <f t="shared" si="302"/>
        <v>33.012127093000004</v>
      </c>
      <c r="P487" s="3">
        <f t="shared" si="302"/>
        <v>33.2968999</v>
      </c>
      <c r="Q487" s="3">
        <f t="shared" si="302"/>
        <v>33.583001619000001</v>
      </c>
      <c r="R487" s="3">
        <f t="shared" si="302"/>
        <v>33.871066960999997</v>
      </c>
      <c r="S487" s="3">
        <f t="shared" si="302"/>
        <v>34.158823234000003</v>
      </c>
      <c r="T487" s="3">
        <f t="shared" si="302"/>
        <v>34.447945482999998</v>
      </c>
      <c r="U487" s="3">
        <f t="shared" si="302"/>
        <v>34.73891235</v>
      </c>
      <c r="V487" s="3">
        <f t="shared" si="302"/>
        <v>35.032047320000004</v>
      </c>
      <c r="W487" s="3">
        <f t="shared" si="302"/>
        <v>35.302921984000001</v>
      </c>
      <c r="X487" s="3">
        <f t="shared" si="302"/>
        <v>35.593612543999996</v>
      </c>
      <c r="Y487" s="3">
        <f t="shared" si="302"/>
        <v>35.891335338000005</v>
      </c>
      <c r="Z487" s="3">
        <f t="shared" si="302"/>
        <v>36.194098139000005</v>
      </c>
      <c r="AA487" s="3">
        <f t="shared" si="302"/>
        <v>36.501419979999994</v>
      </c>
      <c r="AB487" s="3">
        <f t="shared" si="302"/>
        <v>36.743808109</v>
      </c>
      <c r="AC487" s="3">
        <f t="shared" si="302"/>
        <v>37.007325831000003</v>
      </c>
      <c r="AD487" s="3">
        <f t="shared" si="302"/>
        <v>37.276795383999996</v>
      </c>
      <c r="AE487" s="3">
        <f t="shared" si="302"/>
        <v>37.550958210000005</v>
      </c>
      <c r="AF487" s="3">
        <f t="shared" si="302"/>
        <v>37.829824399000003</v>
      </c>
      <c r="AG487" s="3">
        <f t="shared" si="302"/>
        <v>38.113679888999997</v>
      </c>
      <c r="AH487" s="3">
        <f t="shared" si="302"/>
        <v>38.403516586000002</v>
      </c>
      <c r="AI487" s="3">
        <f t="shared" si="302"/>
        <v>38.699127598000004</v>
      </c>
      <c r="AJ487" s="3">
        <f t="shared" si="302"/>
        <v>39.000554774000001</v>
      </c>
      <c r="AK487" s="3">
        <f t="shared" si="302"/>
        <v>39.307803069000002</v>
      </c>
      <c r="AL487" s="3">
        <f t="shared" si="302"/>
        <v>39.620837038000005</v>
      </c>
      <c r="AM487" s="3">
        <f t="shared" ref="AM487:BC487" si="303">SUM(AM488:AM490)</f>
        <v>39.930098350000002</v>
      </c>
      <c r="AN487" s="3">
        <f t="shared" si="303"/>
        <v>40.242276126000007</v>
      </c>
      <c r="AO487" s="3">
        <f t="shared" si="303"/>
        <v>40.558762768000001</v>
      </c>
      <c r="AP487" s="3">
        <f t="shared" si="303"/>
        <v>40.879927109999997</v>
      </c>
      <c r="AQ487" s="3">
        <f t="shared" si="303"/>
        <v>41.205872373000005</v>
      </c>
      <c r="AR487" s="3">
        <f t="shared" si="303"/>
        <v>41.537704415999997</v>
      </c>
      <c r="AS487" s="3">
        <f t="shared" si="303"/>
        <v>41.874763922</v>
      </c>
      <c r="AT487" s="3">
        <f t="shared" si="303"/>
        <v>42.216913977999994</v>
      </c>
      <c r="AU487" s="3">
        <f t="shared" si="303"/>
        <v>42.564065677000002</v>
      </c>
      <c r="AV487" s="3">
        <f t="shared" si="303"/>
        <v>42.916149692999994</v>
      </c>
      <c r="AW487" s="3">
        <f t="shared" si="303"/>
        <v>43.278234819999994</v>
      </c>
      <c r="AX487" s="3">
        <f t="shared" si="303"/>
        <v>43.646932294999999</v>
      </c>
      <c r="AY487" s="3">
        <f t="shared" si="303"/>
        <v>44.021495758</v>
      </c>
      <c r="AZ487" s="3">
        <f t="shared" si="303"/>
        <v>44.401518656999997</v>
      </c>
      <c r="BA487" s="3">
        <f t="shared" si="303"/>
        <v>44.786781167000001</v>
      </c>
      <c r="BB487" s="3">
        <f t="shared" si="303"/>
        <v>53.620557218000002</v>
      </c>
      <c r="BC487" s="3">
        <f t="shared" si="303"/>
        <v>54.325096646000006</v>
      </c>
      <c r="BD487" s="3">
        <f t="shared" ref="BD487:BF487" si="304">SUM(BD488:BD490)</f>
        <v>55.041940492999998</v>
      </c>
      <c r="BE487" s="3">
        <f t="shared" si="304"/>
        <v>55.771215057999996</v>
      </c>
      <c r="BF487" s="3">
        <f t="shared" si="304"/>
        <v>56.513095601000003</v>
      </c>
    </row>
    <row r="488" spans="1:58" x14ac:dyDescent="0.35">
      <c r="B488" s="3" t="str">
        <f>[1]Results!E233</f>
        <v>YG_toe_chea_2</v>
      </c>
      <c r="C488" s="3">
        <f>[1]Results!F233</f>
        <v>5.6668339359999997</v>
      </c>
      <c r="D488" s="3">
        <f>[1]Results!G233</f>
        <v>5.7107075119999999</v>
      </c>
      <c r="E488" s="3">
        <f>[1]Results!H233</f>
        <v>5.7608026179999996</v>
      </c>
      <c r="F488" s="3">
        <f>[1]Results!I233</f>
        <v>5.8143046859999998</v>
      </c>
      <c r="G488" s="3">
        <f>[1]Results!J233</f>
        <v>5.8712262480000001</v>
      </c>
      <c r="H488" s="3">
        <f>[1]Results!K233</f>
        <v>5.9315968120000004</v>
      </c>
      <c r="I488" s="3">
        <f>[1]Results!L233</f>
        <v>5.9898818540000001</v>
      </c>
      <c r="J488" s="3">
        <f>[1]Results!M233</f>
        <v>6.0491719399999999</v>
      </c>
      <c r="K488" s="3">
        <f>[1]Results!N233</f>
        <v>6.110633022</v>
      </c>
      <c r="L488" s="3">
        <f>[1]Results!O233</f>
        <v>6.1746506070000002</v>
      </c>
      <c r="M488" s="3">
        <f>[1]Results!P233</f>
        <v>6.2393728130000001</v>
      </c>
      <c r="N488" s="3">
        <f>[1]Results!Q233</f>
        <v>6.2994487120000002</v>
      </c>
      <c r="O488" s="3">
        <f>[1]Results!R233</f>
        <v>6.3558696929999998</v>
      </c>
      <c r="P488" s="3">
        <f>[1]Results!S233</f>
        <v>6.4104305000000004</v>
      </c>
      <c r="Q488" s="3">
        <f>[1]Results!T233</f>
        <v>6.4642881489999997</v>
      </c>
      <c r="R488" s="3">
        <f>[1]Results!U233</f>
        <v>6.5180376210000004</v>
      </c>
      <c r="S488" s="3">
        <f>[1]Results!V233</f>
        <v>6.5714760339999998</v>
      </c>
      <c r="T488" s="3">
        <f>[1]Results!W233</f>
        <v>6.6249328930000004</v>
      </c>
      <c r="U488" s="3">
        <f>[1]Results!X233</f>
        <v>6.67853501</v>
      </c>
      <c r="V488" s="3">
        <f>[1]Results!Y233</f>
        <v>6.7323315700000004</v>
      </c>
      <c r="W488" s="3">
        <f>[1]Results!Z233</f>
        <v>6.7803915640000003</v>
      </c>
      <c r="X488" s="3">
        <f>[1]Results!AA233</f>
        <v>6.8323036840000002</v>
      </c>
      <c r="Y488" s="3">
        <f>[1]Results!AB233</f>
        <v>6.8858369479999997</v>
      </c>
      <c r="Z488" s="3">
        <f>[1]Results!AC233</f>
        <v>6.940243969</v>
      </c>
      <c r="AA488" s="3">
        <f>[1]Results!AD233</f>
        <v>6.9952566599999999</v>
      </c>
      <c r="AB488" s="3">
        <f>[1]Results!AE233</f>
        <v>7.0343781590000001</v>
      </c>
      <c r="AC488" s="3">
        <f>[1]Results!AF233</f>
        <v>7.0764413509999997</v>
      </c>
      <c r="AD488" s="3">
        <f>[1]Results!AG233</f>
        <v>7.1197393839999998</v>
      </c>
      <c r="AE488" s="3">
        <f>[1]Results!AH233</f>
        <v>7.1638317999999996</v>
      </c>
      <c r="AF488" s="3">
        <f>[1]Results!AI233</f>
        <v>7.2086058189999997</v>
      </c>
      <c r="AG488" s="3">
        <f>[1]Results!AJ233</f>
        <v>7.2540513090000003</v>
      </c>
      <c r="AH488" s="3">
        <f>[1]Results!AK233</f>
        <v>7.3003122659999997</v>
      </c>
      <c r="AI488" s="3">
        <f>[1]Results!AL233</f>
        <v>7.3473553779999996</v>
      </c>
      <c r="AJ488" s="3">
        <f>[1]Results!AM233</f>
        <v>7.3951754239999996</v>
      </c>
      <c r="AK488" s="3">
        <f>[1]Results!AN233</f>
        <v>7.443771709</v>
      </c>
      <c r="AL488" s="3">
        <f>[1]Results!AO233</f>
        <v>7.4931408179999996</v>
      </c>
      <c r="AM488" s="3">
        <f>[1]Results!AP233</f>
        <v>7.5407923700000001</v>
      </c>
      <c r="AN488" s="3">
        <f>[1]Results!AQ233</f>
        <v>7.5883118859999996</v>
      </c>
      <c r="AO488" s="3">
        <f>[1]Results!AR233</f>
        <v>7.6362274680000004</v>
      </c>
      <c r="AP488" s="3">
        <f>[1]Results!AS233</f>
        <v>7.68472986</v>
      </c>
      <c r="AQ488" s="3">
        <f>[1]Results!AT233</f>
        <v>7.7338854030000004</v>
      </c>
      <c r="AR488" s="3">
        <f>[1]Results!AU233</f>
        <v>7.7838946959999999</v>
      </c>
      <c r="AS488" s="3">
        <f>[1]Results!AV233</f>
        <v>7.8346727319999996</v>
      </c>
      <c r="AT488" s="3">
        <f>[1]Results!AW233</f>
        <v>7.8861802680000004</v>
      </c>
      <c r="AU488" s="3">
        <f>[1]Results!AX233</f>
        <v>7.9383956470000001</v>
      </c>
      <c r="AV488" s="3">
        <f>[1]Results!AY233</f>
        <v>7.9913050930000002</v>
      </c>
      <c r="AW488" s="3">
        <f>[1]Results!AZ233</f>
        <v>8.0458177400000004</v>
      </c>
      <c r="AX488" s="3">
        <f>[1]Results!BA233</f>
        <v>8.1014453950000007</v>
      </c>
      <c r="AY488" s="3">
        <f>[1]Results!BB233</f>
        <v>8.1579915780000007</v>
      </c>
      <c r="AZ488" s="3">
        <f>[1]Results!BC233</f>
        <v>8.2153674970000008</v>
      </c>
      <c r="BA488" s="3">
        <f>[1]Results!BD233</f>
        <v>8.2735398070000006</v>
      </c>
      <c r="BB488" s="3">
        <f>[1]Results!BE233</f>
        <v>9.5287003880000007</v>
      </c>
      <c r="BC488" s="3">
        <f>[1]Results!BF233</f>
        <v>9.6281772360000009</v>
      </c>
      <c r="BD488" s="3">
        <f>[1]Results!BG233</f>
        <v>9.7291266630000006</v>
      </c>
      <c r="BE488" s="3">
        <f>[1]Results!BH233</f>
        <v>9.831553778</v>
      </c>
      <c r="BF488" s="3">
        <f>[1]Results!BI233</f>
        <v>9.9354808410000004</v>
      </c>
    </row>
    <row r="489" spans="1:58" x14ac:dyDescent="0.35">
      <c r="B489" s="3" t="str">
        <f>[1]Results!E235</f>
        <v>YG_toe_cbio_2</v>
      </c>
      <c r="C489" s="3">
        <f>[1]Results!F235</f>
        <v>11.163130020000001</v>
      </c>
      <c r="D489" s="3">
        <f>[1]Results!G235</f>
        <v>11.15459278</v>
      </c>
      <c r="E489" s="3">
        <f>[1]Results!H235</f>
        <v>11.13575492</v>
      </c>
      <c r="F489" s="3">
        <f>[1]Results!I235</f>
        <v>11.126844220000001</v>
      </c>
      <c r="G489" s="3">
        <f>[1]Results!J235</f>
        <v>11.131348579999999</v>
      </c>
      <c r="H489" s="3">
        <f>[1]Results!K235</f>
        <v>11.14824973</v>
      </c>
      <c r="I489" s="3">
        <f>[1]Results!L235</f>
        <v>11.169500510000001</v>
      </c>
      <c r="J489" s="3">
        <f>[1]Results!M235</f>
        <v>11.194877399999999</v>
      </c>
      <c r="K489" s="3">
        <f>[1]Results!N235</f>
        <v>11.222126169999999</v>
      </c>
      <c r="L489" s="3">
        <f>[1]Results!O235</f>
        <v>11.248872199999999</v>
      </c>
      <c r="M489" s="3">
        <f>[1]Results!P235</f>
        <v>11.27712333</v>
      </c>
      <c r="N489" s="3">
        <f>[1]Results!Q235</f>
        <v>11.30710899</v>
      </c>
      <c r="O489" s="3">
        <f>[1]Results!R235</f>
        <v>11.336220020000001</v>
      </c>
      <c r="P489" s="3">
        <f>[1]Results!S235</f>
        <v>11.36509832</v>
      </c>
      <c r="Q489" s="3">
        <f>[1]Results!T235</f>
        <v>11.39422224</v>
      </c>
      <c r="R489" s="3">
        <f>[1]Results!U235</f>
        <v>11.423810619999999</v>
      </c>
      <c r="S489" s="3">
        <f>[1]Results!V235</f>
        <v>11.45336522</v>
      </c>
      <c r="T489" s="3">
        <f>[1]Results!W235</f>
        <v>11.48298904</v>
      </c>
      <c r="U489" s="3">
        <f>[1]Results!X235</f>
        <v>11.51289918</v>
      </c>
      <c r="V489" s="3">
        <f>[1]Results!Y235</f>
        <v>11.54325528</v>
      </c>
      <c r="W489" s="3">
        <f>[1]Results!Z235</f>
        <v>11.568119879999999</v>
      </c>
      <c r="X489" s="3">
        <f>[1]Results!AA235</f>
        <v>11.59710346</v>
      </c>
      <c r="Y489" s="3">
        <f>[1]Results!AB235</f>
        <v>11.62821737</v>
      </c>
      <c r="Z489" s="3">
        <f>[1]Results!AC235</f>
        <v>11.660798339999999</v>
      </c>
      <c r="AA489" s="3">
        <f>[1]Results!AD235</f>
        <v>11.69462386</v>
      </c>
      <c r="AB489" s="3">
        <f>[1]Results!AE235</f>
        <v>11.712837670000001</v>
      </c>
      <c r="AC489" s="3">
        <f>[1]Results!AF235</f>
        <v>11.73419554</v>
      </c>
      <c r="AD489" s="3">
        <f>[1]Results!AG235</f>
        <v>11.757398</v>
      </c>
      <c r="AE489" s="3">
        <f>[1]Results!AH235</f>
        <v>11.78209953</v>
      </c>
      <c r="AF489" s="3">
        <f>[1]Results!AI235</f>
        <v>11.80822757</v>
      </c>
      <c r="AG489" s="3">
        <f>[1]Results!AJ235</f>
        <v>11.83581457</v>
      </c>
      <c r="AH489" s="3">
        <f>[1]Results!AK235</f>
        <v>11.86504783</v>
      </c>
      <c r="AI489" s="3">
        <f>[1]Results!AL235</f>
        <v>11.89597395</v>
      </c>
      <c r="AJ489" s="3">
        <f>[1]Results!AM235</f>
        <v>11.928576</v>
      </c>
      <c r="AK489" s="3">
        <f>[1]Results!AN235</f>
        <v>11.962828310000001</v>
      </c>
      <c r="AL489" s="3">
        <f>[1]Results!AO235</f>
        <v>11.998701499999999</v>
      </c>
      <c r="AM489" s="3">
        <f>[1]Results!AP235</f>
        <v>12.03353381</v>
      </c>
      <c r="AN489" s="3">
        <f>[1]Results!AQ235</f>
        <v>12.069392970000001</v>
      </c>
      <c r="AO489" s="3">
        <f>[1]Results!AR235</f>
        <v>12.10662467</v>
      </c>
      <c r="AP489" s="3">
        <f>[1]Results!AS235</f>
        <v>12.14522829</v>
      </c>
      <c r="AQ489" s="3">
        <f>[1]Results!AT235</f>
        <v>12.18515243</v>
      </c>
      <c r="AR489" s="3">
        <f>[1]Results!AU235</f>
        <v>12.226533209999999</v>
      </c>
      <c r="AS489" s="3">
        <f>[1]Results!AV235</f>
        <v>12.26935853</v>
      </c>
      <c r="AT489" s="3">
        <f>[1]Results!AW235</f>
        <v>12.31355149</v>
      </c>
      <c r="AU489" s="3">
        <f>[1]Results!AX235</f>
        <v>12.359051210000001</v>
      </c>
      <c r="AV489" s="3">
        <f>[1]Results!AY235</f>
        <v>12.40581506</v>
      </c>
      <c r="AW489" s="3">
        <f>[1]Results!AZ235</f>
        <v>12.45470326</v>
      </c>
      <c r="AX489" s="3">
        <f>[1]Results!BA235</f>
        <v>12.505569619999999</v>
      </c>
      <c r="AY489" s="3">
        <f>[1]Results!BB235</f>
        <v>12.55810741</v>
      </c>
      <c r="AZ489" s="3">
        <f>[1]Results!BC235</f>
        <v>12.612092090000001</v>
      </c>
      <c r="BA489" s="3">
        <f>[1]Results!BD235</f>
        <v>12.667395109999999</v>
      </c>
      <c r="BB489" s="3">
        <f>[1]Results!BE235</f>
        <v>14.15840839</v>
      </c>
      <c r="BC489" s="3">
        <f>[1]Results!BF235</f>
        <v>14.268085299999999</v>
      </c>
      <c r="BD489" s="3">
        <f>[1]Results!BG235</f>
        <v>14.38012975</v>
      </c>
      <c r="BE489" s="3">
        <f>[1]Results!BH235</f>
        <v>14.49452866</v>
      </c>
      <c r="BF489" s="3">
        <f>[1]Results!BI235</f>
        <v>14.61129745</v>
      </c>
    </row>
    <row r="490" spans="1:58" x14ac:dyDescent="0.35">
      <c r="B490" s="3" t="str">
        <f>[1]Results!E238</f>
        <v>YG_toe_cote_2</v>
      </c>
      <c r="C490" s="3">
        <f>[1]Results!F238</f>
        <v>13.48279877</v>
      </c>
      <c r="D490" s="3">
        <f>[1]Results!G238</f>
        <v>13.568222840000001</v>
      </c>
      <c r="E490" s="3">
        <f>[1]Results!H238</f>
        <v>13.686704990000001</v>
      </c>
      <c r="F490" s="3">
        <f>[1]Results!I238</f>
        <v>13.81982225</v>
      </c>
      <c r="G490" s="3">
        <f>[1]Results!J238</f>
        <v>13.965644879999999</v>
      </c>
      <c r="H490" s="3">
        <f>[1]Results!K238</f>
        <v>14.12272853</v>
      </c>
      <c r="I490" s="3">
        <f>[1]Results!L238</f>
        <v>14.27840001</v>
      </c>
      <c r="J490" s="3">
        <f>[1]Results!M238</f>
        <v>14.43924438</v>
      </c>
      <c r="K490" s="3">
        <f>[1]Results!N238</f>
        <v>14.604608430000001</v>
      </c>
      <c r="L490" s="3">
        <f>[1]Results!O238</f>
        <v>14.77341927</v>
      </c>
      <c r="M490" s="3">
        <f>[1]Results!P238</f>
        <v>14.927129089999999</v>
      </c>
      <c r="N490" s="3">
        <f>[1]Results!Q238</f>
        <v>15.121050479999999</v>
      </c>
      <c r="O490" s="3">
        <f>[1]Results!R238</f>
        <v>15.32003738</v>
      </c>
      <c r="P490" s="3">
        <f>[1]Results!S238</f>
        <v>15.52137108</v>
      </c>
      <c r="Q490" s="3">
        <f>[1]Results!T238</f>
        <v>15.72449123</v>
      </c>
      <c r="R490" s="3">
        <f>[1]Results!U238</f>
        <v>15.92921872</v>
      </c>
      <c r="S490" s="3">
        <f>[1]Results!V238</f>
        <v>16.133981980000001</v>
      </c>
      <c r="T490" s="3">
        <f>[1]Results!W238</f>
        <v>16.340023550000002</v>
      </c>
      <c r="U490" s="3">
        <f>[1]Results!X238</f>
        <v>16.547478160000001</v>
      </c>
      <c r="V490" s="3">
        <f>[1]Results!Y238</f>
        <v>16.75646047</v>
      </c>
      <c r="W490" s="3">
        <f>[1]Results!Z238</f>
        <v>16.954410540000001</v>
      </c>
      <c r="X490" s="3">
        <f>[1]Results!AA238</f>
        <v>17.1642054</v>
      </c>
      <c r="Y490" s="3">
        <f>[1]Results!AB238</f>
        <v>17.377281020000002</v>
      </c>
      <c r="Z490" s="3">
        <f>[1]Results!AC238</f>
        <v>17.593055830000001</v>
      </c>
      <c r="AA490" s="3">
        <f>[1]Results!AD238</f>
        <v>17.811539459999999</v>
      </c>
      <c r="AB490" s="3">
        <f>[1]Results!AE238</f>
        <v>17.996592280000002</v>
      </c>
      <c r="AC490" s="3">
        <f>[1]Results!AF238</f>
        <v>18.196688940000001</v>
      </c>
      <c r="AD490" s="3">
        <f>[1]Results!AG238</f>
        <v>18.399657999999999</v>
      </c>
      <c r="AE490" s="3">
        <f>[1]Results!AH238</f>
        <v>18.60502688</v>
      </c>
      <c r="AF490" s="3">
        <f>[1]Results!AI238</f>
        <v>18.812991010000001</v>
      </c>
      <c r="AG490" s="3">
        <f>[1]Results!AJ238</f>
        <v>19.023814009999999</v>
      </c>
      <c r="AH490" s="3">
        <f>[1]Results!AK238</f>
        <v>19.238156490000001</v>
      </c>
      <c r="AI490" s="3">
        <f>[1]Results!AL238</f>
        <v>19.455798269999999</v>
      </c>
      <c r="AJ490" s="3">
        <f>[1]Results!AM238</f>
        <v>19.67680335</v>
      </c>
      <c r="AK490" s="3">
        <f>[1]Results!AN238</f>
        <v>19.901203049999999</v>
      </c>
      <c r="AL490" s="3">
        <f>[1]Results!AO238</f>
        <v>20.128994720000001</v>
      </c>
      <c r="AM490" s="3">
        <f>[1]Results!AP238</f>
        <v>20.355772170000002</v>
      </c>
      <c r="AN490" s="3">
        <f>[1]Results!AQ238</f>
        <v>20.584571270000001</v>
      </c>
      <c r="AO490" s="3">
        <f>[1]Results!AR238</f>
        <v>20.815910630000001</v>
      </c>
      <c r="AP490" s="3">
        <f>[1]Results!AS238</f>
        <v>21.049968960000001</v>
      </c>
      <c r="AQ490" s="3">
        <f>[1]Results!AT238</f>
        <v>21.286834540000001</v>
      </c>
      <c r="AR490" s="3">
        <f>[1]Results!AU238</f>
        <v>21.52727651</v>
      </c>
      <c r="AS490" s="3">
        <f>[1]Results!AV238</f>
        <v>21.77073266</v>
      </c>
      <c r="AT490" s="3">
        <f>[1]Results!AW238</f>
        <v>22.017182219999999</v>
      </c>
      <c r="AU490" s="3">
        <f>[1]Results!AX238</f>
        <v>22.266618820000001</v>
      </c>
      <c r="AV490" s="3">
        <f>[1]Results!AY238</f>
        <v>22.519029539999998</v>
      </c>
      <c r="AW490" s="3">
        <f>[1]Results!AZ238</f>
        <v>22.777713819999999</v>
      </c>
      <c r="AX490" s="3">
        <f>[1]Results!BA238</f>
        <v>23.039917280000001</v>
      </c>
      <c r="AY490" s="3">
        <f>[1]Results!BB238</f>
        <v>23.305396770000002</v>
      </c>
      <c r="AZ490" s="3">
        <f>[1]Results!BC238</f>
        <v>23.574059070000001</v>
      </c>
      <c r="BA490" s="3">
        <f>[1]Results!BD238</f>
        <v>23.845846250000001</v>
      </c>
      <c r="BB490" s="3">
        <f>[1]Results!BE238</f>
        <v>29.933448439999999</v>
      </c>
      <c r="BC490" s="3">
        <f>[1]Results!BF238</f>
        <v>30.42883411</v>
      </c>
      <c r="BD490" s="3">
        <f>[1]Results!BG238</f>
        <v>30.932684080000001</v>
      </c>
      <c r="BE490" s="3">
        <f>[1]Results!BH238</f>
        <v>31.445132619999999</v>
      </c>
      <c r="BF490" s="3">
        <f>[1]Results!BI238</f>
        <v>31.966317310000001</v>
      </c>
    </row>
    <row r="491" spans="1:58" x14ac:dyDescent="0.35"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</row>
    <row r="492" spans="1:58" x14ac:dyDescent="0.35">
      <c r="A492" s="12" t="s">
        <v>94</v>
      </c>
      <c r="B492" s="3" t="str">
        <f>[1]Results!E241</f>
        <v>YG_toe_0</v>
      </c>
      <c r="C492" s="3">
        <f>[1]Results!F241</f>
        <v>148.7539031</v>
      </c>
      <c r="D492" s="3">
        <f>[1]Results!G241</f>
        <v>149.9412342</v>
      </c>
      <c r="E492" s="3">
        <f>[1]Results!H241</f>
        <v>151.04358999999999</v>
      </c>
      <c r="F492" s="3">
        <f>[1]Results!I241</f>
        <v>152.21546219999999</v>
      </c>
      <c r="G492" s="3">
        <f>[1]Results!J241</f>
        <v>153.5049545</v>
      </c>
      <c r="H492" s="3">
        <f>[1]Results!K241</f>
        <v>154.9279942</v>
      </c>
      <c r="I492" s="3">
        <f>[1]Results!L241</f>
        <v>156.3904393</v>
      </c>
      <c r="J492" s="3">
        <f>[1]Results!M241</f>
        <v>157.9308772</v>
      </c>
      <c r="K492" s="3">
        <f>[1]Results!N241</f>
        <v>159.53738469999999</v>
      </c>
      <c r="L492" s="3">
        <f>[1]Results!O241</f>
        <v>161.19526300000001</v>
      </c>
      <c r="M492" s="3">
        <f>[1]Results!P241</f>
        <v>163.04248129999999</v>
      </c>
      <c r="N492" s="3">
        <f>[1]Results!Q241</f>
        <v>164.8173654</v>
      </c>
      <c r="O492" s="3">
        <f>[1]Results!R241</f>
        <v>166.59956059999999</v>
      </c>
      <c r="P492" s="3">
        <f>[1]Results!S241</f>
        <v>168.39561670000001</v>
      </c>
      <c r="Q492" s="3">
        <f>[1]Results!T241</f>
        <v>170.2067753</v>
      </c>
      <c r="R492" s="3">
        <f>[1]Results!U241</f>
        <v>172.0335111</v>
      </c>
      <c r="S492" s="3">
        <f>[1]Results!V241</f>
        <v>173.87654760000001</v>
      </c>
      <c r="T492" s="3">
        <f>[1]Results!W241</f>
        <v>175.73701070000001</v>
      </c>
      <c r="U492" s="3">
        <f>[1]Results!X241</f>
        <v>177.616364</v>
      </c>
      <c r="V492" s="3">
        <f>[1]Results!Y241</f>
        <v>179.51629750000001</v>
      </c>
      <c r="W492" s="3">
        <f>[1]Results!Z241</f>
        <v>181.32944309999999</v>
      </c>
      <c r="X492" s="3">
        <f>[1]Results!AA241</f>
        <v>183.2430426</v>
      </c>
      <c r="Y492" s="3">
        <f>[1]Results!AB241</f>
        <v>185.1962556</v>
      </c>
      <c r="Z492" s="3">
        <f>[1]Results!AC241</f>
        <v>187.18375599999999</v>
      </c>
      <c r="AA492" s="3">
        <f>[1]Results!AD241</f>
        <v>189.2048983</v>
      </c>
      <c r="AB492" s="3">
        <f>[1]Results!AE241</f>
        <v>190.9473624</v>
      </c>
      <c r="AC492" s="3">
        <f>[1]Results!AF241</f>
        <v>192.7950309</v>
      </c>
      <c r="AD492" s="3">
        <f>[1]Results!AG241</f>
        <v>194.67020880000001</v>
      </c>
      <c r="AE492" s="3">
        <f>[1]Results!AH241</f>
        <v>196.57115339999999</v>
      </c>
      <c r="AF492" s="3">
        <f>[1]Results!AI241</f>
        <v>198.5002245</v>
      </c>
      <c r="AG492" s="3">
        <f>[1]Results!AJ241</f>
        <v>200.46024929999999</v>
      </c>
      <c r="AH492" s="3">
        <f>[1]Results!AK241</f>
        <v>202.4535936</v>
      </c>
      <c r="AI492" s="3">
        <f>[1]Results!AL241</f>
        <v>204.4819521</v>
      </c>
      <c r="AJ492" s="3">
        <f>[1]Results!AM241</f>
        <v>206.54637679999999</v>
      </c>
      <c r="AK492" s="3">
        <f>[1]Results!AN241</f>
        <v>208.64738929999999</v>
      </c>
      <c r="AL492" s="3">
        <f>[1]Results!AO241</f>
        <v>210.78511589999999</v>
      </c>
      <c r="AM492" s="3">
        <f>[1]Results!AP241</f>
        <v>212.8848826</v>
      </c>
      <c r="AN492" s="3">
        <f>[1]Results!AQ241</f>
        <v>214.99802589999999</v>
      </c>
      <c r="AO492" s="3">
        <f>[1]Results!AR241</f>
        <v>217.13294830000001</v>
      </c>
      <c r="AP492" s="3">
        <f>[1]Results!AS241</f>
        <v>219.293474</v>
      </c>
      <c r="AQ492" s="3">
        <f>[1]Results!AT241</f>
        <v>221.48204620000001</v>
      </c>
      <c r="AR492" s="3">
        <f>[1]Results!AU241</f>
        <v>223.7005101</v>
      </c>
      <c r="AS492" s="3">
        <f>[1]Results!AV241</f>
        <v>225.95031270000001</v>
      </c>
      <c r="AT492" s="3">
        <f>[1]Results!AW241</f>
        <v>228.2325673</v>
      </c>
      <c r="AU492" s="3">
        <f>[1]Results!AX241</f>
        <v>230.54804849999999</v>
      </c>
      <c r="AV492" s="3">
        <f>[1]Results!AY241</f>
        <v>232.89707189999999</v>
      </c>
      <c r="AW492" s="3">
        <f>[1]Results!AZ241</f>
        <v>235.28533569999999</v>
      </c>
      <c r="AX492" s="3">
        <f>[1]Results!BA241</f>
        <v>237.70370260000001</v>
      </c>
      <c r="AY492" s="3">
        <f>[1]Results!BB241</f>
        <v>240.14894390000001</v>
      </c>
      <c r="AZ492" s="3">
        <f>[1]Results!BC241</f>
        <v>242.62557380000001</v>
      </c>
      <c r="BA492" s="3">
        <f>[1]Results!BD241</f>
        <v>245.13779220000001</v>
      </c>
      <c r="BB492" s="3">
        <f>[1]Results!BE241</f>
        <v>263.32302049999998</v>
      </c>
      <c r="BC492" s="3">
        <f>[1]Results!BF241</f>
        <v>266.90438410000002</v>
      </c>
      <c r="BD492" s="3">
        <f>[1]Results!BG241</f>
        <v>270.54608409999997</v>
      </c>
      <c r="BE492" s="3">
        <f>[1]Results!BH241</f>
        <v>274.249459</v>
      </c>
      <c r="BF492" s="3">
        <f>[1]Results!BI241</f>
        <v>278.01577370000001</v>
      </c>
    </row>
    <row r="493" spans="1:58" x14ac:dyDescent="0.35">
      <c r="A493" t="s">
        <v>38</v>
      </c>
      <c r="B493" s="3" t="str">
        <f>[1]Results!E242</f>
        <v>YG_toe_ccoa_0</v>
      </c>
      <c r="C493" s="3">
        <f>[1]Results!F242</f>
        <v>2.395310383</v>
      </c>
      <c r="D493" s="3">
        <f>[1]Results!G242</f>
        <v>2.4206345919999999</v>
      </c>
      <c r="E493" s="3">
        <f>[1]Results!H242</f>
        <v>2.447536323</v>
      </c>
      <c r="F493" s="3">
        <f>[1]Results!I242</f>
        <v>2.4770827469999999</v>
      </c>
      <c r="G493" s="3">
        <f>[1]Results!J242</f>
        <v>2.5093666809999999</v>
      </c>
      <c r="H493" s="3">
        <f>[1]Results!K242</f>
        <v>2.5441740340000001</v>
      </c>
      <c r="I493" s="3">
        <f>[1]Results!L242</f>
        <v>2.579616256</v>
      </c>
      <c r="J493" s="3">
        <f>[1]Results!M242</f>
        <v>2.6163531619999998</v>
      </c>
      <c r="K493" s="3">
        <f>[1]Results!N242</f>
        <v>2.654317824</v>
      </c>
      <c r="L493" s="3">
        <f>[1]Results!O242</f>
        <v>2.6933564520000002</v>
      </c>
      <c r="M493" s="3">
        <f>[1]Results!P242</f>
        <v>2.735985152</v>
      </c>
      <c r="N493" s="3">
        <f>[1]Results!Q242</f>
        <v>2.7776421359999999</v>
      </c>
      <c r="O493" s="3">
        <f>[1]Results!R242</f>
        <v>2.8196814479999999</v>
      </c>
      <c r="P493" s="3">
        <f>[1]Results!S242</f>
        <v>2.8623338180000002</v>
      </c>
      <c r="Q493" s="3">
        <f>[1]Results!T242</f>
        <v>2.9056221469999999</v>
      </c>
      <c r="R493" s="3">
        <f>[1]Results!U242</f>
        <v>2.9495423490000001</v>
      </c>
      <c r="S493" s="3">
        <f>[1]Results!V242</f>
        <v>2.9940955410000001</v>
      </c>
      <c r="T493" s="3">
        <f>[1]Results!W242</f>
        <v>3.0392911709999999</v>
      </c>
      <c r="U493" s="3">
        <f>[1]Results!X242</f>
        <v>3.0851448010000002</v>
      </c>
      <c r="V493" s="3">
        <f>[1]Results!Y242</f>
        <v>3.1316753730000002</v>
      </c>
      <c r="W493" s="3">
        <f>[1]Results!Z242</f>
        <v>3.176928379</v>
      </c>
      <c r="X493" s="3">
        <f>[1]Results!AA242</f>
        <v>3.2242513719999999</v>
      </c>
      <c r="Y493" s="3">
        <f>[1]Results!AB242</f>
        <v>3.2726041119999998</v>
      </c>
      <c r="Z493" s="3">
        <f>[1]Results!AC242</f>
        <v>3.3217969979999999</v>
      </c>
      <c r="AA493" s="3">
        <f>[1]Results!AD242</f>
        <v>3.3718056820000002</v>
      </c>
      <c r="AB493" s="3">
        <f>[1]Results!AE242</f>
        <v>3.4169121260000002</v>
      </c>
      <c r="AC493" s="3">
        <f>[1]Results!AF242</f>
        <v>3.4640408790000001</v>
      </c>
      <c r="AD493" s="3">
        <f>[1]Results!AG242</f>
        <v>3.511953874</v>
      </c>
      <c r="AE493" s="3">
        <f>[1]Results!AH242</f>
        <v>3.5604472089999999</v>
      </c>
      <c r="AF493" s="3">
        <f>[1]Results!AI242</f>
        <v>3.6095196450000002</v>
      </c>
      <c r="AG493" s="3">
        <f>[1]Results!AJ242</f>
        <v>3.6592028270000001</v>
      </c>
      <c r="AH493" s="3">
        <f>[1]Results!AK242</f>
        <v>3.7095267660000002</v>
      </c>
      <c r="AI493" s="3">
        <f>[1]Results!AL242</f>
        <v>3.7605126790000001</v>
      </c>
      <c r="AJ493" s="3">
        <f>[1]Results!AM242</f>
        <v>3.812172473</v>
      </c>
      <c r="AK493" s="3">
        <f>[1]Results!AN242</f>
        <v>3.864510267</v>
      </c>
      <c r="AL493" s="3">
        <f>[1]Results!AO242</f>
        <v>3.9175245410000001</v>
      </c>
      <c r="AM493" s="3">
        <f>[1]Results!AP242</f>
        <v>3.9698140799999999</v>
      </c>
      <c r="AN493" s="3">
        <f>[1]Results!AQ242</f>
        <v>4.0223102009999998</v>
      </c>
      <c r="AO493" s="3">
        <f>[1]Results!AR242</f>
        <v>4.0752093900000004</v>
      </c>
      <c r="AP493" s="3">
        <f>[1]Results!AS242</f>
        <v>4.1285652629999996</v>
      </c>
      <c r="AQ493" s="3">
        <f>[1]Results!AT242</f>
        <v>4.1824051940000002</v>
      </c>
      <c r="AR493" s="3">
        <f>[1]Results!AU242</f>
        <v>4.2367514550000003</v>
      </c>
      <c r="AS493" s="3">
        <f>[1]Results!AV242</f>
        <v>4.2916239190000001</v>
      </c>
      <c r="AT493" s="3">
        <f>[1]Results!AW242</f>
        <v>4.3470395030000004</v>
      </c>
      <c r="AU493" s="3">
        <f>[1]Results!AX242</f>
        <v>4.4030115600000004</v>
      </c>
      <c r="AV493" s="3">
        <f>[1]Results!AY242</f>
        <v>4.4595492160000001</v>
      </c>
      <c r="AW493" s="3">
        <f>[1]Results!AZ242</f>
        <v>4.5167821320000003</v>
      </c>
      <c r="AX493" s="3">
        <f>[1]Results!BA242</f>
        <v>4.5746674629999999</v>
      </c>
      <c r="AY493" s="3">
        <f>[1]Results!BB242</f>
        <v>4.6332013940000003</v>
      </c>
      <c r="AZ493" s="3">
        <f>[1]Results!BC242</f>
        <v>4.6923859270000001</v>
      </c>
      <c r="BA493" s="3">
        <f>[1]Results!BD242</f>
        <v>4.752222293</v>
      </c>
      <c r="BB493" s="3">
        <f>[1]Results!BE242</f>
        <v>5.2808698180000002</v>
      </c>
      <c r="BC493" s="3">
        <f>[1]Results!BF242</f>
        <v>5.3692964270000001</v>
      </c>
      <c r="BD493" s="3">
        <f>[1]Results!BG242</f>
        <v>5.4590872729999997</v>
      </c>
      <c r="BE493" s="3">
        <f>[1]Results!BH242</f>
        <v>5.5502613419999998</v>
      </c>
      <c r="BF493" s="3">
        <f>[1]Results!BI242</f>
        <v>5.6428395079999998</v>
      </c>
    </row>
    <row r="494" spans="1:58" x14ac:dyDescent="0.35">
      <c r="B494" s="3" t="s">
        <v>74</v>
      </c>
      <c r="C494" s="3">
        <f>SUM(C495:C497)</f>
        <v>51.443955967000001</v>
      </c>
      <c r="D494" s="3">
        <f t="shared" ref="D494:AL494" si="305">SUM(D495:D497)</f>
        <v>51.777455492999998</v>
      </c>
      <c r="E494" s="3">
        <f t="shared" si="305"/>
        <v>52.083240107999998</v>
      </c>
      <c r="F494" s="3">
        <f t="shared" si="305"/>
        <v>52.441258488999992</v>
      </c>
      <c r="G494" s="3">
        <f t="shared" si="305"/>
        <v>52.87155448</v>
      </c>
      <c r="H494" s="3">
        <f t="shared" si="305"/>
        <v>53.37286764000001</v>
      </c>
      <c r="I494" s="3">
        <f t="shared" si="305"/>
        <v>53.908570963000003</v>
      </c>
      <c r="J494" s="3">
        <f t="shared" si="305"/>
        <v>54.484149894000005</v>
      </c>
      <c r="K494" s="3">
        <f t="shared" si="305"/>
        <v>55.091570061000006</v>
      </c>
      <c r="L494" s="3">
        <f t="shared" si="305"/>
        <v>55.723795979999991</v>
      </c>
      <c r="M494" s="3">
        <f t="shared" si="305"/>
        <v>56.421206052000002</v>
      </c>
      <c r="N494" s="3">
        <f t="shared" si="305"/>
        <v>57.103365847000006</v>
      </c>
      <c r="O494" s="3">
        <f t="shared" si="305"/>
        <v>57.794246732000005</v>
      </c>
      <c r="P494" s="3">
        <f t="shared" si="305"/>
        <v>58.494115573000002</v>
      </c>
      <c r="Q494" s="3">
        <f t="shared" si="305"/>
        <v>59.202143180999997</v>
      </c>
      <c r="R494" s="3">
        <f t="shared" si="305"/>
        <v>59.917625540000003</v>
      </c>
      <c r="S494" s="3">
        <f t="shared" si="305"/>
        <v>60.640150031999994</v>
      </c>
      <c r="T494" s="3">
        <f t="shared" si="305"/>
        <v>61.36955337500001</v>
      </c>
      <c r="U494" s="3">
        <f t="shared" si="305"/>
        <v>62.105853186999994</v>
      </c>
      <c r="V494" s="3">
        <f t="shared" si="305"/>
        <v>62.849190285000006</v>
      </c>
      <c r="W494" s="3">
        <f t="shared" si="305"/>
        <v>63.566048743999993</v>
      </c>
      <c r="X494" s="3">
        <f t="shared" si="305"/>
        <v>64.313545419999997</v>
      </c>
      <c r="Y494" s="3">
        <f t="shared" si="305"/>
        <v>65.072193819999995</v>
      </c>
      <c r="Z494" s="3">
        <f t="shared" si="305"/>
        <v>65.840746246000009</v>
      </c>
      <c r="AA494" s="3">
        <f t="shared" si="305"/>
        <v>66.619160948000001</v>
      </c>
      <c r="AB494" s="3">
        <f t="shared" si="305"/>
        <v>67.310332772999999</v>
      </c>
      <c r="AC494" s="3">
        <f t="shared" si="305"/>
        <v>68.032300445000004</v>
      </c>
      <c r="AD494" s="3">
        <f t="shared" si="305"/>
        <v>68.759059026999992</v>
      </c>
      <c r="AE494" s="3">
        <f t="shared" si="305"/>
        <v>69.490555583000003</v>
      </c>
      <c r="AF494" s="3">
        <f t="shared" si="305"/>
        <v>70.228052230999992</v>
      </c>
      <c r="AG494" s="3">
        <f t="shared" si="305"/>
        <v>70.972869703000001</v>
      </c>
      <c r="AH494" s="3">
        <f t="shared" si="305"/>
        <v>71.726112106000002</v>
      </c>
      <c r="AI494" s="3">
        <f t="shared" si="305"/>
        <v>72.488619232999994</v>
      </c>
      <c r="AJ494" s="3">
        <f t="shared" si="305"/>
        <v>73.260991991999987</v>
      </c>
      <c r="AK494" s="3">
        <f t="shared" si="305"/>
        <v>74.043639072000005</v>
      </c>
      <c r="AL494" s="3">
        <f t="shared" si="305"/>
        <v>74.836826434000002</v>
      </c>
      <c r="AM494" s="3">
        <f t="shared" ref="AM494:BC494" si="306">SUM(AM495:AM497)</f>
        <v>75.617290517000001</v>
      </c>
      <c r="AN494" s="3">
        <f t="shared" si="306"/>
        <v>76.401084906999998</v>
      </c>
      <c r="AO494" s="3">
        <f t="shared" si="306"/>
        <v>77.190491621999996</v>
      </c>
      <c r="AP494" s="3">
        <f t="shared" si="306"/>
        <v>77.986700076999995</v>
      </c>
      <c r="AQ494" s="3">
        <f t="shared" si="306"/>
        <v>78.790638055000002</v>
      </c>
      <c r="AR494" s="3">
        <f t="shared" si="306"/>
        <v>79.603105724000002</v>
      </c>
      <c r="AS494" s="3">
        <f t="shared" si="306"/>
        <v>80.424778881999998</v>
      </c>
      <c r="AT494" s="3">
        <f t="shared" si="306"/>
        <v>81.256199944000002</v>
      </c>
      <c r="AU494" s="3">
        <f t="shared" si="306"/>
        <v>82.097772383999995</v>
      </c>
      <c r="AV494" s="3">
        <f t="shared" si="306"/>
        <v>82.949738983000003</v>
      </c>
      <c r="AW494" s="3">
        <f t="shared" si="306"/>
        <v>83.814141627000012</v>
      </c>
      <c r="AX494" s="3">
        <f t="shared" si="306"/>
        <v>84.689672039000001</v>
      </c>
      <c r="AY494" s="3">
        <f t="shared" si="306"/>
        <v>85.576072715000009</v>
      </c>
      <c r="AZ494" s="3">
        <f t="shared" si="306"/>
        <v>86.473852106999999</v>
      </c>
      <c r="BA494" s="3">
        <f t="shared" si="306"/>
        <v>87.383431604000009</v>
      </c>
      <c r="BB494" s="3">
        <f t="shared" si="306"/>
        <v>95.000434229000007</v>
      </c>
      <c r="BC494" s="3">
        <f t="shared" si="306"/>
        <v>96.305679523999999</v>
      </c>
      <c r="BD494" s="3">
        <f t="shared" ref="BD494:BF494" si="307">SUM(BD495:BD497)</f>
        <v>97.631281221000009</v>
      </c>
      <c r="BE494" s="3">
        <f t="shared" si="307"/>
        <v>98.977784716999992</v>
      </c>
      <c r="BF494" s="3">
        <f t="shared" si="307"/>
        <v>100.34575763000001</v>
      </c>
    </row>
    <row r="495" spans="1:58" x14ac:dyDescent="0.35">
      <c r="B495" s="3" t="str">
        <f>[1]Results!E245</f>
        <v>YG_toe_ccoi_0</v>
      </c>
      <c r="C495" s="3">
        <f>[1]Results!F245</f>
        <v>1.097368924</v>
      </c>
      <c r="D495" s="3">
        <f>[1]Results!G245</f>
        <v>1.1057038960000001</v>
      </c>
      <c r="E495" s="3">
        <f>[1]Results!H245</f>
        <v>1.1130509319999999</v>
      </c>
      <c r="F495" s="3">
        <f>[1]Results!I245</f>
        <v>1.121294832</v>
      </c>
      <c r="G495" s="3">
        <f>[1]Results!J245</f>
        <v>1.1309730769999999</v>
      </c>
      <c r="H495" s="3">
        <f>[1]Results!K245</f>
        <v>1.1421154529999999</v>
      </c>
      <c r="I495" s="3">
        <f>[1]Results!L245</f>
        <v>1.153956024</v>
      </c>
      <c r="J495" s="3">
        <f>[1]Results!M245</f>
        <v>1.166592182</v>
      </c>
      <c r="K495" s="3">
        <f>[1]Results!N245</f>
        <v>1.1798913120000001</v>
      </c>
      <c r="L495" s="3">
        <f>[1]Results!O245</f>
        <v>1.1937072639999999</v>
      </c>
      <c r="M495" s="3">
        <f>[1]Results!P245</f>
        <v>1.2089186700000001</v>
      </c>
      <c r="N495" s="3">
        <f>[1]Results!Q245</f>
        <v>1.223835301</v>
      </c>
      <c r="O495" s="3">
        <f>[1]Results!R245</f>
        <v>1.2388558949999999</v>
      </c>
      <c r="P495" s="3">
        <f>[1]Results!S245</f>
        <v>1.2540528419999999</v>
      </c>
      <c r="Q495" s="3">
        <f>[1]Results!T245</f>
        <v>1.2694263589999999</v>
      </c>
      <c r="R495" s="3">
        <f>[1]Results!U245</f>
        <v>1.2849680990000001</v>
      </c>
      <c r="S495" s="3">
        <f>[1]Results!V245</f>
        <v>1.3006731840000001</v>
      </c>
      <c r="T495" s="3">
        <f>[1]Results!W245</f>
        <v>1.3165411570000001</v>
      </c>
      <c r="U495" s="3">
        <f>[1]Results!X245</f>
        <v>1.332574945</v>
      </c>
      <c r="V495" s="3">
        <f>[1]Results!Y245</f>
        <v>1.3487797370000001</v>
      </c>
      <c r="W495" s="3">
        <f>[1]Results!Z245</f>
        <v>1.3644293780000001</v>
      </c>
      <c r="X495" s="3">
        <f>[1]Results!AA245</f>
        <v>1.380725043</v>
      </c>
      <c r="Y495" s="3">
        <f>[1]Results!AB245</f>
        <v>1.397337922</v>
      </c>
      <c r="Z495" s="3">
        <f>[1]Results!AC245</f>
        <v>1.414195976</v>
      </c>
      <c r="AA495" s="3">
        <f>[1]Results!AD245</f>
        <v>1.431289265</v>
      </c>
      <c r="AB495" s="3">
        <f>[1]Results!AE245</f>
        <v>1.4465075009999999</v>
      </c>
      <c r="AC495" s="3">
        <f>[1]Results!AF245</f>
        <v>1.462297043</v>
      </c>
      <c r="AD495" s="3">
        <f>[1]Results!AG245</f>
        <v>1.4783070869999999</v>
      </c>
      <c r="AE495" s="3">
        <f>[1]Results!AH245</f>
        <v>1.4944760829999999</v>
      </c>
      <c r="AF495" s="3">
        <f>[1]Results!AI245</f>
        <v>1.5108136409999999</v>
      </c>
      <c r="AG495" s="3">
        <f>[1]Results!AJ245</f>
        <v>1.527341163</v>
      </c>
      <c r="AH495" s="3">
        <f>[1]Results!AK245</f>
        <v>1.544078456</v>
      </c>
      <c r="AI495" s="3">
        <f>[1]Results!AL245</f>
        <v>1.561040923</v>
      </c>
      <c r="AJ495" s="3">
        <f>[1]Results!AM245</f>
        <v>1.5782395220000001</v>
      </c>
      <c r="AK495" s="3">
        <f>[1]Results!AN245</f>
        <v>1.5956815120000001</v>
      </c>
      <c r="AL495" s="3">
        <f>[1]Results!AO245</f>
        <v>1.613371374</v>
      </c>
      <c r="AM495" s="3">
        <f>[1]Results!AP245</f>
        <v>1.630802227</v>
      </c>
      <c r="AN495" s="3">
        <f>[1]Results!AQ245</f>
        <v>1.648293217</v>
      </c>
      <c r="AO495" s="3">
        <f>[1]Results!AR245</f>
        <v>1.665929502</v>
      </c>
      <c r="AP495" s="3">
        <f>[1]Results!AS245</f>
        <v>1.6837411170000001</v>
      </c>
      <c r="AQ495" s="3">
        <f>[1]Results!AT245</f>
        <v>1.701746065</v>
      </c>
      <c r="AR495" s="3">
        <f>[1]Results!AU245</f>
        <v>1.719958804</v>
      </c>
      <c r="AS495" s="3">
        <f>[1]Results!AV245</f>
        <v>1.7383914620000001</v>
      </c>
      <c r="AT495" s="3">
        <f>[1]Results!AW245</f>
        <v>1.757053814</v>
      </c>
      <c r="AU495" s="3">
        <f>[1]Results!AX245</f>
        <v>1.775953084</v>
      </c>
      <c r="AV495" s="3">
        <f>[1]Results!AY245</f>
        <v>1.7950933229999999</v>
      </c>
      <c r="AW495" s="3">
        <f>[1]Results!AZ245</f>
        <v>1.8145177770000001</v>
      </c>
      <c r="AX495" s="3">
        <f>[1]Results!BA245</f>
        <v>1.834197359</v>
      </c>
      <c r="AY495" s="3">
        <f>[1]Results!BB245</f>
        <v>1.8541203449999999</v>
      </c>
      <c r="AZ495" s="3">
        <f>[1]Results!BC245</f>
        <v>1.874299157</v>
      </c>
      <c r="BA495" s="3">
        <f>[1]Results!BD245</f>
        <v>1.894746694</v>
      </c>
      <c r="BB495" s="3">
        <f>[1]Results!BE245</f>
        <v>2.0594486289999998</v>
      </c>
      <c r="BC495" s="3">
        <f>[1]Results!BF245</f>
        <v>2.0887388640000002</v>
      </c>
      <c r="BD495" s="3">
        <f>[1]Results!BG245</f>
        <v>2.118508641</v>
      </c>
      <c r="BE495" s="3">
        <f>[1]Results!BH245</f>
        <v>2.1487698270000002</v>
      </c>
      <c r="BF495" s="3">
        <f>[1]Results!BI245</f>
        <v>2.1795345500000001</v>
      </c>
    </row>
    <row r="496" spans="1:58" x14ac:dyDescent="0.35">
      <c r="B496" s="3" t="str">
        <f>[1]Results!E248</f>
        <v>YG_toe_cfut_0</v>
      </c>
      <c r="C496" s="3">
        <f>[1]Results!F248</f>
        <v>42.403763159999997</v>
      </c>
      <c r="D496" s="3">
        <f>[1]Results!G248</f>
        <v>42.671330259999998</v>
      </c>
      <c r="E496" s="3">
        <f>[1]Results!H248</f>
        <v>42.920814280000002</v>
      </c>
      <c r="F496" s="3">
        <f>[1]Results!I248</f>
        <v>43.221645619999997</v>
      </c>
      <c r="G496" s="3">
        <f>[1]Results!J248</f>
        <v>43.590534470000001</v>
      </c>
      <c r="H496" s="3">
        <f>[1]Results!K248</f>
        <v>44.022083270000003</v>
      </c>
      <c r="I496" s="3">
        <f>[1]Results!L248</f>
        <v>44.483522020000002</v>
      </c>
      <c r="J496" s="3">
        <f>[1]Results!M248</f>
        <v>44.978733210000001</v>
      </c>
      <c r="K496" s="3">
        <f>[1]Results!N248</f>
        <v>45.500559780000003</v>
      </c>
      <c r="L496" s="3">
        <f>[1]Results!O248</f>
        <v>46.043145789999997</v>
      </c>
      <c r="M496" s="3">
        <f>[1]Results!P248</f>
        <v>46.639897920000003</v>
      </c>
      <c r="N496" s="3">
        <f>[1]Results!Q248</f>
        <v>47.223769070000003</v>
      </c>
      <c r="O496" s="3">
        <f>[1]Results!R248</f>
        <v>47.815723720000001</v>
      </c>
      <c r="P496" s="3">
        <f>[1]Results!S248</f>
        <v>48.415613710000002</v>
      </c>
      <c r="Q496" s="3">
        <f>[1]Results!T248</f>
        <v>49.022576489999999</v>
      </c>
      <c r="R496" s="3">
        <f>[1]Results!U248</f>
        <v>49.635924350000003</v>
      </c>
      <c r="S496" s="3">
        <f>[1]Results!V248</f>
        <v>50.255243350000001</v>
      </c>
      <c r="T496" s="3">
        <f>[1]Results!W248</f>
        <v>50.880344450000003</v>
      </c>
      <c r="U496" s="3">
        <f>[1]Results!X248</f>
        <v>51.511200580000001</v>
      </c>
      <c r="V496" s="3">
        <f>[1]Results!Y248</f>
        <v>52.147895470000002</v>
      </c>
      <c r="W496" s="3">
        <f>[1]Results!Z248</f>
        <v>52.762622989999997</v>
      </c>
      <c r="X496" s="3">
        <f>[1]Results!AA248</f>
        <v>53.403172910000002</v>
      </c>
      <c r="Y496" s="3">
        <f>[1]Results!AB248</f>
        <v>54.052528619999997</v>
      </c>
      <c r="Z496" s="3">
        <f>[1]Results!AC248</f>
        <v>54.709884330000001</v>
      </c>
      <c r="AA496" s="3">
        <f>[1]Results!AD248</f>
        <v>55.375289049999999</v>
      </c>
      <c r="AB496" s="3">
        <f>[1]Results!AE248</f>
        <v>55.968175430000002</v>
      </c>
      <c r="AC496" s="3">
        <f>[1]Results!AF248</f>
        <v>56.587890229999999</v>
      </c>
      <c r="AD496" s="3">
        <f>[1]Results!AG248</f>
        <v>57.211059249999998</v>
      </c>
      <c r="AE496" s="3">
        <f>[1]Results!AH248</f>
        <v>57.837820010000002</v>
      </c>
      <c r="AF496" s="3">
        <f>[1]Results!AI248</f>
        <v>58.469319249999998</v>
      </c>
      <c r="AG496" s="3">
        <f>[1]Results!AJ248</f>
        <v>59.106717490000001</v>
      </c>
      <c r="AH496" s="3">
        <f>[1]Results!AK248</f>
        <v>59.750971739999997</v>
      </c>
      <c r="AI496" s="3">
        <f>[1]Results!AL248</f>
        <v>60.402807959999997</v>
      </c>
      <c r="AJ496" s="3">
        <f>[1]Results!AM248</f>
        <v>61.062747109999997</v>
      </c>
      <c r="AK496" s="3">
        <f>[1]Results!AN248</f>
        <v>61.731146330000001</v>
      </c>
      <c r="AL496" s="3">
        <f>[1]Results!AO248</f>
        <v>62.408241490000002</v>
      </c>
      <c r="AM496" s="3">
        <f>[1]Results!AP248</f>
        <v>63.074682719999998</v>
      </c>
      <c r="AN496" s="3">
        <f>[1]Results!AQ248</f>
        <v>63.744179330000001</v>
      </c>
      <c r="AO496" s="3">
        <f>[1]Results!AR248</f>
        <v>64.418396810000004</v>
      </c>
      <c r="AP496" s="3">
        <f>[1]Results!AS248</f>
        <v>65.098243969999999</v>
      </c>
      <c r="AQ496" s="3">
        <f>[1]Results!AT248</f>
        <v>65.784468070000003</v>
      </c>
      <c r="AR496" s="3">
        <f>[1]Results!AU248</f>
        <v>66.477733430000001</v>
      </c>
      <c r="AS496" s="3">
        <f>[1]Results!AV248</f>
        <v>67.178612020000003</v>
      </c>
      <c r="AT496" s="3">
        <f>[1]Results!AW248</f>
        <v>67.88757296</v>
      </c>
      <c r="AU496" s="3">
        <f>[1]Results!AX248</f>
        <v>68.604983410000003</v>
      </c>
      <c r="AV496" s="3">
        <f>[1]Results!AY248</f>
        <v>69.331117399999997</v>
      </c>
      <c r="AW496" s="3">
        <f>[1]Results!AZ248</f>
        <v>70.067921810000001</v>
      </c>
      <c r="AX496" s="3">
        <f>[1]Results!BA248</f>
        <v>70.814276649999996</v>
      </c>
      <c r="AY496" s="3">
        <f>[1]Results!BB248</f>
        <v>71.570129660000006</v>
      </c>
      <c r="AZ496" s="3">
        <f>[1]Results!BC248</f>
        <v>72.335539330000003</v>
      </c>
      <c r="BA496" s="3">
        <f>[1]Results!BD248</f>
        <v>73.110565399999999</v>
      </c>
      <c r="BB496" s="3">
        <f>[1]Results!BE248</f>
        <v>79.660940400000001</v>
      </c>
      <c r="BC496" s="3">
        <f>[1]Results!BF248</f>
        <v>80.770912499999994</v>
      </c>
      <c r="BD496" s="3">
        <f>[1]Results!BG248</f>
        <v>81.898136870000002</v>
      </c>
      <c r="BE496" s="3">
        <f>[1]Results!BH248</f>
        <v>83.043075369999997</v>
      </c>
      <c r="BF496" s="3">
        <f>[1]Results!BI248</f>
        <v>84.206216670000003</v>
      </c>
    </row>
    <row r="497" spans="1:58" x14ac:dyDescent="0.35">
      <c r="B497" s="3" t="str">
        <f>[1]Results!E251</f>
        <v>YG_toe_cfuh_0</v>
      </c>
      <c r="C497" s="3">
        <f>[1]Results!F251</f>
        <v>7.942823883</v>
      </c>
      <c r="D497" s="3">
        <f>[1]Results!G251</f>
        <v>8.0004213370000006</v>
      </c>
      <c r="E497" s="3">
        <f>[1]Results!H251</f>
        <v>8.0493748959999998</v>
      </c>
      <c r="F497" s="3">
        <f>[1]Results!I251</f>
        <v>8.0983180370000003</v>
      </c>
      <c r="G497" s="3">
        <f>[1]Results!J251</f>
        <v>8.1500469330000005</v>
      </c>
      <c r="H497" s="3">
        <f>[1]Results!K251</f>
        <v>8.2086689170000007</v>
      </c>
      <c r="I497" s="3">
        <f>[1]Results!L251</f>
        <v>8.2710929190000009</v>
      </c>
      <c r="J497" s="3">
        <f>[1]Results!M251</f>
        <v>8.3388245019999996</v>
      </c>
      <c r="K497" s="3">
        <f>[1]Results!N251</f>
        <v>8.4111189690000003</v>
      </c>
      <c r="L497" s="3">
        <f>[1]Results!O251</f>
        <v>8.4869429259999993</v>
      </c>
      <c r="M497" s="3">
        <f>[1]Results!P251</f>
        <v>8.5723894620000003</v>
      </c>
      <c r="N497" s="3">
        <f>[1]Results!Q251</f>
        <v>8.6557614760000003</v>
      </c>
      <c r="O497" s="3">
        <f>[1]Results!R251</f>
        <v>8.7396671169999998</v>
      </c>
      <c r="P497" s="3">
        <f>[1]Results!S251</f>
        <v>8.8244490209999995</v>
      </c>
      <c r="Q497" s="3">
        <f>[1]Results!T251</f>
        <v>8.9101403319999992</v>
      </c>
      <c r="R497" s="3">
        <f>[1]Results!U251</f>
        <v>8.9967330909999994</v>
      </c>
      <c r="S497" s="3">
        <f>[1]Results!V251</f>
        <v>9.0842334979999997</v>
      </c>
      <c r="T497" s="3">
        <f>[1]Results!W251</f>
        <v>9.1726677680000002</v>
      </c>
      <c r="U497" s="3">
        <f>[1]Results!X251</f>
        <v>9.2620776619999994</v>
      </c>
      <c r="V497" s="3">
        <f>[1]Results!Y251</f>
        <v>9.3525150779999997</v>
      </c>
      <c r="W497" s="3">
        <f>[1]Results!Z251</f>
        <v>9.4389963760000004</v>
      </c>
      <c r="X497" s="3">
        <f>[1]Results!AA251</f>
        <v>9.5296474670000002</v>
      </c>
      <c r="Y497" s="3">
        <f>[1]Results!AB251</f>
        <v>9.6223272780000002</v>
      </c>
      <c r="Z497" s="3">
        <f>[1]Results!AC251</f>
        <v>9.7166659400000004</v>
      </c>
      <c r="AA497" s="3">
        <f>[1]Results!AD251</f>
        <v>9.8125826329999999</v>
      </c>
      <c r="AB497" s="3">
        <f>[1]Results!AE251</f>
        <v>9.8956498419999992</v>
      </c>
      <c r="AC497" s="3">
        <f>[1]Results!AF251</f>
        <v>9.982113172</v>
      </c>
      <c r="AD497" s="3">
        <f>[1]Results!AG251</f>
        <v>10.06969269</v>
      </c>
      <c r="AE497" s="3">
        <f>[1]Results!AH251</f>
        <v>10.158259490000001</v>
      </c>
      <c r="AF497" s="3">
        <f>[1]Results!AI251</f>
        <v>10.247919339999999</v>
      </c>
      <c r="AG497" s="3">
        <f>[1]Results!AJ251</f>
        <v>10.33881105</v>
      </c>
      <c r="AH497" s="3">
        <f>[1]Results!AK251</f>
        <v>10.43106191</v>
      </c>
      <c r="AI497" s="3">
        <f>[1]Results!AL251</f>
        <v>10.524770350000001</v>
      </c>
      <c r="AJ497" s="3">
        <f>[1]Results!AM251</f>
        <v>10.62000536</v>
      </c>
      <c r="AK497" s="3">
        <f>[1]Results!AN251</f>
        <v>10.716811229999999</v>
      </c>
      <c r="AL497" s="3">
        <f>[1]Results!AO251</f>
        <v>10.815213569999999</v>
      </c>
      <c r="AM497" s="3">
        <f>[1]Results!AP251</f>
        <v>10.91180557</v>
      </c>
      <c r="AN497" s="3">
        <f>[1]Results!AQ251</f>
        <v>11.008612360000001</v>
      </c>
      <c r="AO497" s="3">
        <f>[1]Results!AR251</f>
        <v>11.10616531</v>
      </c>
      <c r="AP497" s="3">
        <f>[1]Results!AS251</f>
        <v>11.204714989999999</v>
      </c>
      <c r="AQ497" s="3">
        <f>[1]Results!AT251</f>
        <v>11.30442392</v>
      </c>
      <c r="AR497" s="3">
        <f>[1]Results!AU251</f>
        <v>11.405413490000001</v>
      </c>
      <c r="AS497" s="3">
        <f>[1]Results!AV251</f>
        <v>11.5077754</v>
      </c>
      <c r="AT497" s="3">
        <f>[1]Results!AW251</f>
        <v>11.61157317</v>
      </c>
      <c r="AU497" s="3">
        <f>[1]Results!AX251</f>
        <v>11.71683589</v>
      </c>
      <c r="AV497" s="3">
        <f>[1]Results!AY251</f>
        <v>11.82352826</v>
      </c>
      <c r="AW497" s="3">
        <f>[1]Results!AZ251</f>
        <v>11.931702039999999</v>
      </c>
      <c r="AX497" s="3">
        <f>[1]Results!BA251</f>
        <v>12.04119803</v>
      </c>
      <c r="AY497" s="3">
        <f>[1]Results!BB251</f>
        <v>12.151822709999999</v>
      </c>
      <c r="AZ497" s="3">
        <f>[1]Results!BC251</f>
        <v>12.26401362</v>
      </c>
      <c r="BA497" s="3">
        <f>[1]Results!BD251</f>
        <v>12.378119509999999</v>
      </c>
      <c r="BB497" s="3">
        <f>[1]Results!BE251</f>
        <v>13.2800452</v>
      </c>
      <c r="BC497" s="3">
        <f>[1]Results!BF251</f>
        <v>13.446028159999999</v>
      </c>
      <c r="BD497" s="3">
        <f>[1]Results!BG251</f>
        <v>13.61463571</v>
      </c>
      <c r="BE497" s="3">
        <f>[1]Results!BH251</f>
        <v>13.785939519999999</v>
      </c>
      <c r="BF497" s="3">
        <f>[1]Results!BI251</f>
        <v>13.96000641</v>
      </c>
    </row>
    <row r="498" spans="1:58" x14ac:dyDescent="0.35">
      <c r="B498" s="3" t="str">
        <f>[1]Results!E253</f>
        <v>YG_toe_cgas_0</v>
      </c>
      <c r="C498" s="3">
        <f>[1]Results!F253</f>
        <v>6.6062603229999999</v>
      </c>
      <c r="D498" s="3">
        <f>[1]Results!G253</f>
        <v>6.6480353149999996</v>
      </c>
      <c r="E498" s="3">
        <f>[1]Results!H253</f>
        <v>6.6704480950000002</v>
      </c>
      <c r="F498" s="3">
        <f>[1]Results!I253</f>
        <v>6.6792893109999998</v>
      </c>
      <c r="G498" s="3">
        <f>[1]Results!J253</f>
        <v>6.6778001109999998</v>
      </c>
      <c r="H498" s="3">
        <f>[1]Results!K253</f>
        <v>6.6752582550000001</v>
      </c>
      <c r="I498" s="3">
        <f>[1]Results!L253</f>
        <v>6.6708197629999999</v>
      </c>
      <c r="J498" s="3">
        <f>[1]Results!M253</f>
        <v>6.6697477520000001</v>
      </c>
      <c r="K498" s="3">
        <f>[1]Results!N253</f>
        <v>6.6711559390000001</v>
      </c>
      <c r="L498" s="3">
        <f>[1]Results!O253</f>
        <v>6.6741641229999997</v>
      </c>
      <c r="M498" s="3">
        <f>[1]Results!P253</f>
        <v>6.6860735279999997</v>
      </c>
      <c r="N498" s="3">
        <f>[1]Results!Q253</f>
        <v>6.6900412039999999</v>
      </c>
      <c r="O498" s="3">
        <f>[1]Results!R253</f>
        <v>6.6946569480000004</v>
      </c>
      <c r="P498" s="3">
        <f>[1]Results!S253</f>
        <v>6.6998824299999997</v>
      </c>
      <c r="Q498" s="3">
        <f>[1]Results!T253</f>
        <v>6.7059279829999996</v>
      </c>
      <c r="R498" s="3">
        <f>[1]Results!U253</f>
        <v>6.7129278640000001</v>
      </c>
      <c r="S498" s="3">
        <f>[1]Results!V253</f>
        <v>6.7209333300000003</v>
      </c>
      <c r="T498" s="3">
        <f>[1]Results!W253</f>
        <v>6.729937971</v>
      </c>
      <c r="U498" s="3">
        <f>[1]Results!X253</f>
        <v>6.7398986519999999</v>
      </c>
      <c r="V498" s="3">
        <f>[1]Results!Y253</f>
        <v>6.7507501950000002</v>
      </c>
      <c r="W498" s="3">
        <f>[1]Results!Z253</f>
        <v>6.7568754679999996</v>
      </c>
      <c r="X498" s="3">
        <f>[1]Results!AA253</f>
        <v>6.7699868509999996</v>
      </c>
      <c r="Y498" s="3">
        <f>[1]Results!AB253</f>
        <v>6.783634867</v>
      </c>
      <c r="Z498" s="3">
        <f>[1]Results!AC253</f>
        <v>6.7978219050000002</v>
      </c>
      <c r="AA498" s="3">
        <f>[1]Results!AD253</f>
        <v>6.8123806890000003</v>
      </c>
      <c r="AB498" s="3">
        <f>[1]Results!AE253</f>
        <v>6.8115622770000002</v>
      </c>
      <c r="AC498" s="3">
        <f>[1]Results!AF253</f>
        <v>6.8214316149999998</v>
      </c>
      <c r="AD498" s="3">
        <f>[1]Results!AG253</f>
        <v>6.8320571159999997</v>
      </c>
      <c r="AE498" s="3">
        <f>[1]Results!AH253</f>
        <v>6.8435382980000004</v>
      </c>
      <c r="AF498" s="3">
        <f>[1]Results!AI253</f>
        <v>6.8554909579999999</v>
      </c>
      <c r="AG498" s="3">
        <f>[1]Results!AJ253</f>
        <v>6.8675971090000001</v>
      </c>
      <c r="AH498" s="3">
        <f>[1]Results!AK253</f>
        <v>6.8796483970000004</v>
      </c>
      <c r="AI498" s="3">
        <f>[1]Results!AL253</f>
        <v>6.8915222060000003</v>
      </c>
      <c r="AJ498" s="3">
        <f>[1]Results!AM253</f>
        <v>6.9031590290000002</v>
      </c>
      <c r="AK498" s="3">
        <f>[1]Results!AN253</f>
        <v>6.9145444019999998</v>
      </c>
      <c r="AL498" s="3">
        <f>[1]Results!AO253</f>
        <v>6.9256947279999999</v>
      </c>
      <c r="AM498" s="3">
        <f>[1]Results!AP253</f>
        <v>6.9330359819999998</v>
      </c>
      <c r="AN498" s="3">
        <f>[1]Results!AQ253</f>
        <v>6.9408049380000003</v>
      </c>
      <c r="AO498" s="3">
        <f>[1]Results!AR253</f>
        <v>6.9489016320000001</v>
      </c>
      <c r="AP498" s="3">
        <f>[1]Results!AS253</f>
        <v>6.9573271989999999</v>
      </c>
      <c r="AQ498" s="3">
        <f>[1]Results!AT253</f>
        <v>6.9660339379999998</v>
      </c>
      <c r="AR498" s="3">
        <f>[1]Results!AU253</f>
        <v>6.9749455390000001</v>
      </c>
      <c r="AS498" s="3">
        <f>[1]Results!AV253</f>
        <v>6.9839789779999997</v>
      </c>
      <c r="AT498" s="3">
        <f>[1]Results!AW253</f>
        <v>6.9930500520000001</v>
      </c>
      <c r="AU498" s="3">
        <f>[1]Results!AX253</f>
        <v>7.0020595119999998</v>
      </c>
      <c r="AV498" s="3">
        <f>[1]Results!AY253</f>
        <v>7.0108418549999998</v>
      </c>
      <c r="AW498" s="3">
        <f>[1]Results!AZ253</f>
        <v>7.0192826970000004</v>
      </c>
      <c r="AX498" s="3">
        <f>[1]Results!BA253</f>
        <v>7.0268422279999996</v>
      </c>
      <c r="AY498" s="3">
        <f>[1]Results!BB253</f>
        <v>7.0323414949999998</v>
      </c>
      <c r="AZ498" s="3">
        <f>[1]Results!BC253</f>
        <v>7.0376312570000001</v>
      </c>
      <c r="BA498" s="3">
        <f>[1]Results!BD253</f>
        <v>7.0441854749999999</v>
      </c>
      <c r="BB498" s="3">
        <f>[1]Results!BE253</f>
        <v>6.5550224909999999</v>
      </c>
      <c r="BC498" s="3">
        <f>[1]Results!BF253</f>
        <v>6.5727831459999999</v>
      </c>
      <c r="BD498" s="3">
        <f>[1]Results!BG253</f>
        <v>6.5912239770000003</v>
      </c>
      <c r="BE498" s="3">
        <f>[1]Results!BH253</f>
        <v>6.6103602400000003</v>
      </c>
      <c r="BF498" s="3">
        <f>[1]Results!BI253</f>
        <v>6.6301887920000002</v>
      </c>
    </row>
    <row r="499" spans="1:58" x14ac:dyDescent="0.35">
      <c r="B499" s="3" t="str">
        <f>[1]Results!E259</f>
        <v>YG_toe_cele_0</v>
      </c>
      <c r="C499" s="3">
        <f>[1]Results!F259</f>
        <v>57.529655949999999</v>
      </c>
      <c r="D499" s="3">
        <f>[1]Results!G259</f>
        <v>58.024710339999999</v>
      </c>
      <c r="E499" s="3">
        <f>[1]Results!H259</f>
        <v>58.486192180000003</v>
      </c>
      <c r="F499" s="3">
        <f>[1]Results!I259</f>
        <v>58.965917300000001</v>
      </c>
      <c r="G499" s="3">
        <f>[1]Results!J259</f>
        <v>59.482010879999997</v>
      </c>
      <c r="H499" s="3">
        <f>[1]Results!K259</f>
        <v>60.04720914</v>
      </c>
      <c r="I499" s="3">
        <f>[1]Results!L259</f>
        <v>60.6281222</v>
      </c>
      <c r="J499" s="3">
        <f>[1]Results!M259</f>
        <v>61.237200260000002</v>
      </c>
      <c r="K499" s="3">
        <f>[1]Results!N259</f>
        <v>61.869040750000003</v>
      </c>
      <c r="L499" s="3">
        <f>[1]Results!O259</f>
        <v>62.517182900000002</v>
      </c>
      <c r="M499" s="3">
        <f>[1]Results!P259</f>
        <v>63.233221010000001</v>
      </c>
      <c r="N499" s="3">
        <f>[1]Results!Q259</f>
        <v>63.920640849999998</v>
      </c>
      <c r="O499" s="3">
        <f>[1]Results!R259</f>
        <v>64.606280609999999</v>
      </c>
      <c r="P499" s="3">
        <f>[1]Results!S259</f>
        <v>65.293249939999995</v>
      </c>
      <c r="Q499" s="3">
        <f>[1]Results!T259</f>
        <v>65.982451800000007</v>
      </c>
      <c r="R499" s="3">
        <f>[1]Results!U259</f>
        <v>66.674545089999995</v>
      </c>
      <c r="S499" s="3">
        <f>[1]Results!V259</f>
        <v>67.370347159999994</v>
      </c>
      <c r="T499" s="3">
        <f>[1]Results!W259</f>
        <v>68.070875290000004</v>
      </c>
      <c r="U499" s="3">
        <f>[1]Results!X259</f>
        <v>68.77730305</v>
      </c>
      <c r="V499" s="3">
        <f>[1]Results!Y259</f>
        <v>69.490899240000005</v>
      </c>
      <c r="W499" s="3">
        <f>[1]Results!Z259</f>
        <v>70.171593669999993</v>
      </c>
      <c r="X499" s="3">
        <f>[1]Results!AA259</f>
        <v>70.889139760000006</v>
      </c>
      <c r="Y499" s="3">
        <f>[1]Results!AB259</f>
        <v>71.623619500000004</v>
      </c>
      <c r="Z499" s="3">
        <f>[1]Results!AC259</f>
        <v>72.373229730000006</v>
      </c>
      <c r="AA499" s="3">
        <f>[1]Results!AD259</f>
        <v>73.138100489999999</v>
      </c>
      <c r="AB499" s="3">
        <f>[1]Results!AE259</f>
        <v>73.800083529999995</v>
      </c>
      <c r="AC499" s="3">
        <f>[1]Results!AF259</f>
        <v>74.499691229999996</v>
      </c>
      <c r="AD499" s="3">
        <f>[1]Results!AG259</f>
        <v>75.21271763</v>
      </c>
      <c r="AE499" s="3">
        <f>[1]Results!AH259</f>
        <v>75.938829350000006</v>
      </c>
      <c r="AF499" s="3">
        <f>[1]Results!AI259</f>
        <v>76.67949711</v>
      </c>
      <c r="AG499" s="3">
        <f>[1]Results!AJ259</f>
        <v>77.436238529999997</v>
      </c>
      <c r="AH499" s="3">
        <f>[1]Results!AK259</f>
        <v>78.210221730000001</v>
      </c>
      <c r="AI499" s="3">
        <f>[1]Results!AL259</f>
        <v>79.002206299999997</v>
      </c>
      <c r="AJ499" s="3">
        <f>[1]Results!AM259</f>
        <v>79.812580760000003</v>
      </c>
      <c r="AK499" s="3">
        <f>[1]Results!AN259</f>
        <v>80.641432140000006</v>
      </c>
      <c r="AL499" s="3">
        <f>[1]Results!AO259</f>
        <v>81.488623630000006</v>
      </c>
      <c r="AM499" s="3">
        <f>[1]Results!AP259</f>
        <v>82.325474119999996</v>
      </c>
      <c r="AN499" s="3">
        <f>[1]Results!AQ259</f>
        <v>83.169913030000004</v>
      </c>
      <c r="AO499" s="3">
        <f>[1]Results!AR259</f>
        <v>84.025416840000005</v>
      </c>
      <c r="AP499" s="3">
        <f>[1]Results!AS259</f>
        <v>84.893519269999999</v>
      </c>
      <c r="AQ499" s="3">
        <f>[1]Results!AT259</f>
        <v>85.775187189999997</v>
      </c>
      <c r="AR499" s="3">
        <f>[1]Results!AU259</f>
        <v>86.671129440000001</v>
      </c>
      <c r="AS499" s="3">
        <f>[1]Results!AV259</f>
        <v>87.581865219999997</v>
      </c>
      <c r="AT499" s="3">
        <f>[1]Results!AW259</f>
        <v>88.507748559999996</v>
      </c>
      <c r="AU499" s="3">
        <f>[1]Results!AX259</f>
        <v>89.448948979999997</v>
      </c>
      <c r="AV499" s="3">
        <f>[1]Results!AY259</f>
        <v>90.405352879999995</v>
      </c>
      <c r="AW499" s="3">
        <f>[1]Results!AZ259</f>
        <v>91.378581589999996</v>
      </c>
      <c r="AX499" s="3">
        <f>[1]Results!BA259</f>
        <v>92.366398770000004</v>
      </c>
      <c r="AY499" s="3">
        <f>[1]Results!BB259</f>
        <v>93.367646930000006</v>
      </c>
      <c r="AZ499" s="3">
        <f>[1]Results!BC259</f>
        <v>94.383784449999993</v>
      </c>
      <c r="BA499" s="3">
        <f>[1]Results!BD259</f>
        <v>95.416139509999994</v>
      </c>
      <c r="BB499" s="3">
        <f>[1]Results!BE259</f>
        <v>102.0538025</v>
      </c>
      <c r="BC499" s="3">
        <f>[1]Results!BF259</f>
        <v>103.4970831</v>
      </c>
      <c r="BD499" s="3">
        <f>[1]Results!BG259</f>
        <v>104.966171</v>
      </c>
      <c r="BE499" s="3">
        <f>[1]Results!BH259</f>
        <v>106.46154749999999</v>
      </c>
      <c r="BF499" s="3">
        <f>[1]Results!BI259</f>
        <v>107.9836487</v>
      </c>
    </row>
    <row r="500" spans="1:58" x14ac:dyDescent="0.35">
      <c r="B500" s="3" t="s">
        <v>75</v>
      </c>
      <c r="C500" s="3">
        <f>SUM(C501:C503)</f>
        <v>30.778720490000001</v>
      </c>
      <c r="D500" s="3">
        <f t="shared" ref="D500:AL500" si="308">SUM(D501:D503)</f>
        <v>31.070398473999997</v>
      </c>
      <c r="E500" s="3">
        <f t="shared" si="308"/>
        <v>31.356173279000004</v>
      </c>
      <c r="F500" s="3">
        <f t="shared" si="308"/>
        <v>31.651914325</v>
      </c>
      <c r="G500" s="3">
        <f t="shared" si="308"/>
        <v>31.964222318000001</v>
      </c>
      <c r="H500" s="3">
        <f t="shared" si="308"/>
        <v>32.288485162000001</v>
      </c>
      <c r="I500" s="3">
        <f t="shared" si="308"/>
        <v>32.603310120000003</v>
      </c>
      <c r="J500" s="3">
        <f t="shared" si="308"/>
        <v>32.923426098</v>
      </c>
      <c r="K500" s="3">
        <f t="shared" si="308"/>
        <v>33.251300153000003</v>
      </c>
      <c r="L500" s="3">
        <f t="shared" si="308"/>
        <v>33.586763564999998</v>
      </c>
      <c r="M500" s="3">
        <f t="shared" si="308"/>
        <v>33.965995542000002</v>
      </c>
      <c r="N500" s="3">
        <f t="shared" si="308"/>
        <v>34.325675312999998</v>
      </c>
      <c r="O500" s="3">
        <f t="shared" si="308"/>
        <v>34.684694882000002</v>
      </c>
      <c r="P500" s="3">
        <f t="shared" si="308"/>
        <v>35.046034900999999</v>
      </c>
      <c r="Q500" s="3">
        <f t="shared" si="308"/>
        <v>35.410630218000001</v>
      </c>
      <c r="R500" s="3">
        <f t="shared" si="308"/>
        <v>35.778870209000004</v>
      </c>
      <c r="S500" s="3">
        <f t="shared" si="308"/>
        <v>36.151021489999998</v>
      </c>
      <c r="T500" s="3">
        <f t="shared" si="308"/>
        <v>36.527352919000002</v>
      </c>
      <c r="U500" s="3">
        <f t="shared" si="308"/>
        <v>36.908164309</v>
      </c>
      <c r="V500" s="3">
        <f t="shared" si="308"/>
        <v>37.293782446999998</v>
      </c>
      <c r="W500" s="3">
        <f t="shared" si="308"/>
        <v>37.657996854000004</v>
      </c>
      <c r="X500" s="3">
        <f t="shared" si="308"/>
        <v>38.046119175000001</v>
      </c>
      <c r="Y500" s="3">
        <f t="shared" si="308"/>
        <v>38.444203354999999</v>
      </c>
      <c r="Z500" s="3">
        <f t="shared" si="308"/>
        <v>38.850161155999999</v>
      </c>
      <c r="AA500" s="3">
        <f t="shared" si="308"/>
        <v>39.263450462999998</v>
      </c>
      <c r="AB500" s="3">
        <f t="shared" si="308"/>
        <v>39.608471698000002</v>
      </c>
      <c r="AC500" s="3">
        <f t="shared" si="308"/>
        <v>39.977566750999998</v>
      </c>
      <c r="AD500" s="3">
        <f t="shared" si="308"/>
        <v>40.354421182999999</v>
      </c>
      <c r="AE500" s="3">
        <f t="shared" si="308"/>
        <v>40.737782965000001</v>
      </c>
      <c r="AF500" s="3">
        <f t="shared" si="308"/>
        <v>41.127664539000001</v>
      </c>
      <c r="AG500" s="3">
        <f t="shared" si="308"/>
        <v>41.524341127</v>
      </c>
      <c r="AH500" s="3">
        <f t="shared" si="308"/>
        <v>41.928084626</v>
      </c>
      <c r="AI500" s="3">
        <f t="shared" si="308"/>
        <v>42.339091651999993</v>
      </c>
      <c r="AJ500" s="3">
        <f t="shared" si="308"/>
        <v>42.757472512999996</v>
      </c>
      <c r="AK500" s="3">
        <f t="shared" si="308"/>
        <v>43.183263416999999</v>
      </c>
      <c r="AL500" s="3">
        <f t="shared" si="308"/>
        <v>43.616446553999999</v>
      </c>
      <c r="AM500" s="3">
        <f t="shared" ref="AM500:BC500" si="309">SUM(AM501:AM503)</f>
        <v>44.039267881000001</v>
      </c>
      <c r="AN500" s="3">
        <f t="shared" si="309"/>
        <v>44.463912812000004</v>
      </c>
      <c r="AO500" s="3">
        <f t="shared" si="309"/>
        <v>44.892928773999998</v>
      </c>
      <c r="AP500" s="3">
        <f t="shared" si="309"/>
        <v>45.327362231999999</v>
      </c>
      <c r="AQ500" s="3">
        <f t="shared" si="309"/>
        <v>45.767781808999999</v>
      </c>
      <c r="AR500" s="3">
        <f t="shared" si="309"/>
        <v>46.214577919999996</v>
      </c>
      <c r="AS500" s="3">
        <f t="shared" si="309"/>
        <v>46.668065713000004</v>
      </c>
      <c r="AT500" s="3">
        <f t="shared" si="309"/>
        <v>47.128529249000003</v>
      </c>
      <c r="AU500" s="3">
        <f t="shared" si="309"/>
        <v>47.596256079</v>
      </c>
      <c r="AV500" s="3">
        <f t="shared" si="309"/>
        <v>48.071588997999996</v>
      </c>
      <c r="AW500" s="3">
        <f t="shared" si="309"/>
        <v>48.556547651999999</v>
      </c>
      <c r="AX500" s="3">
        <f t="shared" si="309"/>
        <v>49.046122061000005</v>
      </c>
      <c r="AY500" s="3">
        <f t="shared" si="309"/>
        <v>49.539681341999994</v>
      </c>
      <c r="AZ500" s="3">
        <f t="shared" si="309"/>
        <v>50.037920036000003</v>
      </c>
      <c r="BA500" s="3">
        <f t="shared" si="309"/>
        <v>50.541813306999998</v>
      </c>
      <c r="BB500" s="3">
        <f t="shared" si="309"/>
        <v>54.432891456999997</v>
      </c>
      <c r="BC500" s="3">
        <f t="shared" si="309"/>
        <v>55.159541976</v>
      </c>
      <c r="BD500" s="3">
        <f t="shared" ref="BD500:BF500" si="310">SUM(BD501:BD503)</f>
        <v>55.898320620000007</v>
      </c>
      <c r="BE500" s="3">
        <f t="shared" si="310"/>
        <v>56.649505239999996</v>
      </c>
      <c r="BF500" s="3">
        <f t="shared" si="310"/>
        <v>57.413339069999999</v>
      </c>
    </row>
    <row r="501" spans="1:58" x14ac:dyDescent="0.35">
      <c r="B501" s="3" t="str">
        <f>[1]Results!E269</f>
        <v>YG_toe_chea_0</v>
      </c>
      <c r="C501" s="3">
        <f>[1]Results!F269</f>
        <v>5.7131595600000002</v>
      </c>
      <c r="D501" s="3">
        <f>[1]Results!G269</f>
        <v>5.7821035439999999</v>
      </c>
      <c r="E501" s="3">
        <f>[1]Results!H269</f>
        <v>5.8586526790000004</v>
      </c>
      <c r="F501" s="3">
        <f>[1]Results!I269</f>
        <v>5.9404580549999997</v>
      </c>
      <c r="G501" s="3">
        <f>[1]Results!J269</f>
        <v>6.0270499580000001</v>
      </c>
      <c r="H501" s="3">
        <f>[1]Results!K269</f>
        <v>6.1094408619999996</v>
      </c>
      <c r="I501" s="3">
        <f>[1]Results!L269</f>
        <v>6.1818491</v>
      </c>
      <c r="J501" s="3">
        <f>[1]Results!M269</f>
        <v>6.249461148</v>
      </c>
      <c r="K501" s="3">
        <f>[1]Results!N269</f>
        <v>6.3152038529999999</v>
      </c>
      <c r="L501" s="3">
        <f>[1]Results!O269</f>
        <v>6.3805787350000003</v>
      </c>
      <c r="M501" s="3">
        <f>[1]Results!P269</f>
        <v>6.4553791719999998</v>
      </c>
      <c r="N501" s="3">
        <f>[1]Results!Q269</f>
        <v>6.5252663929999999</v>
      </c>
      <c r="O501" s="3">
        <f>[1]Results!R269</f>
        <v>6.5936933719999997</v>
      </c>
      <c r="P501" s="3">
        <f>[1]Results!S269</f>
        <v>6.6618394910000003</v>
      </c>
      <c r="Q501" s="3">
        <f>[1]Results!T269</f>
        <v>6.7301478379999997</v>
      </c>
      <c r="R501" s="3">
        <f>[1]Results!U269</f>
        <v>6.7987918189999998</v>
      </c>
      <c r="S501" s="3">
        <f>[1]Results!V269</f>
        <v>6.8678460000000001</v>
      </c>
      <c r="T501" s="3">
        <f>[1]Results!W269</f>
        <v>6.9373538789999998</v>
      </c>
      <c r="U501" s="3">
        <f>[1]Results!X269</f>
        <v>7.0073539189999998</v>
      </c>
      <c r="V501" s="3">
        <f>[1]Results!Y269</f>
        <v>7.0778878269999996</v>
      </c>
      <c r="W501" s="3">
        <f>[1]Results!Z269</f>
        <v>7.142726304</v>
      </c>
      <c r="X501" s="3">
        <f>[1]Results!AA269</f>
        <v>7.2119706749999999</v>
      </c>
      <c r="Y501" s="3">
        <f>[1]Results!AB269</f>
        <v>7.2833051649999998</v>
      </c>
      <c r="Z501" s="3">
        <f>[1]Results!AC269</f>
        <v>7.3559660060000001</v>
      </c>
      <c r="AA501" s="3">
        <f>[1]Results!AD269</f>
        <v>7.4296763429999997</v>
      </c>
      <c r="AB501" s="3">
        <f>[1]Results!AE269</f>
        <v>7.4868596580000002</v>
      </c>
      <c r="AC501" s="3">
        <f>[1]Results!AF269</f>
        <v>7.5472606009999996</v>
      </c>
      <c r="AD501" s="3">
        <f>[1]Results!AG269</f>
        <v>7.609173073</v>
      </c>
      <c r="AE501" s="3">
        <f>[1]Results!AH269</f>
        <v>7.6721813750000001</v>
      </c>
      <c r="AF501" s="3">
        <f>[1]Results!AI269</f>
        <v>7.7361674489999999</v>
      </c>
      <c r="AG501" s="3">
        <f>[1]Results!AJ269</f>
        <v>7.8011184570000003</v>
      </c>
      <c r="AH501" s="3">
        <f>[1]Results!AK269</f>
        <v>7.8670525659999999</v>
      </c>
      <c r="AI501" s="3">
        <f>[1]Results!AL269</f>
        <v>7.9339913519999996</v>
      </c>
      <c r="AJ501" s="3">
        <f>[1]Results!AM269</f>
        <v>8.0019499130000007</v>
      </c>
      <c r="AK501" s="3">
        <f>[1]Results!AN269</f>
        <v>8.0709349669999995</v>
      </c>
      <c r="AL501" s="3">
        <f>[1]Results!AO269</f>
        <v>8.1409465240000003</v>
      </c>
      <c r="AM501" s="3">
        <f>[1]Results!AP269</f>
        <v>8.2080739509999994</v>
      </c>
      <c r="AN501" s="3">
        <f>[1]Results!AQ269</f>
        <v>8.2746570520000002</v>
      </c>
      <c r="AO501" s="3">
        <f>[1]Results!AR269</f>
        <v>8.3415503139999991</v>
      </c>
      <c r="AP501" s="3">
        <f>[1]Results!AS269</f>
        <v>8.4091236519999999</v>
      </c>
      <c r="AQ501" s="3">
        <f>[1]Results!AT269</f>
        <v>8.4775682789999998</v>
      </c>
      <c r="AR501" s="3">
        <f>[1]Results!AU269</f>
        <v>8.5470103300000009</v>
      </c>
      <c r="AS501" s="3">
        <f>[1]Results!AV269</f>
        <v>8.6175606929999997</v>
      </c>
      <c r="AT501" s="3">
        <f>[1]Results!AW269</f>
        <v>8.6893453990000005</v>
      </c>
      <c r="AU501" s="3">
        <f>[1]Results!AX269</f>
        <v>8.7625423589999993</v>
      </c>
      <c r="AV501" s="3">
        <f>[1]Results!AY269</f>
        <v>8.8374668179999993</v>
      </c>
      <c r="AW501" s="3">
        <f>[1]Results!AZ269</f>
        <v>8.9152226419999998</v>
      </c>
      <c r="AX501" s="3">
        <f>[1]Results!BA269</f>
        <v>8.9925950609999994</v>
      </c>
      <c r="AY501" s="3">
        <f>[1]Results!BB269</f>
        <v>9.0691653320000007</v>
      </c>
      <c r="AZ501" s="3">
        <f>[1]Results!BC269</f>
        <v>9.1452050360000001</v>
      </c>
      <c r="BA501" s="3">
        <f>[1]Results!BD269</f>
        <v>9.2211934469999992</v>
      </c>
      <c r="BB501" s="3">
        <f>[1]Results!BE269</f>
        <v>9.8041921369999994</v>
      </c>
      <c r="BC501" s="3">
        <f>[1]Results!BF269</f>
        <v>9.9115410859999997</v>
      </c>
      <c r="BD501" s="3">
        <f>[1]Results!BG269</f>
        <v>10.020335210000001</v>
      </c>
      <c r="BE501" s="3">
        <f>[1]Results!BH269</f>
        <v>10.130629770000001</v>
      </c>
      <c r="BF501" s="3">
        <f>[1]Results!BI269</f>
        <v>10.24246739</v>
      </c>
    </row>
    <row r="502" spans="1:58" x14ac:dyDescent="0.35">
      <c r="B502" s="3" t="str">
        <f>[1]Results!E271</f>
        <v>YG_toe_cbio_0</v>
      </c>
      <c r="C502" s="3">
        <f>[1]Results!F271</f>
        <v>11.183799690000001</v>
      </c>
      <c r="D502" s="3">
        <f>[1]Results!G271</f>
        <v>11.237025859999999</v>
      </c>
      <c r="E502" s="3">
        <f>[1]Results!H271</f>
        <v>11.265660370000001</v>
      </c>
      <c r="F502" s="3">
        <f>[1]Results!I271</f>
        <v>11.288540040000001</v>
      </c>
      <c r="G502" s="3">
        <f>[1]Results!J271</f>
        <v>11.31207498</v>
      </c>
      <c r="H502" s="3">
        <f>[1]Results!K271</f>
        <v>11.34181824</v>
      </c>
      <c r="I502" s="3">
        <f>[1]Results!L271</f>
        <v>11.37427125</v>
      </c>
      <c r="J502" s="3">
        <f>[1]Results!M271</f>
        <v>11.4118464</v>
      </c>
      <c r="K502" s="3">
        <f>[1]Results!N271</f>
        <v>11.454154620000001</v>
      </c>
      <c r="L502" s="3">
        <f>[1]Results!O271</f>
        <v>11.50004678</v>
      </c>
      <c r="M502" s="3">
        <f>[1]Results!P271</f>
        <v>11.557557920000001</v>
      </c>
      <c r="N502" s="3">
        <f>[1]Results!Q271</f>
        <v>11.61172367</v>
      </c>
      <c r="O502" s="3">
        <f>[1]Results!R271</f>
        <v>11.665166279999999</v>
      </c>
      <c r="P502" s="3">
        <f>[1]Results!S271</f>
        <v>11.718691489999999</v>
      </c>
      <c r="Q502" s="3">
        <f>[1]Results!T271</f>
        <v>11.7725832</v>
      </c>
      <c r="R502" s="3">
        <f>[1]Results!U271</f>
        <v>11.82695298</v>
      </c>
      <c r="S502" s="3">
        <f>[1]Results!V271</f>
        <v>11.881870149999999</v>
      </c>
      <c r="T502" s="3">
        <f>[1]Results!W271</f>
        <v>11.93740567</v>
      </c>
      <c r="U502" s="3">
        <f>[1]Results!X271</f>
        <v>11.993643199999999</v>
      </c>
      <c r="V502" s="3">
        <f>[1]Results!Y271</f>
        <v>12.050678039999999</v>
      </c>
      <c r="W502" s="3">
        <f>[1]Results!Z271</f>
        <v>12.102291599999999</v>
      </c>
      <c r="X502" s="3">
        <f>[1]Results!AA271</f>
        <v>12.15852785</v>
      </c>
      <c r="Y502" s="3">
        <f>[1]Results!AB271</f>
        <v>12.21727662</v>
      </c>
      <c r="Z502" s="3">
        <f>[1]Results!AC271</f>
        <v>12.277870869999999</v>
      </c>
      <c r="AA502" s="3">
        <f>[1]Results!AD271</f>
        <v>12.340083180000001</v>
      </c>
      <c r="AB502" s="3">
        <f>[1]Results!AE271</f>
        <v>12.386129009999999</v>
      </c>
      <c r="AC502" s="3">
        <f>[1]Results!AF271</f>
        <v>12.435522430000001</v>
      </c>
      <c r="AD502" s="3">
        <f>[1]Results!AG271</f>
        <v>12.486768659999999</v>
      </c>
      <c r="AE502" s="3">
        <f>[1]Results!AH271</f>
        <v>12.539591400000001</v>
      </c>
      <c r="AF502" s="3">
        <f>[1]Results!AI271</f>
        <v>12.59396961</v>
      </c>
      <c r="AG502" s="3">
        <f>[1]Results!AJ271</f>
        <v>12.649959709999999</v>
      </c>
      <c r="AH502" s="3">
        <f>[1]Results!AK271</f>
        <v>12.70762457</v>
      </c>
      <c r="AI502" s="3">
        <f>[1]Results!AL271</f>
        <v>12.7670093</v>
      </c>
      <c r="AJ502" s="3">
        <f>[1]Results!AM271</f>
        <v>12.828135769999999</v>
      </c>
      <c r="AK502" s="3">
        <f>[1]Results!AN271</f>
        <v>12.89100515</v>
      </c>
      <c r="AL502" s="3">
        <f>[1]Results!AO271</f>
        <v>12.955603249999999</v>
      </c>
      <c r="AM502" s="3">
        <f>[1]Results!AP271</f>
        <v>13.017876729999999</v>
      </c>
      <c r="AN502" s="3">
        <f>[1]Results!AQ271</f>
        <v>13.080091380000001</v>
      </c>
      <c r="AO502" s="3">
        <f>[1]Results!AR271</f>
        <v>13.143084379999999</v>
      </c>
      <c r="AP502" s="3">
        <f>[1]Results!AS271</f>
        <v>13.207230620000001</v>
      </c>
      <c r="AQ502" s="3">
        <f>[1]Results!AT271</f>
        <v>13.27272338</v>
      </c>
      <c r="AR502" s="3">
        <f>[1]Results!AU271</f>
        <v>13.33968031</v>
      </c>
      <c r="AS502" s="3">
        <f>[1]Results!AV271</f>
        <v>13.408183080000001</v>
      </c>
      <c r="AT502" s="3">
        <f>[1]Results!AW271</f>
        <v>13.47828842</v>
      </c>
      <c r="AU502" s="3">
        <f>[1]Results!AX271</f>
        <v>13.550023059999999</v>
      </c>
      <c r="AV502" s="3">
        <f>[1]Results!AY271</f>
        <v>13.62334437</v>
      </c>
      <c r="AW502" s="3">
        <f>[1]Results!AZ271</f>
        <v>13.69821447</v>
      </c>
      <c r="AX502" s="3">
        <f>[1]Results!BA271</f>
        <v>13.77371348</v>
      </c>
      <c r="AY502" s="3">
        <f>[1]Results!BB271</f>
        <v>13.84974976</v>
      </c>
      <c r="AZ502" s="3">
        <f>[1]Results!BC271</f>
        <v>13.92667868</v>
      </c>
      <c r="BA502" s="3">
        <f>[1]Results!BD271</f>
        <v>14.004894849999999</v>
      </c>
      <c r="BB502" s="3">
        <f>[1]Results!BE271</f>
        <v>14.610772430000001</v>
      </c>
      <c r="BC502" s="3">
        <f>[1]Results!BF271</f>
        <v>14.73188167</v>
      </c>
      <c r="BD502" s="3">
        <f>[1]Results!BG271</f>
        <v>14.855241469999999</v>
      </c>
      <c r="BE502" s="3">
        <f>[1]Results!BH271</f>
        <v>14.98092958</v>
      </c>
      <c r="BF502" s="3">
        <f>[1]Results!BI271</f>
        <v>15.109000999999999</v>
      </c>
    </row>
    <row r="503" spans="1:58" x14ac:dyDescent="0.35">
      <c r="B503" s="3" t="str">
        <f>[1]Results!E274</f>
        <v>YG_toe_cote_0</v>
      </c>
      <c r="C503" s="3">
        <f>[1]Results!F274</f>
        <v>13.881761239999999</v>
      </c>
      <c r="D503" s="3">
        <f>[1]Results!G274</f>
        <v>14.05126907</v>
      </c>
      <c r="E503" s="3">
        <f>[1]Results!H274</f>
        <v>14.231860230000001</v>
      </c>
      <c r="F503" s="3">
        <f>[1]Results!I274</f>
        <v>14.42291623</v>
      </c>
      <c r="G503" s="3">
        <f>[1]Results!J274</f>
        <v>14.62509738</v>
      </c>
      <c r="H503" s="3">
        <f>[1]Results!K274</f>
        <v>14.837226060000001</v>
      </c>
      <c r="I503" s="3">
        <f>[1]Results!L274</f>
        <v>15.047189769999999</v>
      </c>
      <c r="J503" s="3">
        <f>[1]Results!M274</f>
        <v>15.26211855</v>
      </c>
      <c r="K503" s="3">
        <f>[1]Results!N274</f>
        <v>15.48194168</v>
      </c>
      <c r="L503" s="3">
        <f>[1]Results!O274</f>
        <v>15.70613805</v>
      </c>
      <c r="M503" s="3">
        <f>[1]Results!P274</f>
        <v>15.95305845</v>
      </c>
      <c r="N503" s="3">
        <f>[1]Results!Q274</f>
        <v>16.188685249999999</v>
      </c>
      <c r="O503" s="3">
        <f>[1]Results!R274</f>
        <v>16.425835230000001</v>
      </c>
      <c r="P503" s="3">
        <f>[1]Results!S274</f>
        <v>16.665503919999999</v>
      </c>
      <c r="Q503" s="3">
        <f>[1]Results!T274</f>
        <v>16.907899180000001</v>
      </c>
      <c r="R503" s="3">
        <f>[1]Results!U274</f>
        <v>17.153125410000001</v>
      </c>
      <c r="S503" s="3">
        <f>[1]Results!V274</f>
        <v>17.40130534</v>
      </c>
      <c r="T503" s="3">
        <f>[1]Results!W274</f>
        <v>17.652593370000002</v>
      </c>
      <c r="U503" s="3">
        <f>[1]Results!X274</f>
        <v>17.907167189999999</v>
      </c>
      <c r="V503" s="3">
        <f>[1]Results!Y274</f>
        <v>18.165216579999999</v>
      </c>
      <c r="W503" s="3">
        <f>[1]Results!Z274</f>
        <v>18.412978949999999</v>
      </c>
      <c r="X503" s="3">
        <f>[1]Results!AA274</f>
        <v>18.675620649999999</v>
      </c>
      <c r="Y503" s="3">
        <f>[1]Results!AB274</f>
        <v>18.943621570000001</v>
      </c>
      <c r="Z503" s="3">
        <f>[1]Results!AC274</f>
        <v>19.216324279999998</v>
      </c>
      <c r="AA503" s="3">
        <f>[1]Results!AD274</f>
        <v>19.49369094</v>
      </c>
      <c r="AB503" s="3">
        <f>[1]Results!AE274</f>
        <v>19.735483030000001</v>
      </c>
      <c r="AC503" s="3">
        <f>[1]Results!AF274</f>
        <v>19.994783720000001</v>
      </c>
      <c r="AD503" s="3">
        <f>[1]Results!AG274</f>
        <v>20.258479449999999</v>
      </c>
      <c r="AE503" s="3">
        <f>[1]Results!AH274</f>
        <v>20.526010190000001</v>
      </c>
      <c r="AF503" s="3">
        <f>[1]Results!AI274</f>
        <v>20.797527479999999</v>
      </c>
      <c r="AG503" s="3">
        <f>[1]Results!AJ274</f>
        <v>21.073262960000001</v>
      </c>
      <c r="AH503" s="3">
        <f>[1]Results!AK274</f>
        <v>21.353407489999999</v>
      </c>
      <c r="AI503" s="3">
        <f>[1]Results!AL274</f>
        <v>21.638090999999999</v>
      </c>
      <c r="AJ503" s="3">
        <f>[1]Results!AM274</f>
        <v>21.92738683</v>
      </c>
      <c r="AK503" s="3">
        <f>[1]Results!AN274</f>
        <v>22.221323300000002</v>
      </c>
      <c r="AL503" s="3">
        <f>[1]Results!AO274</f>
        <v>22.51989678</v>
      </c>
      <c r="AM503" s="3">
        <f>[1]Results!AP274</f>
        <v>22.8133172</v>
      </c>
      <c r="AN503" s="3">
        <f>[1]Results!AQ274</f>
        <v>23.109164379999999</v>
      </c>
      <c r="AO503" s="3">
        <f>[1]Results!AR274</f>
        <v>23.408294080000001</v>
      </c>
      <c r="AP503" s="3">
        <f>[1]Results!AS274</f>
        <v>23.71100796</v>
      </c>
      <c r="AQ503" s="3">
        <f>[1]Results!AT274</f>
        <v>24.01749015</v>
      </c>
      <c r="AR503" s="3">
        <f>[1]Results!AU274</f>
        <v>24.327887279999999</v>
      </c>
      <c r="AS503" s="3">
        <f>[1]Results!AV274</f>
        <v>24.642321939999999</v>
      </c>
      <c r="AT503" s="3">
        <f>[1]Results!AW274</f>
        <v>24.960895430000001</v>
      </c>
      <c r="AU503" s="3">
        <f>[1]Results!AX274</f>
        <v>25.283690660000001</v>
      </c>
      <c r="AV503" s="3">
        <f>[1]Results!AY274</f>
        <v>25.610777809999998</v>
      </c>
      <c r="AW503" s="3">
        <f>[1]Results!AZ274</f>
        <v>25.943110539999999</v>
      </c>
      <c r="AX503" s="3">
        <f>[1]Results!BA274</f>
        <v>26.279813520000001</v>
      </c>
      <c r="AY503" s="3">
        <f>[1]Results!BB274</f>
        <v>26.620766249999999</v>
      </c>
      <c r="AZ503" s="3">
        <f>[1]Results!BC274</f>
        <v>26.966036320000001</v>
      </c>
      <c r="BA503" s="3">
        <f>[1]Results!BD274</f>
        <v>27.315725010000001</v>
      </c>
      <c r="BB503" s="3">
        <f>[1]Results!BE274</f>
        <v>30.017926889999998</v>
      </c>
      <c r="BC503" s="3">
        <f>[1]Results!BF274</f>
        <v>30.51611922</v>
      </c>
      <c r="BD503" s="3">
        <f>[1]Results!BG274</f>
        <v>31.022743940000002</v>
      </c>
      <c r="BE503" s="3">
        <f>[1]Results!BH274</f>
        <v>31.53794589</v>
      </c>
      <c r="BF503" s="3">
        <f>[1]Results!BI274</f>
        <v>32.061870679999998</v>
      </c>
    </row>
    <row r="504" spans="1:58" x14ac:dyDescent="0.35"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</row>
    <row r="505" spans="1:58" x14ac:dyDescent="0.35">
      <c r="A505" s="12" t="s">
        <v>94</v>
      </c>
      <c r="C505" s="2">
        <v>42005</v>
      </c>
      <c r="D505" s="2">
        <v>42370</v>
      </c>
      <c r="E505" s="2">
        <v>42736</v>
      </c>
      <c r="F505" s="2">
        <v>43101</v>
      </c>
      <c r="G505" s="2">
        <v>43466</v>
      </c>
      <c r="H505" s="2">
        <v>43831</v>
      </c>
      <c r="I505" s="2">
        <v>44197</v>
      </c>
      <c r="J505" s="2">
        <v>44562</v>
      </c>
      <c r="K505" s="2">
        <v>44927</v>
      </c>
      <c r="L505" s="2">
        <v>45292</v>
      </c>
      <c r="M505" s="2">
        <v>45658</v>
      </c>
      <c r="N505" s="2">
        <v>46023</v>
      </c>
      <c r="O505" s="2">
        <v>46388</v>
      </c>
      <c r="P505" s="2">
        <v>46753</v>
      </c>
      <c r="Q505" s="2">
        <v>47119</v>
      </c>
      <c r="R505" s="2">
        <v>47484</v>
      </c>
      <c r="S505" s="2">
        <v>47849</v>
      </c>
      <c r="T505" s="2">
        <v>48214</v>
      </c>
      <c r="U505" s="2">
        <v>48580</v>
      </c>
      <c r="V505" s="2">
        <v>48945</v>
      </c>
      <c r="W505" s="2">
        <v>49310</v>
      </c>
      <c r="X505" s="2">
        <v>49675</v>
      </c>
      <c r="Y505" s="2">
        <v>50041</v>
      </c>
      <c r="Z505" s="2">
        <v>50406</v>
      </c>
      <c r="AA505" s="2">
        <v>50771</v>
      </c>
      <c r="AB505" s="2">
        <v>51136</v>
      </c>
      <c r="AC505" s="2">
        <v>51502</v>
      </c>
      <c r="AD505" s="2">
        <v>51867</v>
      </c>
      <c r="AE505" s="2">
        <v>52232</v>
      </c>
      <c r="AF505" s="2">
        <v>52597</v>
      </c>
      <c r="AG505" s="2">
        <v>52963</v>
      </c>
      <c r="AH505" s="2">
        <v>53328</v>
      </c>
      <c r="AI505" s="2">
        <v>53693</v>
      </c>
      <c r="AJ505" s="2">
        <v>54058</v>
      </c>
      <c r="AK505" s="2">
        <v>54424</v>
      </c>
      <c r="AL505" s="2">
        <v>54789</v>
      </c>
      <c r="AM505" s="2">
        <v>54790</v>
      </c>
      <c r="AN505" s="2">
        <v>54791</v>
      </c>
      <c r="AO505" s="2">
        <v>54792</v>
      </c>
      <c r="AP505" s="2">
        <v>54793</v>
      </c>
      <c r="AQ505" s="2">
        <v>54794</v>
      </c>
      <c r="AR505" s="2">
        <v>54795</v>
      </c>
      <c r="AS505" s="2">
        <v>54796</v>
      </c>
      <c r="AT505" s="2">
        <v>54797</v>
      </c>
      <c r="AU505" s="2">
        <v>54798</v>
      </c>
      <c r="AV505" s="2">
        <v>54799</v>
      </c>
      <c r="AW505" s="2">
        <v>54800</v>
      </c>
      <c r="AX505" s="2">
        <v>54801</v>
      </c>
      <c r="AY505" s="2">
        <v>54802</v>
      </c>
      <c r="AZ505" s="2">
        <v>54803</v>
      </c>
      <c r="BA505" s="2">
        <v>54804</v>
      </c>
      <c r="BB505" s="2">
        <v>54805</v>
      </c>
      <c r="BC505" s="2">
        <v>54806</v>
      </c>
      <c r="BD505" s="2">
        <v>54807</v>
      </c>
      <c r="BE505" s="2">
        <v>54808</v>
      </c>
      <c r="BF505" s="2">
        <v>54809</v>
      </c>
    </row>
    <row r="506" spans="1:58" x14ac:dyDescent="0.35">
      <c r="A506" t="s">
        <v>95</v>
      </c>
      <c r="B506" t="s">
        <v>94</v>
      </c>
      <c r="C506" s="4">
        <f>C479/C492-1</f>
        <v>-1.814671577515059E-2</v>
      </c>
      <c r="D506" s="4">
        <f t="shared" ref="D506" si="311">D479/D492-1</f>
        <v>-2.2477594091992459E-2</v>
      </c>
      <c r="E506" s="4">
        <f t="shared" ref="E506:AL506" si="312">E479/E492-1</f>
        <v>-2.6049962133447679E-2</v>
      </c>
      <c r="F506" s="4">
        <f t="shared" si="312"/>
        <v>-2.9246803417057876E-2</v>
      </c>
      <c r="G506" s="4">
        <f t="shared" si="312"/>
        <v>-3.2008742102197063E-2</v>
      </c>
      <c r="H506" s="4">
        <f t="shared" si="312"/>
        <v>-3.444469366272862E-2</v>
      </c>
      <c r="I506" s="4">
        <f t="shared" si="312"/>
        <v>-3.670179088754566E-2</v>
      </c>
      <c r="J506" s="4">
        <f t="shared" si="312"/>
        <v>-3.886287601776206E-2</v>
      </c>
      <c r="K506" s="4">
        <f t="shared" si="312"/>
        <v>-4.1000061598728155E-2</v>
      </c>
      <c r="L506" s="4">
        <f t="shared" si="312"/>
        <v>-4.3188174208320329E-2</v>
      </c>
      <c r="M506" s="4">
        <f t="shared" si="312"/>
        <v>-4.6809520679197303E-2</v>
      </c>
      <c r="N506" s="4">
        <f t="shared" si="312"/>
        <v>-4.8627432434373841E-2</v>
      </c>
      <c r="O506" s="4">
        <f t="shared" si="312"/>
        <v>-5.0315176521539939E-2</v>
      </c>
      <c r="P506" s="4">
        <f t="shared" si="312"/>
        <v>-5.1969407942433654E-2</v>
      </c>
      <c r="Q506" s="4">
        <f t="shared" si="312"/>
        <v>-5.3605793799443413E-2</v>
      </c>
      <c r="R506" s="4">
        <f t="shared" si="312"/>
        <v>-5.5230595709210073E-2</v>
      </c>
      <c r="S506" s="4">
        <f t="shared" si="312"/>
        <v>-5.6911134000454444E-2</v>
      </c>
      <c r="T506" s="4">
        <f t="shared" si="312"/>
        <v>-5.8615989079186082E-2</v>
      </c>
      <c r="U506" s="4">
        <f t="shared" si="312"/>
        <v>-6.0346371013427547E-2</v>
      </c>
      <c r="V506" s="4">
        <f t="shared" si="312"/>
        <v>-6.2104603622409216E-2</v>
      </c>
      <c r="W506" s="4">
        <f t="shared" si="312"/>
        <v>-6.3884585437189778E-2</v>
      </c>
      <c r="X506" s="4">
        <f t="shared" si="312"/>
        <v>-6.5703548845133519E-2</v>
      </c>
      <c r="Y506" s="4">
        <f t="shared" si="312"/>
        <v>-6.7549438078379875E-2</v>
      </c>
      <c r="Z506" s="4">
        <f t="shared" si="312"/>
        <v>-6.9420698022535698E-2</v>
      </c>
      <c r="AA506" s="4">
        <f t="shared" si="312"/>
        <v>-7.1314495667049949E-2</v>
      </c>
      <c r="AB506" s="4">
        <f t="shared" si="312"/>
        <v>-7.3203922925724529E-2</v>
      </c>
      <c r="AC506" s="4">
        <f t="shared" si="312"/>
        <v>-7.5100484345522633E-2</v>
      </c>
      <c r="AD506" s="4">
        <f t="shared" si="312"/>
        <v>-7.699790169434495E-2</v>
      </c>
      <c r="AE506" s="4">
        <f t="shared" si="312"/>
        <v>-7.889423057126943E-2</v>
      </c>
      <c r="AF506" s="4">
        <f t="shared" si="312"/>
        <v>-8.078659074765937E-2</v>
      </c>
      <c r="AG506" s="4">
        <f t="shared" si="312"/>
        <v>-8.2672191907724901E-2</v>
      </c>
      <c r="AH506" s="4">
        <f t="shared" si="312"/>
        <v>-8.4534414507918099E-2</v>
      </c>
      <c r="AI506" s="4">
        <f t="shared" si="312"/>
        <v>-8.6380551039350051E-2</v>
      </c>
      <c r="AJ506" s="4">
        <f t="shared" si="312"/>
        <v>-8.8210405247834855E-2</v>
      </c>
      <c r="AK506" s="4">
        <f t="shared" si="312"/>
        <v>-9.0023748981555074E-2</v>
      </c>
      <c r="AL506" s="4">
        <f t="shared" si="312"/>
        <v>-9.1820203800262679E-2</v>
      </c>
      <c r="AM506" s="4">
        <f t="shared" ref="AM506:BC506" si="313">AM479/AM492-1</f>
        <v>-9.3469694310741036E-2</v>
      </c>
      <c r="AN506" s="4">
        <f t="shared" si="313"/>
        <v>-9.5065885904955127E-2</v>
      </c>
      <c r="AO506" s="4">
        <f t="shared" si="313"/>
        <v>-9.6620830068653518E-2</v>
      </c>
      <c r="AP506" s="4">
        <f t="shared" si="313"/>
        <v>-9.8143547582268731E-2</v>
      </c>
      <c r="AQ506" s="4">
        <f t="shared" si="313"/>
        <v>-9.9641342396086352E-2</v>
      </c>
      <c r="AR506" s="4">
        <f t="shared" si="313"/>
        <v>-0.10110034389233158</v>
      </c>
      <c r="AS506" s="4">
        <f t="shared" si="313"/>
        <v>-0.10253863171573296</v>
      </c>
      <c r="AT506" s="4">
        <f t="shared" si="313"/>
        <v>-0.10396168776742321</v>
      </c>
      <c r="AU506" s="4">
        <f t="shared" si="313"/>
        <v>-0.10537351479685153</v>
      </c>
      <c r="AV506" s="4">
        <f t="shared" si="313"/>
        <v>-0.10677638107308463</v>
      </c>
      <c r="AW506" s="4">
        <f t="shared" si="313"/>
        <v>-0.10810206647315501</v>
      </c>
      <c r="AX506" s="4">
        <f t="shared" si="313"/>
        <v>-0.10937941864436074</v>
      </c>
      <c r="AY506" s="4">
        <f t="shared" si="313"/>
        <v>-0.11060727009093452</v>
      </c>
      <c r="AZ506" s="4">
        <f t="shared" si="313"/>
        <v>-0.11180991053466605</v>
      </c>
      <c r="BA506" s="4">
        <f t="shared" si="313"/>
        <v>-0.113007602179098</v>
      </c>
      <c r="BB506" s="4">
        <f t="shared" si="313"/>
        <v>-1.0649707703774269E-2</v>
      </c>
      <c r="BC506" s="4">
        <f t="shared" si="313"/>
        <v>-1.0812298605476722E-2</v>
      </c>
      <c r="BD506" s="4">
        <f t="shared" ref="BD506:BF506" si="314">BD479/BD492-1</f>
        <v>-1.0966074448534036E-2</v>
      </c>
      <c r="BE506" s="4">
        <f t="shared" si="314"/>
        <v>-1.1112896306570308E-2</v>
      </c>
      <c r="BF506" s="4">
        <f t="shared" si="314"/>
        <v>-1.1253861816402311E-2</v>
      </c>
    </row>
    <row r="507" spans="1:58" x14ac:dyDescent="0.35">
      <c r="B507" t="s">
        <v>76</v>
      </c>
      <c r="C507" s="4">
        <f>(C480-C493)/C$492</f>
        <v>-4.7100222945343259E-4</v>
      </c>
      <c r="D507" s="4">
        <f>(D480-D493)/D$492</f>
        <v>-5.9036757615270937E-4</v>
      </c>
      <c r="E507" s="4">
        <f t="shared" ref="E507:AL507" si="315">(E480-E493)/E$492</f>
        <v>-6.5384130501665273E-4</v>
      </c>
      <c r="F507" s="4">
        <f t="shared" si="315"/>
        <v>-7.0994147662877666E-4</v>
      </c>
      <c r="G507" s="4">
        <f t="shared" si="315"/>
        <v>-7.6623769821058171E-4</v>
      </c>
      <c r="H507" s="4">
        <f t="shared" si="315"/>
        <v>-8.2382457514576101E-4</v>
      </c>
      <c r="I507" s="4">
        <f t="shared" si="315"/>
        <v>-8.8280385052924278E-4</v>
      </c>
      <c r="J507" s="4">
        <f t="shared" si="315"/>
        <v>-9.4199928878758825E-4</v>
      </c>
      <c r="K507" s="4">
        <f t="shared" si="315"/>
        <v>-1.0009727205964425E-3</v>
      </c>
      <c r="L507" s="4">
        <f t="shared" si="315"/>
        <v>-1.0596581923130093E-3</v>
      </c>
      <c r="M507" s="4">
        <f t="shared" si="315"/>
        <v>-1.1496285416259808E-3</v>
      </c>
      <c r="N507" s="4">
        <f t="shared" si="315"/>
        <v>-1.1942699030668999E-3</v>
      </c>
      <c r="O507" s="4">
        <f t="shared" si="315"/>
        <v>-1.2296721927848818E-3</v>
      </c>
      <c r="P507" s="4">
        <f t="shared" si="315"/>
        <v>-1.263130069346989E-3</v>
      </c>
      <c r="Q507" s="4">
        <f t="shared" si="315"/>
        <v>-1.2962509548231837E-3</v>
      </c>
      <c r="R507" s="4">
        <f t="shared" si="315"/>
        <v>-1.3294784169524533E-3</v>
      </c>
      <c r="S507" s="4">
        <f t="shared" si="315"/>
        <v>-1.3647570087824783E-3</v>
      </c>
      <c r="T507" s="4">
        <f t="shared" si="315"/>
        <v>-1.4006420390306534E-3</v>
      </c>
      <c r="U507" s="4">
        <f t="shared" si="315"/>
        <v>-1.4369862621441795E-3</v>
      </c>
      <c r="V507" s="4">
        <f t="shared" si="315"/>
        <v>-1.4738318731200449E-3</v>
      </c>
      <c r="W507" s="4">
        <f t="shared" si="315"/>
        <v>-1.511064768719847E-3</v>
      </c>
      <c r="X507" s="4">
        <f t="shared" si="315"/>
        <v>-1.548933858403419E-3</v>
      </c>
      <c r="Y507" s="4">
        <f t="shared" si="315"/>
        <v>-1.5873692966824739E-3</v>
      </c>
      <c r="Z507" s="4">
        <f t="shared" si="315"/>
        <v>-1.6262746004519759E-3</v>
      </c>
      <c r="AA507" s="4">
        <f t="shared" si="315"/>
        <v>-1.665582634654234E-3</v>
      </c>
      <c r="AB507" s="4">
        <f t="shared" si="315"/>
        <v>-1.704747842068125E-3</v>
      </c>
      <c r="AC507" s="4">
        <f t="shared" si="315"/>
        <v>-1.7434658478015801E-3</v>
      </c>
      <c r="AD507" s="4">
        <f t="shared" si="315"/>
        <v>-1.7823704774286972E-3</v>
      </c>
      <c r="AE507" s="4">
        <f t="shared" si="315"/>
        <v>-1.8213787059154537E-3</v>
      </c>
      <c r="AF507" s="4">
        <f t="shared" si="315"/>
        <v>-1.8603886364874124E-3</v>
      </c>
      <c r="AG507" s="4">
        <f t="shared" si="315"/>
        <v>-1.8993108774907632E-3</v>
      </c>
      <c r="AH507" s="4">
        <f t="shared" si="315"/>
        <v>-1.9376252800681331E-3</v>
      </c>
      <c r="AI507" s="4">
        <f t="shared" si="315"/>
        <v>-1.9756644772367677E-3</v>
      </c>
      <c r="AJ507" s="4">
        <f t="shared" si="315"/>
        <v>-2.0134417966706248E-3</v>
      </c>
      <c r="AK507" s="4">
        <f t="shared" si="315"/>
        <v>-2.050929884316554E-3</v>
      </c>
      <c r="AL507" s="4">
        <f t="shared" si="315"/>
        <v>-2.088101724453876E-3</v>
      </c>
      <c r="AM507" s="4">
        <f t="shared" ref="AM507:BC507" si="316">(AM480-AM493)/AM$492</f>
        <v>-2.1207947905268493E-3</v>
      </c>
      <c r="AN507" s="4">
        <f t="shared" si="316"/>
        <v>-2.1526167092123048E-3</v>
      </c>
      <c r="AO507" s="4">
        <f t="shared" si="316"/>
        <v>-2.1841034937948216E-3</v>
      </c>
      <c r="AP507" s="4">
        <f t="shared" si="316"/>
        <v>-2.2152674730302256E-3</v>
      </c>
      <c r="AQ507" s="4">
        <f t="shared" si="316"/>
        <v>-2.2460668371773436E-3</v>
      </c>
      <c r="AR507" s="4">
        <f t="shared" si="316"/>
        <v>-2.2758242695665636E-3</v>
      </c>
      <c r="AS507" s="4">
        <f t="shared" si="316"/>
        <v>-2.3050957654195798E-3</v>
      </c>
      <c r="AT507" s="4">
        <f t="shared" si="316"/>
        <v>-2.3339656881649611E-3</v>
      </c>
      <c r="AU507" s="4">
        <f t="shared" si="316"/>
        <v>-2.3624457094461181E-3</v>
      </c>
      <c r="AV507" s="4">
        <f t="shared" si="316"/>
        <v>-2.3905372079519056E-3</v>
      </c>
      <c r="AW507" s="4">
        <f t="shared" si="316"/>
        <v>-2.4160320077270345E-3</v>
      </c>
      <c r="AX507" s="4">
        <f t="shared" si="316"/>
        <v>-2.4410452241731299E-3</v>
      </c>
      <c r="AY507" s="4">
        <f t="shared" si="316"/>
        <v>-2.4659175234457505E-3</v>
      </c>
      <c r="AZ507" s="4">
        <f t="shared" si="316"/>
        <v>-2.4906214317626878E-3</v>
      </c>
      <c r="BA507" s="4">
        <f t="shared" si="316"/>
        <v>-2.5150843469169491E-3</v>
      </c>
      <c r="BB507" s="4">
        <f t="shared" si="316"/>
        <v>8.4274739663332848E-5</v>
      </c>
      <c r="BC507" s="4">
        <f t="shared" si="316"/>
        <v>8.7376264270213607E-5</v>
      </c>
      <c r="BD507" s="4">
        <f t="shared" ref="BD507:BF507" si="317">(BD480-BD493)/BD$492</f>
        <v>9.0516704691791735E-5</v>
      </c>
      <c r="BE507" s="4">
        <f t="shared" si="317"/>
        <v>9.3707634260092854E-5</v>
      </c>
      <c r="BF507" s="4">
        <f t="shared" si="317"/>
        <v>9.6956067065055344E-5</v>
      </c>
    </row>
    <row r="508" spans="1:58" x14ac:dyDescent="0.35">
      <c r="B508" t="s">
        <v>74</v>
      </c>
      <c r="C508" s="4">
        <f>(C481-C494)/C$493</f>
        <v>-0.34521150155261715</v>
      </c>
      <c r="D508" s="4">
        <f>(D481-D494)/D$492</f>
        <v>-6.7747427478491466E-3</v>
      </c>
      <c r="E508" s="4">
        <f t="shared" ref="E508:AL508" si="318">(E481-E494)/E$492</f>
        <v>-7.8199795701360125E-3</v>
      </c>
      <c r="F508" s="4">
        <f t="shared" si="318"/>
        <v>-8.8381796800141056E-3</v>
      </c>
      <c r="G508" s="4">
        <f t="shared" si="318"/>
        <v>-9.8113403629587533E-3</v>
      </c>
      <c r="H508" s="4">
        <f t="shared" si="318"/>
        <v>-1.0743073216654393E-2</v>
      </c>
      <c r="I508" s="4">
        <f t="shared" si="318"/>
        <v>-1.1642499376239068E-2</v>
      </c>
      <c r="J508" s="4">
        <f t="shared" si="318"/>
        <v>-1.2507539266678667E-2</v>
      </c>
      <c r="K508" s="4">
        <f t="shared" si="318"/>
        <v>-1.3343056701116898E-2</v>
      </c>
      <c r="L508" s="4">
        <f t="shared" si="318"/>
        <v>-1.4159179187542247E-2</v>
      </c>
      <c r="M508" s="4">
        <f t="shared" si="318"/>
        <v>-1.54060202590894E-2</v>
      </c>
      <c r="N508" s="4">
        <f t="shared" si="318"/>
        <v>-1.5986588134116641E-2</v>
      </c>
      <c r="O508" s="4">
        <f t="shared" si="318"/>
        <v>-1.6480483172414861E-2</v>
      </c>
      <c r="P508" s="4">
        <f t="shared" si="318"/>
        <v>-1.6928662051094862E-2</v>
      </c>
      <c r="Q508" s="4">
        <f t="shared" si="318"/>
        <v>-1.7343160504610045E-2</v>
      </c>
      <c r="R508" s="4">
        <f t="shared" si="318"/>
        <v>-1.7731278002149679E-2</v>
      </c>
      <c r="S508" s="4">
        <f t="shared" si="318"/>
        <v>-1.8117167343619352E-2</v>
      </c>
      <c r="T508" s="4">
        <f t="shared" si="318"/>
        <v>-1.8492531812480666E-2</v>
      </c>
      <c r="U508" s="4">
        <f t="shared" si="318"/>
        <v>-1.8861901440567663E-2</v>
      </c>
      <c r="V508" s="4">
        <f t="shared" si="318"/>
        <v>-1.9229628446408898E-2</v>
      </c>
      <c r="W508" s="4">
        <f t="shared" si="318"/>
        <v>-1.9596539267152199E-2</v>
      </c>
      <c r="X508" s="4">
        <f t="shared" si="318"/>
        <v>-1.9971229106845231E-2</v>
      </c>
      <c r="Y508" s="4">
        <f t="shared" si="318"/>
        <v>-2.0351402601468116E-2</v>
      </c>
      <c r="Z508" s="4">
        <f t="shared" si="318"/>
        <v>-2.0738371229178737E-2</v>
      </c>
      <c r="AA508" s="4">
        <f t="shared" si="318"/>
        <v>-2.1132739674953792E-2</v>
      </c>
      <c r="AB508" s="4">
        <f t="shared" si="318"/>
        <v>-2.1525907477002153E-2</v>
      </c>
      <c r="AC508" s="4">
        <f t="shared" si="318"/>
        <v>-2.1925332609804345E-2</v>
      </c>
      <c r="AD508" s="4">
        <f t="shared" si="318"/>
        <v>-2.2329469998493143E-2</v>
      </c>
      <c r="AE508" s="4">
        <f t="shared" si="318"/>
        <v>-2.2737711163066294E-2</v>
      </c>
      <c r="AF508" s="4">
        <f t="shared" si="318"/>
        <v>-2.3149101914491727E-2</v>
      </c>
      <c r="AG508" s="4">
        <f t="shared" si="318"/>
        <v>-2.3562630633723328E-2</v>
      </c>
      <c r="AH508" s="4">
        <f t="shared" si="318"/>
        <v>-2.3972968766309923E-2</v>
      </c>
      <c r="AI508" s="4">
        <f t="shared" si="318"/>
        <v>-2.438286317592327E-2</v>
      </c>
      <c r="AJ508" s="4">
        <f t="shared" si="318"/>
        <v>-2.4791768634887957E-2</v>
      </c>
      <c r="AK508" s="4">
        <f t="shared" si="318"/>
        <v>-2.5199118103703021E-2</v>
      </c>
      <c r="AL508" s="4">
        <f t="shared" si="318"/>
        <v>-2.5604304283801681E-2</v>
      </c>
      <c r="AM508" s="4">
        <f t="shared" ref="AM508:BC508" si="319">(AM481-AM494)/AM$492</f>
        <v>-2.5965276098942679E-2</v>
      </c>
      <c r="AN508" s="4">
        <f t="shared" si="319"/>
        <v>-2.6317650421738129E-2</v>
      </c>
      <c r="AO508" s="4">
        <f t="shared" si="319"/>
        <v>-2.6662688197837132E-2</v>
      </c>
      <c r="AP508" s="4">
        <f t="shared" si="319"/>
        <v>-2.7000555766652674E-2</v>
      </c>
      <c r="AQ508" s="4">
        <f t="shared" si="319"/>
        <v>-2.7331421918206981E-2</v>
      </c>
      <c r="AR508" s="4">
        <f t="shared" si="319"/>
        <v>-2.7649229607188124E-2</v>
      </c>
      <c r="AS508" s="4">
        <f t="shared" si="319"/>
        <v>-2.7959504603066645E-2</v>
      </c>
      <c r="AT508" s="4">
        <f t="shared" si="319"/>
        <v>-2.8262785474963196E-2</v>
      </c>
      <c r="AU508" s="4">
        <f t="shared" si="319"/>
        <v>-2.8559291353099391E-2</v>
      </c>
      <c r="AV508" s="4">
        <f t="shared" si="319"/>
        <v>-2.8848945962209882E-2</v>
      </c>
      <c r="AW508" s="4">
        <f t="shared" si="319"/>
        <v>-2.9109633044589352E-2</v>
      </c>
      <c r="AX508" s="4">
        <f t="shared" si="319"/>
        <v>-2.9359490187427985E-2</v>
      </c>
      <c r="AY508" s="4">
        <f t="shared" si="319"/>
        <v>-2.9599237063311558E-2</v>
      </c>
      <c r="AZ508" s="4">
        <f t="shared" si="319"/>
        <v>-2.9830786947323849E-2</v>
      </c>
      <c r="BA508" s="4">
        <f t="shared" si="319"/>
        <v>-3.0055402567177113E-2</v>
      </c>
      <c r="BB508" s="4">
        <f t="shared" si="319"/>
        <v>5.3135867017790887E-5</v>
      </c>
      <c r="BC508" s="4">
        <f t="shared" si="319"/>
        <v>8.0410473857054355E-5</v>
      </c>
      <c r="BD508" s="4">
        <f t="shared" ref="BD508:BF508" si="320">(BD481-BD494)/BD$492</f>
        <v>1.0893863460651317E-4</v>
      </c>
      <c r="BE508" s="4">
        <f t="shared" si="320"/>
        <v>1.3868090802687057E-4</v>
      </c>
      <c r="BF508" s="4">
        <f t="shared" si="320"/>
        <v>1.6965245306866465E-4</v>
      </c>
    </row>
    <row r="509" spans="1:58" x14ac:dyDescent="0.35">
      <c r="B509" t="s">
        <v>54</v>
      </c>
      <c r="C509" s="4">
        <f>(C485-C498)/C$492</f>
        <v>-1.2600354148287224E-3</v>
      </c>
      <c r="D509" s="4">
        <f>(D485-D498)/D$492</f>
        <v>-9.8810956032533261E-4</v>
      </c>
      <c r="E509" s="4">
        <f t="shared" ref="E509:AL509" si="321">(E485-E498)/E$492</f>
        <v>-9.3728365434110671E-4</v>
      </c>
      <c r="F509" s="4">
        <f t="shared" si="321"/>
        <v>-9.6377755505051464E-4</v>
      </c>
      <c r="G509" s="4">
        <f t="shared" si="321"/>
        <v>-1.005287285369018E-3</v>
      </c>
      <c r="H509" s="4">
        <f t="shared" si="321"/>
        <v>-1.0845930386414316E-3</v>
      </c>
      <c r="I509" s="4">
        <f t="shared" si="321"/>
        <v>-1.2097810316720537E-3</v>
      </c>
      <c r="J509" s="4">
        <f t="shared" si="321"/>
        <v>-1.3734259749935724E-3</v>
      </c>
      <c r="K509" s="4">
        <f t="shared" si="321"/>
        <v>-1.5694116991501602E-3</v>
      </c>
      <c r="L509" s="4">
        <f t="shared" si="321"/>
        <v>-1.8022686559964192E-3</v>
      </c>
      <c r="M509" s="4">
        <f t="shared" si="321"/>
        <v>-2.1661067605452306E-3</v>
      </c>
      <c r="N509" s="4">
        <f t="shared" si="321"/>
        <v>-2.4083907301675617E-3</v>
      </c>
      <c r="O509" s="4">
        <f t="shared" si="321"/>
        <v>-2.6945045676188919E-3</v>
      </c>
      <c r="P509" s="4">
        <f t="shared" si="321"/>
        <v>-3.0008789237089407E-3</v>
      </c>
      <c r="Q509" s="4">
        <f t="shared" si="321"/>
        <v>-3.3162301148419657E-3</v>
      </c>
      <c r="R509" s="4">
        <f t="shared" si="321"/>
        <v>-3.6324883971980966E-3</v>
      </c>
      <c r="S509" s="4">
        <f t="shared" si="321"/>
        <v>-3.9519322213641675E-3</v>
      </c>
      <c r="T509" s="4">
        <f t="shared" si="321"/>
        <v>-4.2634406891046538E-3</v>
      </c>
      <c r="U509" s="4">
        <f t="shared" si="321"/>
        <v>-4.5645723160958303E-3</v>
      </c>
      <c r="V509" s="4">
        <f t="shared" si="321"/>
        <v>-4.8542244082323497E-3</v>
      </c>
      <c r="W509" s="4">
        <f t="shared" si="321"/>
        <v>-5.1310332403485997E-3</v>
      </c>
      <c r="X509" s="4">
        <f t="shared" si="321"/>
        <v>-5.3980636588709394E-3</v>
      </c>
      <c r="Y509" s="4">
        <f t="shared" si="321"/>
        <v>-5.6533492840229946E-3</v>
      </c>
      <c r="Z509" s="4">
        <f t="shared" si="321"/>
        <v>-5.8976778893142876E-3</v>
      </c>
      <c r="AA509" s="4">
        <f t="shared" si="321"/>
        <v>-6.1316326713725484E-3</v>
      </c>
      <c r="AB509" s="4">
        <f t="shared" si="321"/>
        <v>-6.3534297607035174E-3</v>
      </c>
      <c r="AC509" s="4">
        <f t="shared" si="321"/>
        <v>-6.5668766103037582E-3</v>
      </c>
      <c r="AD509" s="4">
        <f t="shared" si="321"/>
        <v>-6.772022787289474E-3</v>
      </c>
      <c r="AE509" s="4">
        <f t="shared" si="321"/>
        <v>-6.9699346893082863E-3</v>
      </c>
      <c r="AF509" s="4">
        <f t="shared" si="321"/>
        <v>-7.1606954630925382E-3</v>
      </c>
      <c r="AG509" s="4">
        <f t="shared" si="321"/>
        <v>-7.3444865260875441E-3</v>
      </c>
      <c r="AH509" s="4">
        <f t="shared" si="321"/>
        <v>-7.5197835856048775E-3</v>
      </c>
      <c r="AI509" s="4">
        <f t="shared" si="321"/>
        <v>-7.6888228953874522E-3</v>
      </c>
      <c r="AJ509" s="4">
        <f t="shared" si="321"/>
        <v>-7.8523212758675725E-3</v>
      </c>
      <c r="AK509" s="4">
        <f t="shared" si="321"/>
        <v>-8.0109373887095169E-3</v>
      </c>
      <c r="AL509" s="4">
        <f t="shared" si="321"/>
        <v>-8.1651017466361792E-3</v>
      </c>
      <c r="AM509" s="4">
        <f t="shared" ref="AM509:BC509" si="322">(AM485-AM498)/AM$492</f>
        <v>-8.2985282112277119E-3</v>
      </c>
      <c r="AN509" s="4">
        <f t="shared" si="322"/>
        <v>-8.4289911705649773E-3</v>
      </c>
      <c r="AO509" s="4">
        <f t="shared" si="322"/>
        <v>-8.5568387780234449E-3</v>
      </c>
      <c r="AP509" s="4">
        <f t="shared" si="322"/>
        <v>-8.6822648903815535E-3</v>
      </c>
      <c r="AQ509" s="4">
        <f t="shared" si="322"/>
        <v>-8.8052346520175861E-3</v>
      </c>
      <c r="AR509" s="4">
        <f t="shared" si="322"/>
        <v>-8.923040082061932E-3</v>
      </c>
      <c r="AS509" s="4">
        <f t="shared" si="322"/>
        <v>-9.0380700809713898E-3</v>
      </c>
      <c r="AT509" s="4">
        <f t="shared" si="322"/>
        <v>-9.1501585716071473E-3</v>
      </c>
      <c r="AU509" s="4">
        <f t="shared" si="322"/>
        <v>-9.2589766813836183E-3</v>
      </c>
      <c r="AV509" s="4">
        <f t="shared" si="322"/>
        <v>-9.3638473391214842E-3</v>
      </c>
      <c r="AW509" s="4">
        <f t="shared" si="322"/>
        <v>-9.454486236389786E-3</v>
      </c>
      <c r="AX509" s="4">
        <f t="shared" si="322"/>
        <v>-9.5388988862977839E-3</v>
      </c>
      <c r="AY509" s="4">
        <f t="shared" si="322"/>
        <v>-9.6124684227686906E-3</v>
      </c>
      <c r="AZ509" s="4">
        <f t="shared" si="322"/>
        <v>-9.682850918001619E-3</v>
      </c>
      <c r="BA509" s="4">
        <f t="shared" si="322"/>
        <v>-9.7557270608395388E-3</v>
      </c>
      <c r="BB509" s="4">
        <f t="shared" si="322"/>
        <v>-1.0990336866502704E-3</v>
      </c>
      <c r="BC509" s="4">
        <f t="shared" si="322"/>
        <v>-1.1097010264508416E-3</v>
      </c>
      <c r="BD509" s="4">
        <f t="shared" ref="BD509:BF509" si="323">(BD485-BD498)/BD$492</f>
        <v>-1.1197365432501557E-3</v>
      </c>
      <c r="BE509" s="4">
        <f t="shared" si="323"/>
        <v>-1.1294077849028704E-3</v>
      </c>
      <c r="BF509" s="4">
        <f t="shared" si="323"/>
        <v>-1.1388073050187509E-3</v>
      </c>
    </row>
    <row r="510" spans="1:58" x14ac:dyDescent="0.35">
      <c r="B510" t="s">
        <v>11</v>
      </c>
      <c r="C510" s="4">
        <f>(C486-C499)/C$493</f>
        <v>-0.479708086331957</v>
      </c>
      <c r="D510" s="4">
        <f>(D486-D499)/D$492</f>
        <v>-9.8768743494842895E-3</v>
      </c>
      <c r="E510" s="4">
        <f t="shared" ref="E510:AL510" si="324">(E486-E499)/E$492</f>
        <v>-1.1521720253074009E-2</v>
      </c>
      <c r="F510" s="4">
        <f t="shared" si="324"/>
        <v>-1.2881733574632894E-2</v>
      </c>
      <c r="G510" s="4">
        <f t="shared" si="324"/>
        <v>-1.3937469686035443E-2</v>
      </c>
      <c r="H510" s="4">
        <f t="shared" si="324"/>
        <v>-1.4784075155863611E-2</v>
      </c>
      <c r="I510" s="4">
        <f t="shared" si="324"/>
        <v>-1.5514027653223694E-2</v>
      </c>
      <c r="J510" s="4">
        <f t="shared" si="324"/>
        <v>-1.618753713855773E-2</v>
      </c>
      <c r="K510" s="4">
        <f t="shared" si="324"/>
        <v>-1.6850729345069957E-2</v>
      </c>
      <c r="L510" s="4">
        <f t="shared" si="324"/>
        <v>-1.7545093431188472E-2</v>
      </c>
      <c r="M510" s="4">
        <f t="shared" si="324"/>
        <v>-1.8750503400244797E-2</v>
      </c>
      <c r="N510" s="4">
        <f t="shared" si="324"/>
        <v>-1.9342195479603256E-2</v>
      </c>
      <c r="O510" s="4">
        <f t="shared" si="324"/>
        <v>-1.9871067655144799E-2</v>
      </c>
      <c r="P510" s="4">
        <f t="shared" si="324"/>
        <v>-2.0389679121618126E-2</v>
      </c>
      <c r="Q510" s="4">
        <f t="shared" si="324"/>
        <v>-2.0912456591262434E-2</v>
      </c>
      <c r="R510" s="4">
        <f t="shared" si="324"/>
        <v>-2.1447631664363552E-2</v>
      </c>
      <c r="S510" s="4">
        <f t="shared" si="324"/>
        <v>-2.2019732809555687E-2</v>
      </c>
      <c r="T510" s="4">
        <f t="shared" si="324"/>
        <v>-2.2626879074369086E-2</v>
      </c>
      <c r="U510" s="4">
        <f t="shared" si="324"/>
        <v>-2.3269779748447017E-2</v>
      </c>
      <c r="V510" s="4">
        <f t="shared" si="324"/>
        <v>-2.3947867351709434E-2</v>
      </c>
      <c r="W510" s="4">
        <f t="shared" si="324"/>
        <v>-2.4658124425685116E-2</v>
      </c>
      <c r="X510" s="4">
        <f t="shared" si="324"/>
        <v>-2.5401421816382788E-2</v>
      </c>
      <c r="Y510" s="4">
        <f t="shared" si="324"/>
        <v>-2.6172653784475381E-2</v>
      </c>
      <c r="Z510" s="4">
        <f t="shared" si="324"/>
        <v>-2.6968772600118211E-2</v>
      </c>
      <c r="AA510" s="4">
        <f t="shared" si="324"/>
        <v>-2.7786448592171602E-2</v>
      </c>
      <c r="AB510" s="4">
        <f t="shared" si="324"/>
        <v>-2.8617464893560578E-2</v>
      </c>
      <c r="AC510" s="4">
        <f t="shared" si="324"/>
        <v>-2.9458598665573803E-2</v>
      </c>
      <c r="AD510" s="4">
        <f t="shared" si="324"/>
        <v>-3.0304604471149084E-2</v>
      </c>
      <c r="AE510" s="4">
        <f t="shared" si="324"/>
        <v>-3.1153138922366486E-2</v>
      </c>
      <c r="AF510" s="4">
        <f t="shared" si="324"/>
        <v>-3.2002619120463524E-2</v>
      </c>
      <c r="AG510" s="4">
        <f t="shared" si="324"/>
        <v>-3.2851611294489172E-2</v>
      </c>
      <c r="AH510" s="4">
        <f t="shared" si="324"/>
        <v>-3.3694773003031517E-2</v>
      </c>
      <c r="AI510" s="4">
        <f t="shared" si="324"/>
        <v>-3.4532294305107014E-2</v>
      </c>
      <c r="AJ510" s="4">
        <f t="shared" si="324"/>
        <v>-3.5363652091911224E-2</v>
      </c>
      <c r="AK510" s="4">
        <f t="shared" si="324"/>
        <v>-3.6188554217390347E-2</v>
      </c>
      <c r="AL510" s="4">
        <f t="shared" si="324"/>
        <v>-3.7006853148495993E-2</v>
      </c>
      <c r="AM510" s="4">
        <f t="shared" ref="AM510:BC510" si="325">(AM486-AM499)/AM$492</f>
        <v>-3.7782787118393495E-2</v>
      </c>
      <c r="AN510" s="4">
        <f t="shared" si="325"/>
        <v>-3.8530927925138687E-2</v>
      </c>
      <c r="AO510" s="4">
        <f t="shared" si="325"/>
        <v>-3.9256313685858052E-2</v>
      </c>
      <c r="AP510" s="4">
        <f t="shared" si="325"/>
        <v>-3.9964714317034335E-2</v>
      </c>
      <c r="AQ510" s="4">
        <f t="shared" si="325"/>
        <v>-4.0661421340977284E-2</v>
      </c>
      <c r="AR510" s="4">
        <f t="shared" si="325"/>
        <v>-4.1345397584768386E-2</v>
      </c>
      <c r="AS510" s="4">
        <f t="shared" si="325"/>
        <v>-4.2021997608857477E-2</v>
      </c>
      <c r="AT510" s="4">
        <f t="shared" si="325"/>
        <v>-4.2694557070777829E-2</v>
      </c>
      <c r="AU510" s="4">
        <f t="shared" si="325"/>
        <v>-4.3365722438548436E-2</v>
      </c>
      <c r="AV510" s="4">
        <f t="shared" si="325"/>
        <v>-4.4036923248239393E-2</v>
      </c>
      <c r="AW510" s="4">
        <f t="shared" si="325"/>
        <v>-4.4688248159275322E-2</v>
      </c>
      <c r="AX510" s="4">
        <f t="shared" si="325"/>
        <v>-4.5326035194876282E-2</v>
      </c>
      <c r="AY510" s="4">
        <f t="shared" si="325"/>
        <v>-4.5951467288547224E-2</v>
      </c>
      <c r="AZ510" s="4">
        <f t="shared" si="325"/>
        <v>-4.6574788564188847E-2</v>
      </c>
      <c r="BA510" s="4">
        <f t="shared" si="325"/>
        <v>-4.7204664593532189E-2</v>
      </c>
      <c r="BB510" s="4">
        <f t="shared" si="325"/>
        <v>-6.6031499893113273E-3</v>
      </c>
      <c r="BC510" s="4">
        <f t="shared" si="325"/>
        <v>-6.7440012499967112E-3</v>
      </c>
      <c r="BD510" s="4">
        <f t="shared" ref="BD510:BF510" si="326">(BD486-BD499)/BD$492</f>
        <v>-6.8804170875079512E-3</v>
      </c>
      <c r="BE510" s="4">
        <f t="shared" si="326"/>
        <v>-7.0133542177743648E-3</v>
      </c>
      <c r="BF510" s="4">
        <f t="shared" si="326"/>
        <v>-7.1435608619209731E-3</v>
      </c>
    </row>
    <row r="511" spans="1:58" x14ac:dyDescent="0.35">
      <c r="B511" t="s">
        <v>75</v>
      </c>
      <c r="C511" s="4">
        <f>(C487-C500)/C$494</f>
        <v>-9.0575803365296973E-3</v>
      </c>
      <c r="D511" s="4">
        <f>(D487-D500)/D$492</f>
        <v>-4.2474996647719754E-3</v>
      </c>
      <c r="E511" s="4">
        <f t="shared" ref="E511:AL511" si="327">(E487-E500)/E$492</f>
        <v>-5.1171370529527593E-3</v>
      </c>
      <c r="F511" s="4">
        <f t="shared" si="327"/>
        <v>-5.853171262124225E-3</v>
      </c>
      <c r="G511" s="4">
        <f t="shared" si="327"/>
        <v>-6.4884069263054407E-3</v>
      </c>
      <c r="H511" s="4">
        <f t="shared" si="327"/>
        <v>-7.0091276635142951E-3</v>
      </c>
      <c r="I511" s="4">
        <f t="shared" si="327"/>
        <v>-7.4526790206413994E-3</v>
      </c>
      <c r="J511" s="4">
        <f t="shared" si="327"/>
        <v>-7.8523744057314611E-3</v>
      </c>
      <c r="K511" s="4">
        <f t="shared" si="327"/>
        <v>-8.2358911265266975E-3</v>
      </c>
      <c r="L511" s="4">
        <f t="shared" si="327"/>
        <v>-8.6219747536874121E-3</v>
      </c>
      <c r="M511" s="4">
        <f t="shared" si="327"/>
        <v>-9.3372616563582866E-3</v>
      </c>
      <c r="N511" s="4">
        <f t="shared" si="327"/>
        <v>-9.6959875988892642E-3</v>
      </c>
      <c r="O511" s="4">
        <f t="shared" si="327"/>
        <v>-1.0039448981595925E-2</v>
      </c>
      <c r="P511" s="4">
        <f t="shared" si="327"/>
        <v>-1.0387057782603192E-2</v>
      </c>
      <c r="Q511" s="4">
        <f t="shared" si="327"/>
        <v>-1.0737695933541375E-2</v>
      </c>
      <c r="R511" s="4">
        <f t="shared" si="327"/>
        <v>-1.108971871701808E-2</v>
      </c>
      <c r="S511" s="4">
        <f t="shared" si="327"/>
        <v>-1.1457544352577165E-2</v>
      </c>
      <c r="T511" s="4">
        <f t="shared" si="327"/>
        <v>-1.1832495771478397E-2</v>
      </c>
      <c r="U511" s="4">
        <f t="shared" si="327"/>
        <v>-1.2213131212392122E-2</v>
      </c>
      <c r="V511" s="4">
        <f t="shared" si="327"/>
        <v>-1.2599051776900613E-2</v>
      </c>
      <c r="W511" s="4">
        <f t="shared" si="327"/>
        <v>-1.2987823873154569E-2</v>
      </c>
      <c r="X511" s="4">
        <f t="shared" si="327"/>
        <v>-1.338390039917404E-2</v>
      </c>
      <c r="Y511" s="4">
        <f t="shared" si="327"/>
        <v>-1.3784663241323084E-2</v>
      </c>
      <c r="Z511" s="4">
        <f t="shared" si="327"/>
        <v>-1.4189602098806021E-2</v>
      </c>
      <c r="AA511" s="4">
        <f t="shared" si="327"/>
        <v>-1.4598091845490048E-2</v>
      </c>
      <c r="AB511" s="4">
        <f t="shared" si="327"/>
        <v>-1.5002373182820161E-2</v>
      </c>
      <c r="AC511" s="4">
        <f t="shared" si="327"/>
        <v>-1.5406210969932187E-2</v>
      </c>
      <c r="AD511" s="4">
        <f t="shared" si="327"/>
        <v>-1.5809433903478727E-2</v>
      </c>
      <c r="AE511" s="4">
        <f t="shared" si="327"/>
        <v>-1.6212067233055145E-2</v>
      </c>
      <c r="AF511" s="4">
        <f t="shared" si="327"/>
        <v>-1.661378544183963E-2</v>
      </c>
      <c r="AG511" s="4">
        <f t="shared" si="327"/>
        <v>-1.7014152431267096E-2</v>
      </c>
      <c r="AH511" s="4">
        <f t="shared" si="327"/>
        <v>-1.7409263907479478E-2</v>
      </c>
      <c r="AI511" s="4">
        <f t="shared" si="327"/>
        <v>-1.7800906224818797E-2</v>
      </c>
      <c r="AJ511" s="4">
        <f t="shared" si="327"/>
        <v>-1.8189221216104116E-2</v>
      </c>
      <c r="AK511" s="4">
        <f t="shared" si="327"/>
        <v>-1.8574209631867161E-2</v>
      </c>
      <c r="AL511" s="4">
        <f t="shared" si="327"/>
        <v>-1.895584277352666E-2</v>
      </c>
      <c r="AM511" s="4">
        <f t="shared" ref="AM511:BC511" si="328">(AM487-AM500)/AM$492</f>
        <v>-1.9302307805110438E-2</v>
      </c>
      <c r="AN511" s="4">
        <f t="shared" si="328"/>
        <v>-1.9635699762022778E-2</v>
      </c>
      <c r="AO511" s="4">
        <f t="shared" si="328"/>
        <v>-1.9960885899323443E-2</v>
      </c>
      <c r="AP511" s="4">
        <f t="shared" si="328"/>
        <v>-2.0280745436136425E-2</v>
      </c>
      <c r="AQ511" s="4">
        <f t="shared" si="328"/>
        <v>-2.0597197444530351E-2</v>
      </c>
      <c r="AR511" s="4">
        <f t="shared" si="328"/>
        <v>-2.0906852210168473E-2</v>
      </c>
      <c r="AS511" s="4">
        <f t="shared" si="328"/>
        <v>-2.1213963962794749E-2</v>
      </c>
      <c r="AT511" s="4">
        <f t="shared" si="328"/>
        <v>-2.15202209268581E-2</v>
      </c>
      <c r="AU511" s="4">
        <f t="shared" si="328"/>
        <v>-2.1827078714136233E-2</v>
      </c>
      <c r="AV511" s="4">
        <f t="shared" si="328"/>
        <v>-2.213612761612398E-2</v>
      </c>
      <c r="AW511" s="4">
        <f t="shared" si="328"/>
        <v>-2.2433666833916521E-2</v>
      </c>
      <c r="AX511" s="4">
        <f t="shared" si="328"/>
        <v>-2.2713948949653451E-2</v>
      </c>
      <c r="AY511" s="4">
        <f t="shared" si="328"/>
        <v>-2.2978179684595288E-2</v>
      </c>
      <c r="AZ511" s="4">
        <f t="shared" si="328"/>
        <v>-2.3230862644537949E-2</v>
      </c>
      <c r="BA511" s="4">
        <f t="shared" si="328"/>
        <v>-2.3476723390347957E-2</v>
      </c>
      <c r="BB511" s="4">
        <f t="shared" si="328"/>
        <v>-3.0849343800535465E-3</v>
      </c>
      <c r="BC511" s="4">
        <f t="shared" si="328"/>
        <v>-3.1263830034629772E-3</v>
      </c>
      <c r="BD511" s="4">
        <f t="shared" ref="BD511:BF511" si="329">(BD487-BD500)/BD$492</f>
        <v>-3.1653761681631693E-3</v>
      </c>
      <c r="BE511" s="4">
        <f t="shared" si="329"/>
        <v>-3.2025229336915505E-3</v>
      </c>
      <c r="BF511" s="4">
        <f t="shared" si="329"/>
        <v>-3.2381021300303143E-3</v>
      </c>
    </row>
    <row r="513" spans="2:58" x14ac:dyDescent="0.35">
      <c r="B513" s="6" t="str">
        <f>[1]Macro!A100</f>
        <v>y_toe_2</v>
      </c>
      <c r="C513" s="6">
        <f>[1]Macro!B100</f>
        <v>137.10500709999999</v>
      </c>
      <c r="D513" s="6">
        <f>[1]Macro!C100</f>
        <v>137.56953899999999</v>
      </c>
      <c r="E513" s="6">
        <f>[1]Macro!D100</f>
        <v>138.068331</v>
      </c>
      <c r="F513" s="6">
        <f>[1]Macro!E100</f>
        <v>138.68611709999999</v>
      </c>
      <c r="G513" s="6">
        <f>[1]Macro!F100</f>
        <v>139.4727662</v>
      </c>
      <c r="H513" s="6">
        <f>[1]Macro!G100</f>
        <v>140.425704</v>
      </c>
      <c r="I513" s="6">
        <f>[1]Macro!H100</f>
        <v>141.43799250000001</v>
      </c>
      <c r="J513" s="6">
        <f>[1]Macro!I100</f>
        <v>142.53120860000001</v>
      </c>
      <c r="K513" s="6">
        <f>[1]Macro!J100</f>
        <v>143.68355690000001</v>
      </c>
      <c r="L513" s="6">
        <f>[1]Macro!K100</f>
        <v>144.87053270000001</v>
      </c>
      <c r="M513" s="6">
        <f>[1]Macro!L100</f>
        <v>146.00462949999999</v>
      </c>
      <c r="N513" s="6">
        <f>[1]Macro!M100</f>
        <v>147.3421701</v>
      </c>
      <c r="O513" s="6">
        <f>[1]Macro!N100</f>
        <v>148.7040484</v>
      </c>
      <c r="P513" s="6">
        <f>[1]Macro!O100</f>
        <v>150.08004579999999</v>
      </c>
      <c r="Q513" s="6">
        <f>[1]Macro!P100</f>
        <v>151.468143</v>
      </c>
      <c r="R513" s="6">
        <f>[1]Macro!Q100</f>
        <v>152.86725530000001</v>
      </c>
      <c r="S513" s="6">
        <f>[1]Macro!R100</f>
        <v>154.26690769999999</v>
      </c>
      <c r="T513" s="6">
        <f>[1]Macro!S100</f>
        <v>155.6724408</v>
      </c>
      <c r="U513" s="6">
        <f>[1]Macro!T100</f>
        <v>157.08455190000001</v>
      </c>
      <c r="V513" s="6">
        <f>[1]Macro!U100</f>
        <v>158.5039917</v>
      </c>
      <c r="W513" s="6">
        <f>[1]Macro!V100</f>
        <v>159.83750180000001</v>
      </c>
      <c r="X513" s="6">
        <f>[1]Macro!W100</f>
        <v>161.2453821</v>
      </c>
      <c r="Y513" s="6">
        <f>[1]Macro!X100</f>
        <v>162.67667839999999</v>
      </c>
      <c r="Z513" s="6">
        <f>[1]Macro!Y100</f>
        <v>164.1266024</v>
      </c>
      <c r="AA513" s="6">
        <f>[1]Macro!Z100</f>
        <v>165.5948003</v>
      </c>
      <c r="AB513" s="6">
        <f>[1]Macro!AA100</f>
        <v>166.81500500000001</v>
      </c>
      <c r="AC513" s="6">
        <f>[1]Macro!AB100</f>
        <v>168.11699100000001</v>
      </c>
      <c r="AD513" s="6">
        <f>[1]Macro!AC100</f>
        <v>169.43563739999999</v>
      </c>
      <c r="AE513" s="6">
        <f>[1]Macro!AD100</f>
        <v>170.76963259999999</v>
      </c>
      <c r="AF513" s="6">
        <f>[1]Macro!AE100</f>
        <v>172.12155390000001</v>
      </c>
      <c r="AG513" s="6">
        <f>[1]Macro!AF100</f>
        <v>173.49436660000001</v>
      </c>
      <c r="AH513" s="6">
        <f>[1]Macro!AG100</f>
        <v>174.8931809</v>
      </c>
      <c r="AI513" s="6">
        <f>[1]Macro!AH100</f>
        <v>176.31815169999999</v>
      </c>
      <c r="AJ513" s="6">
        <f>[1]Macro!AI100</f>
        <v>177.77020820000001</v>
      </c>
      <c r="AK513" s="6">
        <f>[1]Macro!AJ100</f>
        <v>179.2498147</v>
      </c>
      <c r="AL513" s="6">
        <f>[1]Macro!AK100</f>
        <v>180.75710839999999</v>
      </c>
      <c r="AM513" s="6">
        <f>[1]Macro!AL100</f>
        <v>182.25405570000001</v>
      </c>
      <c r="AN513" s="6">
        <f>[1]Macro!AM100</f>
        <v>183.76646589999999</v>
      </c>
      <c r="AO513" s="6">
        <f>[1]Macro!AN100</f>
        <v>185.29937799999999</v>
      </c>
      <c r="AP513" s="6">
        <f>[1]Macro!AO100</f>
        <v>186.85440109999999</v>
      </c>
      <c r="AQ513" s="6">
        <f>[1]Macro!AP100</f>
        <v>188.43224309999999</v>
      </c>
      <c r="AR513" s="6">
        <f>[1]Macro!AQ100</f>
        <v>190.03738619999999</v>
      </c>
      <c r="AS513" s="6">
        <f>[1]Macro!AR100</f>
        <v>191.66748519999999</v>
      </c>
      <c r="AT513" s="6">
        <f>[1]Macro!AS100</f>
        <v>193.32235890000001</v>
      </c>
      <c r="AU513" s="6">
        <f>[1]Macro!AT100</f>
        <v>195.0018038</v>
      </c>
      <c r="AV513" s="6">
        <f>[1]Macro!AU100</f>
        <v>196.7055636</v>
      </c>
      <c r="AW513" s="6">
        <f>[1]Macro!AV100</f>
        <v>198.45309689999999</v>
      </c>
      <c r="AX513" s="6">
        <f>[1]Macro!AW100</f>
        <v>200.23106630000001</v>
      </c>
      <c r="AY513" s="6">
        <f>[1]Macro!AX100</f>
        <v>202.0372692</v>
      </c>
      <c r="AZ513" s="6">
        <f>[1]Macro!AY100</f>
        <v>203.87020939999999</v>
      </c>
      <c r="BA513" s="6">
        <f>[1]Macro!AZ100</f>
        <v>205.72880850000001</v>
      </c>
      <c r="BB513" s="6">
        <f>[1]Macro!BA100</f>
        <v>246.2616218</v>
      </c>
      <c r="BC513" s="6">
        <f>[1]Macro!BB100</f>
        <v>249.59194579999999</v>
      </c>
      <c r="BD513" s="6">
        <f>[1]Macro!BC100</f>
        <v>252.97991350000001</v>
      </c>
      <c r="BE513" s="6">
        <f>[1]Macro!BD100</f>
        <v>256.42639680000002</v>
      </c>
      <c r="BF513" s="6">
        <f>[1]Macro!BE100</f>
        <v>259.93237049999999</v>
      </c>
    </row>
    <row r="514" spans="2:58" x14ac:dyDescent="0.35">
      <c r="B514" s="6" t="str">
        <f>[1]Macro!A101</f>
        <v>m_toe_2</v>
      </c>
      <c r="C514" s="6">
        <f>[1]Macro!B101</f>
        <v>148.99747339999999</v>
      </c>
      <c r="D514" s="6">
        <f>[1]Macro!C101</f>
        <v>149.55824190000001</v>
      </c>
      <c r="E514" s="6">
        <f>[1]Macro!D101</f>
        <v>150.2202892</v>
      </c>
      <c r="F514" s="6">
        <f>[1]Macro!E101</f>
        <v>151.01235869999999</v>
      </c>
      <c r="G514" s="6">
        <f>[1]Macro!F101</f>
        <v>151.9880278</v>
      </c>
      <c r="H514" s="6">
        <f>[1]Macro!G101</f>
        <v>153.15394430000001</v>
      </c>
      <c r="I514" s="6">
        <f>[1]Macro!H101</f>
        <v>154.40307659999999</v>
      </c>
      <c r="J514" s="6">
        <f>[1]Macro!I101</f>
        <v>155.760077</v>
      </c>
      <c r="K514" s="6">
        <f>[1]Macro!J101</f>
        <v>157.2069027</v>
      </c>
      <c r="L514" s="6">
        <f>[1]Macro!K101</f>
        <v>158.71826100000001</v>
      </c>
      <c r="M514" s="6">
        <f>[1]Macro!L101</f>
        <v>160.1897079</v>
      </c>
      <c r="N514" s="6">
        <f>[1]Macro!M101</f>
        <v>161.91385650000001</v>
      </c>
      <c r="O514" s="6">
        <f>[1]Macro!N101</f>
        <v>163.70381689999999</v>
      </c>
      <c r="P514" s="6">
        <f>[1]Macro!O101</f>
        <v>165.5329567</v>
      </c>
      <c r="Q514" s="6">
        <f>[1]Macro!P101</f>
        <v>167.39434600000001</v>
      </c>
      <c r="R514" s="6">
        <f>[1]Macro!Q101</f>
        <v>169.28430040000001</v>
      </c>
      <c r="S514" s="6">
        <f>[1]Macro!R101</f>
        <v>171.19149200000001</v>
      </c>
      <c r="T514" s="6">
        <f>[1]Macro!S101</f>
        <v>173.11887519999999</v>
      </c>
      <c r="U514" s="6">
        <f>[1]Macro!T101</f>
        <v>175.06521380000001</v>
      </c>
      <c r="V514" s="6">
        <f>[1]Macro!U101</f>
        <v>177.02918399999999</v>
      </c>
      <c r="W514" s="6">
        <f>[1]Macro!V101</f>
        <v>178.90662570000001</v>
      </c>
      <c r="X514" s="6">
        <f>[1]Macro!W101</f>
        <v>180.86552180000001</v>
      </c>
      <c r="Y514" s="6">
        <f>[1]Macro!X101</f>
        <v>182.8567803</v>
      </c>
      <c r="Z514" s="6">
        <f>[1]Macro!Y101</f>
        <v>184.87228339999999</v>
      </c>
      <c r="AA514" s="6">
        <f>[1]Macro!Z101</f>
        <v>186.91075369999999</v>
      </c>
      <c r="AB514" s="6">
        <f>[1]Macro!AA101</f>
        <v>188.6775202</v>
      </c>
      <c r="AC514" s="6">
        <f>[1]Macro!AB101</f>
        <v>190.51748190000001</v>
      </c>
      <c r="AD514" s="6">
        <f>[1]Macro!AC101</f>
        <v>192.3739339</v>
      </c>
      <c r="AE514" s="6">
        <f>[1]Macro!AD101</f>
        <v>194.24283969999999</v>
      </c>
      <c r="AF514" s="6">
        <f>[1]Macro!AE101</f>
        <v>196.1273822</v>
      </c>
      <c r="AG514" s="6">
        <f>[1]Macro!AF101</f>
        <v>198.03165290000001</v>
      </c>
      <c r="AH514" s="6">
        <f>[1]Macro!AG101</f>
        <v>199.9615747</v>
      </c>
      <c r="AI514" s="6">
        <f>[1]Macro!AH101</f>
        <v>201.91835570000001</v>
      </c>
      <c r="AJ514" s="6">
        <f>[1]Macro!AI101</f>
        <v>203.90376979999999</v>
      </c>
      <c r="AK514" s="6">
        <f>[1]Macro!AJ101</f>
        <v>205.91912669999999</v>
      </c>
      <c r="AL514" s="6">
        <f>[1]Macro!AK101</f>
        <v>207.96537280000001</v>
      </c>
      <c r="AM514" s="6">
        <f>[1]Macro!AL101</f>
        <v>209.99531329999999</v>
      </c>
      <c r="AN514" s="6">
        <f>[1]Macro!AM101</f>
        <v>212.0366459</v>
      </c>
      <c r="AO514" s="6">
        <f>[1]Macro!AN101</f>
        <v>214.09735259999999</v>
      </c>
      <c r="AP514" s="6">
        <f>[1]Macro!AO101</f>
        <v>216.1812247</v>
      </c>
      <c r="AQ514" s="6">
        <f>[1]Macro!AP101</f>
        <v>218.29073270000001</v>
      </c>
      <c r="AR514" s="6">
        <f>[1]Macro!AQ101</f>
        <v>220.43135670000001</v>
      </c>
      <c r="AS514" s="6">
        <f>[1]Macro!AR101</f>
        <v>222.60187049999999</v>
      </c>
      <c r="AT514" s="6">
        <f>[1]Macro!AS101</f>
        <v>224.8028928</v>
      </c>
      <c r="AU514" s="6">
        <f>[1]Macro!AT101</f>
        <v>227.0350163</v>
      </c>
      <c r="AV514" s="6">
        <f>[1]Macro!AU101</f>
        <v>229.29863800000001</v>
      </c>
      <c r="AW514" s="6">
        <f>[1]Macro!AV101</f>
        <v>231.61317120000001</v>
      </c>
      <c r="AX514" s="6">
        <f>[1]Macro!AW101</f>
        <v>233.9657512</v>
      </c>
      <c r="AY514" s="6">
        <f>[1]Macro!AX101</f>
        <v>236.35427079999999</v>
      </c>
      <c r="AZ514" s="6">
        <f>[1]Macro!AY101</f>
        <v>238.77809569999999</v>
      </c>
      <c r="BA514" s="6">
        <f>[1]Macro!AZ101</f>
        <v>241.23691500000001</v>
      </c>
      <c r="BB514" s="6">
        <f>[1]Macro!BA101</f>
        <v>288.74522830000001</v>
      </c>
      <c r="BC514" s="6">
        <f>[1]Macro!BB101</f>
        <v>292.93593909999998</v>
      </c>
      <c r="BD514" s="6">
        <f>[1]Macro!BC101</f>
        <v>297.19389749999999</v>
      </c>
      <c r="BE514" s="6">
        <f>[1]Macro!BD101</f>
        <v>301.52066719999999</v>
      </c>
      <c r="BF514" s="6">
        <f>[1]Macro!BE101</f>
        <v>305.91793699999999</v>
      </c>
    </row>
    <row r="515" spans="2:58" x14ac:dyDescent="0.35">
      <c r="B515" s="6" t="str">
        <f>[1]Macro!A102</f>
        <v>ci_toe_2</v>
      </c>
      <c r="C515" s="6">
        <f>[1]Macro!B102</f>
        <v>189.96141979999999</v>
      </c>
      <c r="D515" s="6">
        <f>[1]Macro!C102</f>
        <v>190.63991859999999</v>
      </c>
      <c r="E515" s="6">
        <f>[1]Macro!D102</f>
        <v>191.71082480000001</v>
      </c>
      <c r="F515" s="6">
        <f>[1]Macro!E102</f>
        <v>193.0595194</v>
      </c>
      <c r="G515" s="6">
        <f>[1]Macro!F102</f>
        <v>194.70029579999999</v>
      </c>
      <c r="H515" s="6">
        <f>[1]Macro!G102</f>
        <v>196.6178721</v>
      </c>
      <c r="I515" s="6">
        <f>[1]Macro!H102</f>
        <v>198.6592431</v>
      </c>
      <c r="J515" s="6">
        <f>[1]Macro!I102</f>
        <v>200.84353379999999</v>
      </c>
      <c r="K515" s="6">
        <f>[1]Macro!J102</f>
        <v>203.14600569999999</v>
      </c>
      <c r="L515" s="6">
        <f>[1]Macro!K102</f>
        <v>205.53658279999999</v>
      </c>
      <c r="M515" s="6">
        <f>[1]Macro!L102</f>
        <v>207.88981240000001</v>
      </c>
      <c r="N515" s="6">
        <f>[1]Macro!M102</f>
        <v>210.56264580000001</v>
      </c>
      <c r="O515" s="6">
        <f>[1]Macro!N102</f>
        <v>213.33372209999999</v>
      </c>
      <c r="P515" s="6">
        <f>[1]Macro!O102</f>
        <v>216.15733090000001</v>
      </c>
      <c r="Q515" s="6">
        <f>[1]Macro!P102</f>
        <v>219.0190829</v>
      </c>
      <c r="R515" s="6">
        <f>[1]Macro!Q102</f>
        <v>221.910652</v>
      </c>
      <c r="S515" s="6">
        <f>[1]Macro!R102</f>
        <v>224.81850900000001</v>
      </c>
      <c r="T515" s="6">
        <f>[1]Macro!S102</f>
        <v>227.74159879999999</v>
      </c>
      <c r="U515" s="6">
        <f>[1]Macro!T102</f>
        <v>230.67833450000001</v>
      </c>
      <c r="V515" s="6">
        <f>[1]Macro!U102</f>
        <v>233.62804170000001</v>
      </c>
      <c r="W515" s="6">
        <f>[1]Macro!V102</f>
        <v>236.45264950000001</v>
      </c>
      <c r="X515" s="6">
        <f>[1]Macro!W102</f>
        <v>239.37225620000001</v>
      </c>
      <c r="Y515" s="6">
        <f>[1]Macro!X102</f>
        <v>242.3324188</v>
      </c>
      <c r="Z515" s="6">
        <f>[1]Macro!Y102</f>
        <v>245.3229427</v>
      </c>
      <c r="AA515" s="6">
        <f>[1]Macro!Z102</f>
        <v>248.3435403</v>
      </c>
      <c r="AB515" s="6">
        <f>[1]Macro!AA102</f>
        <v>250.9996745</v>
      </c>
      <c r="AC515" s="6">
        <f>[1]Macro!AB102</f>
        <v>253.7344085</v>
      </c>
      <c r="AD515" s="6">
        <f>[1]Macro!AC102</f>
        <v>256.49286330000001</v>
      </c>
      <c r="AE515" s="6">
        <f>[1]Macro!AD102</f>
        <v>259.27083620000002</v>
      </c>
      <c r="AF515" s="6">
        <f>[1]Macro!AE102</f>
        <v>262.07439640000001</v>
      </c>
      <c r="AG515" s="6">
        <f>[1]Macro!AF102</f>
        <v>264.91051620000002</v>
      </c>
      <c r="AH515" s="6">
        <f>[1]Macro!AG102</f>
        <v>267.78720290000001</v>
      </c>
      <c r="AI515" s="6">
        <f>[1]Macro!AH102</f>
        <v>270.70791279999997</v>
      </c>
      <c r="AJ515" s="6">
        <f>[1]Macro!AI102</f>
        <v>273.67542040000001</v>
      </c>
      <c r="AK515" s="6">
        <f>[1]Macro!AJ102</f>
        <v>276.69151690000001</v>
      </c>
      <c r="AL515" s="6">
        <f>[1]Macro!AK102</f>
        <v>279.75716670000003</v>
      </c>
      <c r="AM515" s="6">
        <f>[1]Macro!AL102</f>
        <v>282.79912949999999</v>
      </c>
      <c r="AN515" s="6">
        <f>[1]Macro!AM102</f>
        <v>285.86095990000001</v>
      </c>
      <c r="AO515" s="6">
        <f>[1]Macro!AN102</f>
        <v>288.95483109999998</v>
      </c>
      <c r="AP515" s="6">
        <f>[1]Macro!AO102</f>
        <v>292.08558140000002</v>
      </c>
      <c r="AQ515" s="6">
        <f>[1]Macro!AP102</f>
        <v>295.25594210000003</v>
      </c>
      <c r="AR515" s="6">
        <f>[1]Macro!AQ102</f>
        <v>298.4712073</v>
      </c>
      <c r="AS515" s="6">
        <f>[1]Macro!AR102</f>
        <v>301.7310895</v>
      </c>
      <c r="AT515" s="6">
        <f>[1]Macro!AS102</f>
        <v>305.03595380000002</v>
      </c>
      <c r="AU515" s="6">
        <f>[1]Macro!AT102</f>
        <v>308.3859994</v>
      </c>
      <c r="AV515" s="6">
        <f>[1]Macro!AU102</f>
        <v>311.78113930000001</v>
      </c>
      <c r="AW515" s="6">
        <f>[1]Macro!AV102</f>
        <v>315.24181659999999</v>
      </c>
      <c r="AX515" s="6">
        <f>[1]Macro!AW102</f>
        <v>318.7572485</v>
      </c>
      <c r="AY515" s="6">
        <f>[1]Macro!AX102</f>
        <v>322.32400760000002</v>
      </c>
      <c r="AZ515" s="6">
        <f>[1]Macro!AY102</f>
        <v>325.9402422</v>
      </c>
      <c r="BA515" s="6">
        <f>[1]Macro!AZ102</f>
        <v>329.6044986</v>
      </c>
      <c r="BB515" s="6">
        <f>[1]Macro!BA102</f>
        <v>394.43394949999998</v>
      </c>
      <c r="BC515" s="6">
        <f>[1]Macro!BB102</f>
        <v>400.53157679999998</v>
      </c>
      <c r="BD515" s="6">
        <f>[1]Macro!BC102</f>
        <v>406.72715749999998</v>
      </c>
      <c r="BE515" s="6">
        <f>[1]Macro!BD102</f>
        <v>413.02284150000003</v>
      </c>
      <c r="BF515" s="6">
        <f>[1]Macro!BE102</f>
        <v>419.4208261</v>
      </c>
    </row>
    <row r="516" spans="2:58" x14ac:dyDescent="0.35">
      <c r="B516" s="6" t="str">
        <f>[1]Macro!A103</f>
        <v>ch_toe_2</v>
      </c>
      <c r="C516" s="6">
        <f>[1]Macro!B103</f>
        <v>64.30144018</v>
      </c>
      <c r="D516" s="6">
        <f>[1]Macro!C103</f>
        <v>64.311548689999995</v>
      </c>
      <c r="E516" s="6">
        <f>[1]Macro!D103</f>
        <v>64.021508800000007</v>
      </c>
      <c r="F516" s="6">
        <f>[1]Macro!E103</f>
        <v>63.691322419999999</v>
      </c>
      <c r="G516" s="6">
        <f>[1]Macro!F103</f>
        <v>63.41221865</v>
      </c>
      <c r="H516" s="6">
        <f>[1]Macro!G103</f>
        <v>63.206232049999997</v>
      </c>
      <c r="I516" s="6">
        <f>[1]Macro!H103</f>
        <v>63.050111749999999</v>
      </c>
      <c r="J516" s="6">
        <f>[1]Macro!I103</f>
        <v>62.938125329999998</v>
      </c>
      <c r="K516" s="6">
        <f>[1]Macro!J103</f>
        <v>62.856187030000001</v>
      </c>
      <c r="L516" s="6">
        <f>[1]Macro!K103</f>
        <v>62.785061319999997</v>
      </c>
      <c r="M516" s="6">
        <f>[1]Macro!L103</f>
        <v>62.736037959999997</v>
      </c>
      <c r="N516" s="6">
        <f>[1]Macro!M103</f>
        <v>62.662565999999998</v>
      </c>
      <c r="O516" s="6">
        <f>[1]Macro!N103</f>
        <v>62.578473719999998</v>
      </c>
      <c r="P516" s="6">
        <f>[1]Macro!O103</f>
        <v>62.492567299999997</v>
      </c>
      <c r="Q516" s="6">
        <f>[1]Macro!P103</f>
        <v>62.410104070000003</v>
      </c>
      <c r="R516" s="6">
        <f>[1]Macro!Q103</f>
        <v>62.334365509999998</v>
      </c>
      <c r="S516" s="6">
        <f>[1]Macro!R103</f>
        <v>62.263476500000003</v>
      </c>
      <c r="T516" s="6">
        <f>[1]Macro!S103</f>
        <v>62.200056029999999</v>
      </c>
      <c r="U516" s="6">
        <f>[1]Macro!T103</f>
        <v>62.144740679999998</v>
      </c>
      <c r="V516" s="6">
        <f>[1]Macro!U103</f>
        <v>62.097205719999998</v>
      </c>
      <c r="W516" s="6">
        <f>[1]Macro!V103</f>
        <v>62.037877250000001</v>
      </c>
      <c r="X516" s="6">
        <f>[1]Macro!W103</f>
        <v>61.994171229999999</v>
      </c>
      <c r="Y516" s="6">
        <f>[1]Macro!X103</f>
        <v>61.960241680000003</v>
      </c>
      <c r="Z516" s="6">
        <f>[1]Macro!Y103</f>
        <v>61.933085079999998</v>
      </c>
      <c r="AA516" s="6">
        <f>[1]Macro!Z103</f>
        <v>61.911097480000002</v>
      </c>
      <c r="AB516" s="6">
        <f>[1]Macro!AA103</f>
        <v>61.84221582</v>
      </c>
      <c r="AC516" s="6">
        <f>[1]Macro!AB103</f>
        <v>61.779794369999998</v>
      </c>
      <c r="AD516" s="6">
        <f>[1]Macro!AC103</f>
        <v>61.720796329999999</v>
      </c>
      <c r="AE516" s="6">
        <f>[1]Macro!AD103</f>
        <v>61.66392003</v>
      </c>
      <c r="AF516" s="6">
        <f>[1]Macro!AE103</f>
        <v>61.608758289999997</v>
      </c>
      <c r="AG516" s="6">
        <f>[1]Macro!AF103</f>
        <v>61.555333619999999</v>
      </c>
      <c r="AH516" s="6">
        <f>[1]Macro!AG103</f>
        <v>61.504645140000001</v>
      </c>
      <c r="AI516" s="6">
        <f>[1]Macro!AH103</f>
        <v>61.456476019999997</v>
      </c>
      <c r="AJ516" s="6">
        <f>[1]Macro!AI103</f>
        <v>61.410772770000001</v>
      </c>
      <c r="AK516" s="6">
        <f>[1]Macro!AJ103</f>
        <v>61.367556149999999</v>
      </c>
      <c r="AL516" s="6">
        <f>[1]Macro!AK103</f>
        <v>61.326992619999999</v>
      </c>
      <c r="AM516" s="6">
        <f>[1]Macro!AL103</f>
        <v>61.285327909999999</v>
      </c>
      <c r="AN516" s="6">
        <f>[1]Macro!AM103</f>
        <v>61.243873100000002</v>
      </c>
      <c r="AO516" s="6">
        <f>[1]Macro!AN103</f>
        <v>61.203556710000001</v>
      </c>
      <c r="AP516" s="6">
        <f>[1]Macro!AO103</f>
        <v>61.165075960000003</v>
      </c>
      <c r="AQ516" s="6">
        <f>[1]Macro!AP103</f>
        <v>61.129004389999999</v>
      </c>
      <c r="AR516" s="6">
        <f>[1]Macro!AQ103</f>
        <v>61.096906990000001</v>
      </c>
      <c r="AS516" s="6">
        <f>[1]Macro!AR103</f>
        <v>61.068588310000003</v>
      </c>
      <c r="AT516" s="6">
        <f>[1]Macro!AS103</f>
        <v>61.044166079999997</v>
      </c>
      <c r="AU516" s="6">
        <f>[1]Macro!AT103</f>
        <v>61.023864000000003</v>
      </c>
      <c r="AV516" s="6">
        <f>[1]Macro!AU103</f>
        <v>61.007928040000003</v>
      </c>
      <c r="AW516" s="6">
        <f>[1]Macro!AV103</f>
        <v>61.000962260000001</v>
      </c>
      <c r="AX516" s="6">
        <f>[1]Macro!AW103</f>
        <v>61.000717629999997</v>
      </c>
      <c r="AY516" s="6">
        <f>[1]Macro!AX103</f>
        <v>61.006346829999998</v>
      </c>
      <c r="AZ516" s="6">
        <f>[1]Macro!AY103</f>
        <v>61.017624740000002</v>
      </c>
      <c r="BA516" s="6">
        <f>[1]Macro!AZ103</f>
        <v>61.034651949999997</v>
      </c>
      <c r="BB516" s="6">
        <f>[1]Macro!BA103</f>
        <v>64.419719540000003</v>
      </c>
      <c r="BC516" s="6">
        <f>[1]Macro!BB103</f>
        <v>64.521376770000003</v>
      </c>
      <c r="BD516" s="6">
        <f>[1]Macro!BC103</f>
        <v>64.626029189999997</v>
      </c>
      <c r="BE516" s="6">
        <f>[1]Macro!BD103</f>
        <v>64.733579050000003</v>
      </c>
      <c r="BF516" s="6">
        <f>[1]Macro!BE103</f>
        <v>64.844110799999996</v>
      </c>
    </row>
    <row r="517" spans="2:58" x14ac:dyDescent="0.35">
      <c r="B517" s="6" t="str">
        <f>[1]Macro!A104</f>
        <v>x_toe_2</v>
      </c>
      <c r="C517" s="6">
        <f>[1]Macro!B104</f>
        <v>31.83962051</v>
      </c>
      <c r="D517" s="6">
        <f>[1]Macro!C104</f>
        <v>32.176313520000001</v>
      </c>
      <c r="E517" s="6">
        <f>[1]Macro!D104</f>
        <v>32.556286610000001</v>
      </c>
      <c r="F517" s="6">
        <f>[1]Macro!E104</f>
        <v>32.947633959999997</v>
      </c>
      <c r="G517" s="6">
        <f>[1]Macro!F104</f>
        <v>33.348279570000003</v>
      </c>
      <c r="H517" s="6">
        <f>[1]Macro!G104</f>
        <v>33.755544159999999</v>
      </c>
      <c r="I517" s="6">
        <f>[1]Macro!H104</f>
        <v>34.131714279999997</v>
      </c>
      <c r="J517" s="6">
        <f>[1]Macro!I104</f>
        <v>34.509626419999996</v>
      </c>
      <c r="K517" s="6">
        <f>[1]Macro!J104</f>
        <v>34.888266809999998</v>
      </c>
      <c r="L517" s="6">
        <f>[1]Macro!K104</f>
        <v>35.267149600000003</v>
      </c>
      <c r="M517" s="6">
        <f>[1]Macro!L104</f>
        <v>35.568486960000001</v>
      </c>
      <c r="N517" s="6">
        <f>[1]Macro!M104</f>
        <v>36.030814759999998</v>
      </c>
      <c r="O517" s="6">
        <f>[1]Macro!N104</f>
        <v>36.495669499999998</v>
      </c>
      <c r="P517" s="6">
        <f>[1]Macro!O104</f>
        <v>36.963104309999999</v>
      </c>
      <c r="Q517" s="6">
        <f>[1]Macro!P104</f>
        <v>37.433302050000002</v>
      </c>
      <c r="R517" s="6">
        <f>[1]Macro!Q104</f>
        <v>37.906538210000001</v>
      </c>
      <c r="S517" s="6">
        <f>[1]Macro!R104</f>
        <v>38.376414310000001</v>
      </c>
      <c r="T517" s="6">
        <f>[1]Macro!S104</f>
        <v>38.849661249999997</v>
      </c>
      <c r="U517" s="6">
        <f>[1]Macro!T104</f>
        <v>39.326690460000002</v>
      </c>
      <c r="V517" s="6">
        <f>[1]Macro!U104</f>
        <v>39.807928339999997</v>
      </c>
      <c r="W517" s="6">
        <f>[1]Macro!V104</f>
        <v>40.253600720000001</v>
      </c>
      <c r="X517" s="6">
        <f>[1]Macro!W104</f>
        <v>40.744476509999998</v>
      </c>
      <c r="Y517" s="6">
        <f>[1]Macro!X104</f>
        <v>41.240798179999999</v>
      </c>
      <c r="Z517" s="6">
        <f>[1]Macro!Y104</f>
        <v>41.742857970000003</v>
      </c>
      <c r="AA517" s="6">
        <f>[1]Macro!Z104</f>
        <v>42.250916220000001</v>
      </c>
      <c r="AB517" s="6">
        <f>[1]Macro!AA104</f>
        <v>42.650634859999997</v>
      </c>
      <c r="AC517" s="6">
        <f>[1]Macro!AB104</f>
        <v>43.12027003</v>
      </c>
      <c r="AD517" s="6">
        <f>[1]Macro!AC104</f>
        <v>43.595911700000002</v>
      </c>
      <c r="AE517" s="6">
        <f>[1]Macro!AD104</f>
        <v>44.077716049999999</v>
      </c>
      <c r="AF517" s="6">
        <f>[1]Macro!AE104</f>
        <v>44.565781430000001</v>
      </c>
      <c r="AG517" s="6">
        <f>[1]Macro!AF104</f>
        <v>45.060169680000001</v>
      </c>
      <c r="AH517" s="6">
        <f>[1]Macro!AG104</f>
        <v>45.562907580000001</v>
      </c>
      <c r="AI517" s="6">
        <f>[1]Macro!AH104</f>
        <v>46.072118609999997</v>
      </c>
      <c r="AJ517" s="6">
        <f>[1]Macro!AI104</f>
        <v>46.58778487</v>
      </c>
      <c r="AK517" s="6">
        <f>[1]Macro!AJ104</f>
        <v>47.109868349999999</v>
      </c>
      <c r="AL517" s="6">
        <f>[1]Macro!AK104</f>
        <v>47.638321990000001</v>
      </c>
      <c r="AM517" s="6">
        <f>[1]Macro!AL104</f>
        <v>48.164911570000001</v>
      </c>
      <c r="AN517" s="6">
        <f>[1]Macro!AM104</f>
        <v>48.698278780000003</v>
      </c>
      <c r="AO517" s="6">
        <f>[1]Macro!AN104</f>
        <v>49.238342699999997</v>
      </c>
      <c r="AP517" s="6">
        <f>[1]Macro!AO104</f>
        <v>49.784968419999998</v>
      </c>
      <c r="AQ517" s="6">
        <f>[1]Macro!AP104</f>
        <v>50.33802936</v>
      </c>
      <c r="AR517" s="6">
        <f>[1]Macro!AQ104</f>
        <v>50.900628609999998</v>
      </c>
      <c r="AS517" s="6">
        <f>[1]Macro!AR104</f>
        <v>51.469677869999998</v>
      </c>
      <c r="AT517" s="6">
        <f>[1]Macro!AS104</f>
        <v>52.045131810000001</v>
      </c>
      <c r="AU517" s="6">
        <f>[1]Macro!AT104</f>
        <v>52.626956759999999</v>
      </c>
      <c r="AV517" s="6">
        <f>[1]Macro!AU104</f>
        <v>53.215134249999998</v>
      </c>
      <c r="AW517" s="6">
        <f>[1]Macro!AV104</f>
        <v>53.823489260000002</v>
      </c>
      <c r="AX517" s="6">
        <f>[1]Macro!AW104</f>
        <v>54.438851319999998</v>
      </c>
      <c r="AY517" s="6">
        <f>[1]Macro!AX104</f>
        <v>55.061185559999998</v>
      </c>
      <c r="AZ517" s="6">
        <f>[1]Macro!AY104</f>
        <v>55.690438229999998</v>
      </c>
      <c r="BA517" s="6">
        <f>[1]Macro!AZ104</f>
        <v>56.326572890000001</v>
      </c>
      <c r="BB517" s="6">
        <f>[1]Macro!BA104</f>
        <v>76.153181029999999</v>
      </c>
      <c r="BC517" s="6">
        <f>[1]Macro!BB104</f>
        <v>77.474931299999994</v>
      </c>
      <c r="BD517" s="6">
        <f>[1]Macro!BC104</f>
        <v>78.820624289999998</v>
      </c>
      <c r="BE517" s="6">
        <f>[1]Macro!BD104</f>
        <v>80.190643519999995</v>
      </c>
      <c r="BF517" s="6">
        <f>[1]Macro!BE104</f>
        <v>81.585370549999993</v>
      </c>
    </row>
    <row r="518" spans="2:58" x14ac:dyDescent="0.35"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  <c r="BA518" s="6"/>
      <c r="BB518" s="6"/>
      <c r="BC518" s="6"/>
      <c r="BD518" s="6"/>
      <c r="BE518" s="6"/>
      <c r="BF518" s="6"/>
    </row>
    <row r="519" spans="2:58" x14ac:dyDescent="0.35">
      <c r="B519" s="6" t="str">
        <f>[1]Macro!A105</f>
        <v>y_toe_0</v>
      </c>
      <c r="C519" s="6">
        <f>[1]Macro!B105</f>
        <v>139.60539019999999</v>
      </c>
      <c r="D519" s="6">
        <f>[1]Macro!C105</f>
        <v>140.71595590000001</v>
      </c>
      <c r="E519" s="6">
        <f>[1]Macro!D105</f>
        <v>141.75063510000001</v>
      </c>
      <c r="F519" s="6">
        <f>[1]Macro!E105</f>
        <v>142.85682259999999</v>
      </c>
      <c r="G519" s="6">
        <f>[1]Macro!F105</f>
        <v>144.07966579999999</v>
      </c>
      <c r="H519" s="6">
        <f>[1]Macro!G105</f>
        <v>145.43149589999999</v>
      </c>
      <c r="I519" s="6">
        <f>[1]Macro!H105</f>
        <v>146.8228154</v>
      </c>
      <c r="J519" s="6">
        <f>[1]Macro!I105</f>
        <v>148.2883831</v>
      </c>
      <c r="K519" s="6">
        <f>[1]Macro!J105</f>
        <v>149.81685479999999</v>
      </c>
      <c r="L519" s="6">
        <f>[1]Macro!K105</f>
        <v>151.39436649999999</v>
      </c>
      <c r="M519" s="6">
        <f>[1]Macro!L105</f>
        <v>153.1495674</v>
      </c>
      <c r="N519" s="6">
        <f>[1]Macro!M105</f>
        <v>154.8389397</v>
      </c>
      <c r="O519" s="6">
        <f>[1]Macro!N105</f>
        <v>156.53565710000001</v>
      </c>
      <c r="P519" s="6">
        <f>[1]Macro!O105</f>
        <v>158.24582430000001</v>
      </c>
      <c r="Q519" s="6">
        <f>[1]Macro!P105</f>
        <v>159.97047040000001</v>
      </c>
      <c r="R519" s="6">
        <f>[1]Macro!Q105</f>
        <v>161.70993770000001</v>
      </c>
      <c r="S519" s="6">
        <f>[1]Macro!R105</f>
        <v>163.46483950000001</v>
      </c>
      <c r="T519" s="6">
        <f>[1]Macro!S105</f>
        <v>165.23619339999999</v>
      </c>
      <c r="U519" s="6">
        <f>[1]Macro!T105</f>
        <v>167.02535080000001</v>
      </c>
      <c r="V519" s="6">
        <f>[1]Macro!U105</f>
        <v>168.8338876</v>
      </c>
      <c r="W519" s="6">
        <f>[1]Macro!V105</f>
        <v>170.56150769999999</v>
      </c>
      <c r="X519" s="6">
        <f>[1]Macro!W105</f>
        <v>172.3825013</v>
      </c>
      <c r="Y519" s="6">
        <f>[1]Macro!X105</f>
        <v>174.24083569999999</v>
      </c>
      <c r="Z519" s="6">
        <f>[1]Macro!Y105</f>
        <v>176.13146140000001</v>
      </c>
      <c r="AA519" s="6">
        <f>[1]Macro!Z105</f>
        <v>178.05380690000001</v>
      </c>
      <c r="AB519" s="6">
        <f>[1]Macro!AA105</f>
        <v>179.71602970000001</v>
      </c>
      <c r="AC519" s="6">
        <f>[1]Macro!AB105</f>
        <v>181.4750368</v>
      </c>
      <c r="AD519" s="6">
        <f>[1]Macro!AC105</f>
        <v>183.2596523</v>
      </c>
      <c r="AE519" s="6">
        <f>[1]Macro!AD105</f>
        <v>185.06819010000001</v>
      </c>
      <c r="AF519" s="6">
        <f>[1]Macro!AE105</f>
        <v>186.9030018</v>
      </c>
      <c r="AG519" s="6">
        <f>[1]Macro!AF105</f>
        <v>188.76686599999999</v>
      </c>
      <c r="AH519" s="6">
        <f>[1]Macro!AG105</f>
        <v>190.6620949</v>
      </c>
      <c r="AI519" s="6">
        <f>[1]Macro!AH105</f>
        <v>192.5903423</v>
      </c>
      <c r="AJ519" s="6">
        <f>[1]Macro!AI105</f>
        <v>194.55263769999999</v>
      </c>
      <c r="AK519" s="6">
        <f>[1]Macro!AJ105</f>
        <v>196.54949669999999</v>
      </c>
      <c r="AL519" s="6">
        <f>[1]Macro!AK105</f>
        <v>198.5810534</v>
      </c>
      <c r="AM519" s="6">
        <f>[1]Macro!AL105</f>
        <v>200.57748269999999</v>
      </c>
      <c r="AN519" s="6">
        <f>[1]Macro!AM105</f>
        <v>202.5863511</v>
      </c>
      <c r="AO519" s="6">
        <f>[1]Macro!AN105</f>
        <v>204.615634</v>
      </c>
      <c r="AP519" s="6">
        <f>[1]Macro!AO105</f>
        <v>206.66895410000001</v>
      </c>
      <c r="AQ519" s="6">
        <f>[1]Macro!AP105</f>
        <v>208.7486485</v>
      </c>
      <c r="AR519" s="6">
        <f>[1]Macro!AQ105</f>
        <v>210.85649979999999</v>
      </c>
      <c r="AS519" s="6">
        <f>[1]Macro!AR105</f>
        <v>212.99391660000001</v>
      </c>
      <c r="AT519" s="6">
        <f>[1]Macro!AS105</f>
        <v>215.16198940000001</v>
      </c>
      <c r="AU519" s="6">
        <f>[1]Macro!AT105</f>
        <v>217.36149019999999</v>
      </c>
      <c r="AV519" s="6">
        <f>[1]Macro!AU105</f>
        <v>219.5927701</v>
      </c>
      <c r="AW519" s="6">
        <f>[1]Macro!AV105</f>
        <v>221.8612632</v>
      </c>
      <c r="AX519" s="6">
        <f>[1]Macro!AW105</f>
        <v>224.158591</v>
      </c>
      <c r="AY519" s="6">
        <f>[1]Macro!AX105</f>
        <v>226.4820986</v>
      </c>
      <c r="AZ519" s="6">
        <f>[1]Macro!AY105</f>
        <v>228.8354769</v>
      </c>
      <c r="BA519" s="6">
        <f>[1]Macro!AZ105</f>
        <v>231.22222629999999</v>
      </c>
      <c r="BB519" s="6">
        <f>[1]Macro!BA105</f>
        <v>248.76068989999999</v>
      </c>
      <c r="BC519" s="6">
        <f>[1]Macro!BB105</f>
        <v>252.16318720000001</v>
      </c>
      <c r="BD519" s="6">
        <f>[1]Macro!BC105</f>
        <v>255.6227614</v>
      </c>
      <c r="BE519" s="6">
        <f>[1]Macro!BD105</f>
        <v>259.14068689999999</v>
      </c>
      <c r="BF519" s="6">
        <f>[1]Macro!BE105</f>
        <v>262.7181764</v>
      </c>
    </row>
    <row r="520" spans="2:58" x14ac:dyDescent="0.35">
      <c r="B520" s="6" t="str">
        <f>[1]Macro!A106</f>
        <v>m_toe_0</v>
      </c>
      <c r="C520" s="6">
        <f>[1]Macro!B106</f>
        <v>151.4012845</v>
      </c>
      <c r="D520" s="6">
        <f>[1]Macro!C106</f>
        <v>152.663352</v>
      </c>
      <c r="E520" s="6">
        <f>[1]Macro!D106</f>
        <v>153.86342780000001</v>
      </c>
      <c r="F520" s="6">
        <f>[1]Macro!E106</f>
        <v>155.1746109</v>
      </c>
      <c r="G520" s="6">
        <f>[1]Macro!F106</f>
        <v>156.64782070000001</v>
      </c>
      <c r="H520" s="6">
        <f>[1]Macro!G106</f>
        <v>158.29523259999999</v>
      </c>
      <c r="I520" s="6">
        <f>[1]Macro!H106</f>
        <v>160.01514180000001</v>
      </c>
      <c r="J520" s="6">
        <f>[1]Macro!I106</f>
        <v>161.835871</v>
      </c>
      <c r="K520" s="6">
        <f>[1]Macro!J106</f>
        <v>163.7439234</v>
      </c>
      <c r="L520" s="6">
        <f>[1]Macro!K106</f>
        <v>165.72227570000001</v>
      </c>
      <c r="M520" s="6">
        <f>[1]Macro!L106</f>
        <v>167.9078428</v>
      </c>
      <c r="N520" s="6">
        <f>[1]Macro!M106</f>
        <v>170.04404049999999</v>
      </c>
      <c r="O520" s="6">
        <f>[1]Macro!N106</f>
        <v>172.19674860000001</v>
      </c>
      <c r="P520" s="6">
        <f>[1]Macro!O106</f>
        <v>174.37371049999999</v>
      </c>
      <c r="Q520" s="6">
        <f>[1]Macro!P106</f>
        <v>176.57467489999999</v>
      </c>
      <c r="R520" s="6">
        <f>[1]Macro!Q106</f>
        <v>178.7985434</v>
      </c>
      <c r="S520" s="6">
        <f>[1]Macro!R106</f>
        <v>181.044724</v>
      </c>
      <c r="T520" s="6">
        <f>[1]Macro!S106</f>
        <v>183.3132511</v>
      </c>
      <c r="U520" s="6">
        <f>[1]Macro!T106</f>
        <v>185.6046652</v>
      </c>
      <c r="V520" s="6">
        <f>[1]Macro!U106</f>
        <v>187.9198681</v>
      </c>
      <c r="W520" s="6">
        <f>[1]Macro!V106</f>
        <v>190.14875319999999</v>
      </c>
      <c r="X520" s="6">
        <f>[1]Macro!W106</f>
        <v>192.47440359999999</v>
      </c>
      <c r="Y520" s="6">
        <f>[1]Macro!X106</f>
        <v>194.84393589999999</v>
      </c>
      <c r="Z520" s="6">
        <f>[1]Macro!Y106</f>
        <v>197.24937929999999</v>
      </c>
      <c r="AA520" s="6">
        <f>[1]Macro!Z106</f>
        <v>199.68975570000001</v>
      </c>
      <c r="AB520" s="6">
        <f>[1]Macro!AA106</f>
        <v>201.8452638</v>
      </c>
      <c r="AC520" s="6">
        <f>[1]Macro!AB106</f>
        <v>204.0881095</v>
      </c>
      <c r="AD520" s="6">
        <f>[1]Macro!AC106</f>
        <v>206.35688200000001</v>
      </c>
      <c r="AE520" s="6">
        <f>[1]Macro!AD106</f>
        <v>208.64680129999999</v>
      </c>
      <c r="AF520" s="6">
        <f>[1]Macro!AE106</f>
        <v>210.96047999999999</v>
      </c>
      <c r="AG520" s="6">
        <f>[1]Macro!AF106</f>
        <v>213.30156590000001</v>
      </c>
      <c r="AH520" s="6">
        <f>[1]Macro!AG106</f>
        <v>215.67329989999999</v>
      </c>
      <c r="AI520" s="6">
        <f>[1]Macro!AH106</f>
        <v>218.07820219999999</v>
      </c>
      <c r="AJ520" s="6">
        <f>[1]Macro!AI106</f>
        <v>220.51808370000001</v>
      </c>
      <c r="AK520" s="6">
        <f>[1]Macro!AJ106</f>
        <v>222.99415590000001</v>
      </c>
      <c r="AL520" s="6">
        <f>[1]Macro!AK106</f>
        <v>225.5071648</v>
      </c>
      <c r="AM520" s="6">
        <f>[1]Macro!AL106</f>
        <v>227.98061580000001</v>
      </c>
      <c r="AN520" s="6">
        <f>[1]Macro!AM106</f>
        <v>230.46287799999999</v>
      </c>
      <c r="AO520" s="6">
        <f>[1]Macro!AN106</f>
        <v>232.96484570000001</v>
      </c>
      <c r="AP520" s="6">
        <f>[1]Macro!AO106</f>
        <v>235.49106040000001</v>
      </c>
      <c r="AQ520" s="6">
        <f>[1]Macro!AP106</f>
        <v>238.04450829999999</v>
      </c>
      <c r="AR520" s="6">
        <f>[1]Macro!AQ106</f>
        <v>240.6275861</v>
      </c>
      <c r="AS520" s="6">
        <f>[1]Macro!AR106</f>
        <v>243.24227160000001</v>
      </c>
      <c r="AT520" s="6">
        <f>[1]Macro!AS106</f>
        <v>245.89014710000001</v>
      </c>
      <c r="AU520" s="6">
        <f>[1]Macro!AT106</f>
        <v>248.5723912</v>
      </c>
      <c r="AV520" s="6">
        <f>[1]Macro!AU106</f>
        <v>251.2896978</v>
      </c>
      <c r="AW520" s="6">
        <f>[1]Macro!AV106</f>
        <v>254.0486689</v>
      </c>
      <c r="AX520" s="6">
        <f>[1]Macro!AW106</f>
        <v>256.84328260000001</v>
      </c>
      <c r="AY520" s="6">
        <f>[1]Macro!AX106</f>
        <v>259.67027359999997</v>
      </c>
      <c r="AZ520" s="6">
        <f>[1]Macro!AY106</f>
        <v>262.53378789999999</v>
      </c>
      <c r="BA520" s="6">
        <f>[1]Macro!AZ106</f>
        <v>265.4375728</v>
      </c>
      <c r="BB520" s="6">
        <f>[1]Macro!BA106</f>
        <v>289.18244320000002</v>
      </c>
      <c r="BC520" s="6">
        <f>[1]Macro!BB106</f>
        <v>293.36051500000002</v>
      </c>
      <c r="BD520" s="6">
        <f>[1]Macro!BC106</f>
        <v>297.60425559999999</v>
      </c>
      <c r="BE520" s="6">
        <f>[1]Macro!BD106</f>
        <v>301.9153384</v>
      </c>
      <c r="BF520" s="6">
        <f>[1]Macro!BE106</f>
        <v>306.29544920000001</v>
      </c>
    </row>
    <row r="521" spans="2:58" x14ac:dyDescent="0.35">
      <c r="B521" s="6" t="str">
        <f>[1]Macro!A107</f>
        <v>ci_toe_0</v>
      </c>
      <c r="C521" s="6">
        <f>[1]Macro!B107</f>
        <v>193.20841820000001</v>
      </c>
      <c r="D521" s="6">
        <f>[1]Macro!C107</f>
        <v>195.11808260000001</v>
      </c>
      <c r="E521" s="6">
        <f>[1]Macro!D107</f>
        <v>197.05250889999999</v>
      </c>
      <c r="F521" s="6">
        <f>[1]Macro!E107</f>
        <v>199.16416559999999</v>
      </c>
      <c r="G521" s="6">
        <f>[1]Macro!F107</f>
        <v>201.497919</v>
      </c>
      <c r="H521" s="6">
        <f>[1]Macro!G107</f>
        <v>204.04660870000001</v>
      </c>
      <c r="I521" s="6">
        <f>[1]Macro!H107</f>
        <v>206.67011199999999</v>
      </c>
      <c r="J521" s="6">
        <f>[1]Macro!I107</f>
        <v>209.40289179999999</v>
      </c>
      <c r="K521" s="6">
        <f>[1]Macro!J107</f>
        <v>212.2338766</v>
      </c>
      <c r="L521" s="6">
        <f>[1]Macro!K107</f>
        <v>215.14567460000001</v>
      </c>
      <c r="M521" s="6">
        <f>[1]Macro!L107</f>
        <v>218.3232538</v>
      </c>
      <c r="N521" s="6">
        <f>[1]Macro!M107</f>
        <v>221.43877380000001</v>
      </c>
      <c r="O521" s="6">
        <f>[1]Macro!N107</f>
        <v>224.56729010000001</v>
      </c>
      <c r="P521" s="6">
        <f>[1]Macro!O107</f>
        <v>227.72169120000001</v>
      </c>
      <c r="Q521" s="6">
        <f>[1]Macro!P107</f>
        <v>230.9027519</v>
      </c>
      <c r="R521" s="6">
        <f>[1]Macro!Q107</f>
        <v>234.1099816</v>
      </c>
      <c r="S521" s="6">
        <f>[1]Macro!R107</f>
        <v>237.34366800000001</v>
      </c>
      <c r="T521" s="6">
        <f>[1]Macro!S107</f>
        <v>240.6050444</v>
      </c>
      <c r="U521" s="6">
        <f>[1]Macro!T107</f>
        <v>243.89608920000001</v>
      </c>
      <c r="V521" s="6">
        <f>[1]Macro!U107</f>
        <v>247.2192852</v>
      </c>
      <c r="W521" s="6">
        <f>[1]Macro!V107</f>
        <v>250.4293131</v>
      </c>
      <c r="X521" s="6">
        <f>[1]Macro!W107</f>
        <v>253.76360310000001</v>
      </c>
      <c r="Y521" s="6">
        <f>[1]Macro!X107</f>
        <v>257.16320250000001</v>
      </c>
      <c r="Z521" s="6">
        <f>[1]Macro!Y107</f>
        <v>260.61725719999998</v>
      </c>
      <c r="AA521" s="6">
        <f>[1]Macro!Z107</f>
        <v>264.12507390000002</v>
      </c>
      <c r="AB521" s="6">
        <f>[1]Macro!AA107</f>
        <v>267.26079909999999</v>
      </c>
      <c r="AC521" s="6">
        <f>[1]Macro!AB107</f>
        <v>270.49915800000002</v>
      </c>
      <c r="AD521" s="6">
        <f>[1]Macro!AC107</f>
        <v>273.7782282</v>
      </c>
      <c r="AE521" s="6">
        <f>[1]Macro!AD107</f>
        <v>277.09190949999999</v>
      </c>
      <c r="AF521" s="6">
        <f>[1]Macro!AE107</f>
        <v>280.44524589999997</v>
      </c>
      <c r="AG521" s="6">
        <f>[1]Macro!AF107</f>
        <v>283.84438540000002</v>
      </c>
      <c r="AH521" s="6">
        <f>[1]Macro!AG107</f>
        <v>287.29442760000001</v>
      </c>
      <c r="AI521" s="6">
        <f>[1]Macro!AH107</f>
        <v>290.79906679999999</v>
      </c>
      <c r="AJ521" s="6">
        <f>[1]Macro!AI107</f>
        <v>294.36069900000001</v>
      </c>
      <c r="AK521" s="6">
        <f>[1]Macro!AJ107</f>
        <v>297.98065780000002</v>
      </c>
      <c r="AL521" s="6">
        <f>[1]Macro!AK107</f>
        <v>301.65947629999999</v>
      </c>
      <c r="AM521" s="6">
        <f>[1]Macro!AL107</f>
        <v>305.29415289999997</v>
      </c>
      <c r="AN521" s="6">
        <f>[1]Macro!AM107</f>
        <v>308.94343270000002</v>
      </c>
      <c r="AO521" s="6">
        <f>[1]Macro!AN107</f>
        <v>312.62324849999999</v>
      </c>
      <c r="AP521" s="6">
        <f>[1]Macro!AO107</f>
        <v>316.34017779999999</v>
      </c>
      <c r="AQ521" s="6">
        <f>[1]Macro!AP107</f>
        <v>320.09856710000003</v>
      </c>
      <c r="AR521" s="6">
        <f>[1]Macro!AQ107</f>
        <v>323.90190990000002</v>
      </c>
      <c r="AS521" s="6">
        <f>[1]Macro!AR107</f>
        <v>327.75306740000002</v>
      </c>
      <c r="AT521" s="6">
        <f>[1]Macro!AS107</f>
        <v>331.65431280000001</v>
      </c>
      <c r="AU521" s="6">
        <f>[1]Macro!AT107</f>
        <v>335.60737619999998</v>
      </c>
      <c r="AV521" s="6">
        <f>[1]Macro!AU107</f>
        <v>339.61350190000002</v>
      </c>
      <c r="AW521" s="6">
        <f>[1]Macro!AV107</f>
        <v>343.68269229999999</v>
      </c>
      <c r="AX521" s="6">
        <f>[1]Macro!AW107</f>
        <v>347.80748999999997</v>
      </c>
      <c r="AY521" s="6">
        <f>[1]Macro!AX107</f>
        <v>351.9857078</v>
      </c>
      <c r="AZ521" s="6">
        <f>[1]Macro!AY107</f>
        <v>356.21853850000002</v>
      </c>
      <c r="BA521" s="6">
        <f>[1]Macro!AZ107</f>
        <v>360.50754430000001</v>
      </c>
      <c r="BB521" s="6">
        <f>[1]Macro!BA107</f>
        <v>395.34974249999999</v>
      </c>
      <c r="BC521" s="6">
        <f>[1]Macro!BB107</f>
        <v>401.4616911</v>
      </c>
      <c r="BD521" s="6">
        <f>[1]Macro!BC107</f>
        <v>407.67003840000001</v>
      </c>
      <c r="BE521" s="6">
        <f>[1]Macro!BD107</f>
        <v>413.97701210000002</v>
      </c>
      <c r="BF521" s="6">
        <f>[1]Macro!BE107</f>
        <v>420.38488769999998</v>
      </c>
    </row>
    <row r="522" spans="2:58" x14ac:dyDescent="0.35">
      <c r="B522" s="6" t="str">
        <f>[1]Macro!A108</f>
        <v>ch_toe_0</v>
      </c>
      <c r="C522" s="6">
        <f>[1]Macro!B108</f>
        <v>64.301440170000006</v>
      </c>
      <c r="D522" s="6">
        <f>[1]Macro!C108</f>
        <v>64.244438369999997</v>
      </c>
      <c r="E522" s="6">
        <f>[1]Macro!D108</f>
        <v>63.979054079999997</v>
      </c>
      <c r="F522" s="6">
        <f>[1]Macro!E108</f>
        <v>63.707653290000003</v>
      </c>
      <c r="G522" s="6">
        <f>[1]Macro!F108</f>
        <v>63.482470319999997</v>
      </c>
      <c r="H522" s="6">
        <f>[1]Macro!G108</f>
        <v>63.33626314</v>
      </c>
      <c r="I522" s="6">
        <f>[1]Macro!H108</f>
        <v>63.253989879999999</v>
      </c>
      <c r="J522" s="6">
        <f>[1]Macro!I108</f>
        <v>63.230666929999998</v>
      </c>
      <c r="K522" s="6">
        <f>[1]Macro!J108</f>
        <v>63.252706680000003</v>
      </c>
      <c r="L522" s="6">
        <f>[1]Macro!K108</f>
        <v>63.306551370000001</v>
      </c>
      <c r="M522" s="6">
        <f>[1]Macro!L108</f>
        <v>63.411263249999998</v>
      </c>
      <c r="N522" s="6">
        <f>[1]Macro!M108</f>
        <v>63.51618208</v>
      </c>
      <c r="O522" s="6">
        <f>[1]Macro!N108</f>
        <v>63.624458619999999</v>
      </c>
      <c r="P522" s="6">
        <f>[1]Macro!O108</f>
        <v>63.736656089999997</v>
      </c>
      <c r="Q522" s="6">
        <f>[1]Macro!P108</f>
        <v>63.852380830000001</v>
      </c>
      <c r="R522" s="6">
        <f>[1]Macro!Q108</f>
        <v>63.970976999999998</v>
      </c>
      <c r="S522" s="6">
        <f>[1]Macro!R108</f>
        <v>64.091795379999994</v>
      </c>
      <c r="T522" s="6">
        <f>[1]Macro!S108</f>
        <v>64.214278669999999</v>
      </c>
      <c r="U522" s="6">
        <f>[1]Macro!T108</f>
        <v>64.337973910000002</v>
      </c>
      <c r="V522" s="6">
        <f>[1]Macro!U108</f>
        <v>64.462521330000001</v>
      </c>
      <c r="W522" s="6">
        <f>[1]Macro!V108</f>
        <v>64.568139380000005</v>
      </c>
      <c r="X522" s="6">
        <f>[1]Macro!W108</f>
        <v>64.683683700000003</v>
      </c>
      <c r="Y522" s="6">
        <f>[1]Macro!X108</f>
        <v>64.803930449999996</v>
      </c>
      <c r="Z522" s="6">
        <f>[1]Macro!Y108</f>
        <v>64.926449009999999</v>
      </c>
      <c r="AA522" s="6">
        <f>[1]Macro!Z108</f>
        <v>65.050136649999999</v>
      </c>
      <c r="AB522" s="6">
        <f>[1]Macro!AA108</f>
        <v>65.121097649999996</v>
      </c>
      <c r="AC522" s="6">
        <f>[1]Macro!AB108</f>
        <v>65.193553129999998</v>
      </c>
      <c r="AD522" s="6">
        <f>[1]Macro!AC108</f>
        <v>65.265840030000007</v>
      </c>
      <c r="AE522" s="6">
        <f>[1]Macro!AD108</f>
        <v>65.337381339999993</v>
      </c>
      <c r="AF522" s="6">
        <f>[1]Macro!AE108</f>
        <v>65.407922540000001</v>
      </c>
      <c r="AG522" s="6">
        <f>[1]Macro!AF108</f>
        <v>65.477596669999997</v>
      </c>
      <c r="AH522" s="6">
        <f>[1]Macro!AG108</f>
        <v>65.546739619999997</v>
      </c>
      <c r="AI522" s="6">
        <f>[1]Macro!AH108</f>
        <v>65.615737949999996</v>
      </c>
      <c r="AJ522" s="6">
        <f>[1]Macro!AI108</f>
        <v>65.684962479999996</v>
      </c>
      <c r="AK522" s="6">
        <f>[1]Macro!AJ108</f>
        <v>65.754746159999996</v>
      </c>
      <c r="AL522" s="6">
        <f>[1]Macro!AK108</f>
        <v>65.825382390000001</v>
      </c>
      <c r="AM522" s="6">
        <f>[1]Macro!AL108</f>
        <v>65.885647590000005</v>
      </c>
      <c r="AN522" s="6">
        <f>[1]Macro!AM108</f>
        <v>65.94129762</v>
      </c>
      <c r="AO522" s="6">
        <f>[1]Macro!AN108</f>
        <v>65.995158489999994</v>
      </c>
      <c r="AP522" s="6">
        <f>[1]Macro!AO108</f>
        <v>66.048711650000001</v>
      </c>
      <c r="AQ522" s="6">
        <f>[1]Macro!AP108</f>
        <v>66.102831050000006</v>
      </c>
      <c r="AR522" s="6">
        <f>[1]Macro!AQ108</f>
        <v>66.158102880000001</v>
      </c>
      <c r="AS522" s="6">
        <f>[1]Macro!AR108</f>
        <v>66.214952920000002</v>
      </c>
      <c r="AT522" s="6">
        <f>[1]Macro!AS108</f>
        <v>66.273683399999996</v>
      </c>
      <c r="AU522" s="6">
        <f>[1]Macro!AT108</f>
        <v>66.334417720000005</v>
      </c>
      <c r="AV522" s="6">
        <f>[1]Macro!AU108</f>
        <v>66.396858870000003</v>
      </c>
      <c r="AW522" s="6">
        <f>[1]Macro!AV108</f>
        <v>66.460015330000004</v>
      </c>
      <c r="AX522" s="6">
        <f>[1]Macro!AW108</f>
        <v>66.519687480000002</v>
      </c>
      <c r="AY522" s="6">
        <f>[1]Macro!AX108</f>
        <v>66.572028009999997</v>
      </c>
      <c r="AZ522" s="6">
        <f>[1]Macro!AY108</f>
        <v>66.623567429999994</v>
      </c>
      <c r="BA522" s="6">
        <f>[1]Macro!AZ108</f>
        <v>66.679879819999996</v>
      </c>
      <c r="BB522" s="6">
        <f>[1]Macro!BA108</f>
        <v>66.181774820000001</v>
      </c>
      <c r="BC522" s="6">
        <f>[1]Macro!BB108</f>
        <v>66.315964530000002</v>
      </c>
      <c r="BD522" s="6">
        <f>[1]Macro!BC108</f>
        <v>66.452371409999998</v>
      </c>
      <c r="BE522" s="6">
        <f>[1]Macro!BD108</f>
        <v>66.591310300000004</v>
      </c>
      <c r="BF522" s="6">
        <f>[1]Macro!BE108</f>
        <v>66.732995119999998</v>
      </c>
    </row>
    <row r="523" spans="2:58" x14ac:dyDescent="0.35">
      <c r="B523" s="6" t="str">
        <f>[1]Macro!A109</f>
        <v>x_toe_0</v>
      </c>
      <c r="C523" s="6">
        <f>[1]Macro!B109</f>
        <v>33.496816299999999</v>
      </c>
      <c r="D523" s="6">
        <f>[1]Macro!C109</f>
        <v>34.016786949999997</v>
      </c>
      <c r="E523" s="6">
        <f>[1]Macro!D109</f>
        <v>34.582499839999997</v>
      </c>
      <c r="F523" s="6">
        <f>[1]Macro!E109</f>
        <v>35.159614650000002</v>
      </c>
      <c r="G523" s="6">
        <f>[1]Macro!F109</f>
        <v>35.747097170000004</v>
      </c>
      <c r="H523" s="6">
        <f>[1]Macro!G109</f>
        <v>36.343856629999998</v>
      </c>
      <c r="I523" s="6">
        <f>[1]Macro!H109</f>
        <v>36.913855409999996</v>
      </c>
      <c r="J523" s="6">
        <f>[1]Macro!I109</f>
        <v>37.49069532</v>
      </c>
      <c r="K523" s="6">
        <f>[1]Macro!J109</f>
        <v>38.074194929999997</v>
      </c>
      <c r="L523" s="6">
        <f>[1]Macro!K109</f>
        <v>38.664416279999998</v>
      </c>
      <c r="M523" s="6">
        <f>[1]Macro!L109</f>
        <v>39.322893180000001</v>
      </c>
      <c r="N523" s="6">
        <f>[1]Macro!M109</f>
        <v>39.928024360000002</v>
      </c>
      <c r="O523" s="6">
        <f>[1]Macro!N109</f>
        <v>40.540657060000001</v>
      </c>
      <c r="P523" s="6">
        <f>[1]Macro!O109</f>
        <v>41.161187570000003</v>
      </c>
      <c r="Q523" s="6">
        <f>[1]Macro!P109</f>
        <v>41.79001264</v>
      </c>
      <c r="R523" s="6">
        <f>[1]Macro!Q109</f>
        <v>42.427522439999997</v>
      </c>
      <c r="S523" s="6">
        <f>[1]Macro!R109</f>
        <v>43.074100129999998</v>
      </c>
      <c r="T523" s="6">
        <f>[1]Macro!S109</f>
        <v>43.730121429999997</v>
      </c>
      <c r="U523" s="6">
        <f>[1]Macro!T109</f>
        <v>44.395952880000003</v>
      </c>
      <c r="V523" s="6">
        <f>[1]Macro!U109</f>
        <v>45.071949160000003</v>
      </c>
      <c r="W523" s="6">
        <f>[1]Macro!V109</f>
        <v>45.712808469999999</v>
      </c>
      <c r="X523" s="6">
        <f>[1]Macro!W109</f>
        <v>46.40961815</v>
      </c>
      <c r="Y523" s="6">
        <f>[1]Macro!X109</f>
        <v>47.117638650000004</v>
      </c>
      <c r="Z523" s="6">
        <f>[1]Macro!Y109</f>
        <v>47.837134499999998</v>
      </c>
      <c r="AA523" s="6">
        <f>[1]Macro!Z109</f>
        <v>48.568352070000003</v>
      </c>
      <c r="AB523" s="6">
        <f>[1]Macro!AA109</f>
        <v>49.179396750000002</v>
      </c>
      <c r="AC523" s="6">
        <f>[1]Macro!AB109</f>
        <v>49.870435129999997</v>
      </c>
      <c r="AD523" s="6">
        <f>[1]Macro!AC109</f>
        <v>50.572466079999998</v>
      </c>
      <c r="AE523" s="6">
        <f>[1]Macro!AD109</f>
        <v>51.285700509999998</v>
      </c>
      <c r="AF523" s="6">
        <f>[1]Macro!AE109</f>
        <v>52.010313379999999</v>
      </c>
      <c r="AG523" s="6">
        <f>[1]Macro!AF109</f>
        <v>52.746449830000003</v>
      </c>
      <c r="AH523" s="6">
        <f>[1]Macro!AG109</f>
        <v>53.494227530000003</v>
      </c>
      <c r="AI523" s="6">
        <f>[1]Macro!AH109</f>
        <v>54.253739690000003</v>
      </c>
      <c r="AJ523" s="6">
        <f>[1]Macro!AI109</f>
        <v>55.025059949999999</v>
      </c>
      <c r="AK523" s="6">
        <f>[1]Macro!AJ109</f>
        <v>55.808248640000002</v>
      </c>
      <c r="AL523" s="6">
        <f>[1]Macro!AK109</f>
        <v>56.603359519999998</v>
      </c>
      <c r="AM523" s="6">
        <f>[1]Macro!AL109</f>
        <v>57.37829799</v>
      </c>
      <c r="AN523" s="6">
        <f>[1]Macro!AM109</f>
        <v>58.164498809999998</v>
      </c>
      <c r="AO523" s="6">
        <f>[1]Macro!AN109</f>
        <v>58.962072650000003</v>
      </c>
      <c r="AP523" s="6">
        <f>[1]Macro!AO109</f>
        <v>59.771125159999997</v>
      </c>
      <c r="AQ523" s="6">
        <f>[1]Macro!AP109</f>
        <v>60.591758570000003</v>
      </c>
      <c r="AR523" s="6">
        <f>[1]Macro!AQ109</f>
        <v>61.424073180000001</v>
      </c>
      <c r="AS523" s="6">
        <f>[1]Macro!AR109</f>
        <v>62.268167890000001</v>
      </c>
      <c r="AT523" s="6">
        <f>[1]Macro!AS109</f>
        <v>63.124140339999997</v>
      </c>
      <c r="AU523" s="6">
        <f>[1]Macro!AT109</f>
        <v>63.992087480000002</v>
      </c>
      <c r="AV523" s="6">
        <f>[1]Macro!AU109</f>
        <v>64.872107119999995</v>
      </c>
      <c r="AW523" s="6">
        <f>[1]Macro!AV109</f>
        <v>65.767224479999996</v>
      </c>
      <c r="AX523" s="6">
        <f>[1]Macro!AW109</f>
        <v>66.674696119999993</v>
      </c>
      <c r="AY523" s="6">
        <f>[1]Macro!AX109</f>
        <v>67.594636350000002</v>
      </c>
      <c r="AZ523" s="6">
        <f>[1]Macro!AY109</f>
        <v>68.52715895</v>
      </c>
      <c r="BA523" s="6">
        <f>[1]Macro!AZ109</f>
        <v>69.472374959999996</v>
      </c>
      <c r="BB523" s="6">
        <f>[1]Macro!BA109</f>
        <v>76.411615780000005</v>
      </c>
      <c r="BC523" s="6">
        <f>[1]Macro!BB109</f>
        <v>77.746046530000001</v>
      </c>
      <c r="BD523" s="6">
        <f>[1]Macro!BC109</f>
        <v>79.104607090000002</v>
      </c>
      <c r="BE523" s="6">
        <f>[1]Macro!BD109</f>
        <v>80.487702900000002</v>
      </c>
      <c r="BF523" s="6">
        <f>[1]Macro!BE109</f>
        <v>81.895742740000003</v>
      </c>
    </row>
    <row r="525" spans="2:58" x14ac:dyDescent="0.35">
      <c r="C525" s="2">
        <v>42005</v>
      </c>
      <c r="D525" s="2">
        <v>42370</v>
      </c>
      <c r="E525" s="2">
        <v>42736</v>
      </c>
      <c r="F525" s="2">
        <v>43101</v>
      </c>
      <c r="G525" s="2">
        <v>43466</v>
      </c>
      <c r="H525" s="2">
        <v>43831</v>
      </c>
      <c r="I525" s="2">
        <v>44197</v>
      </c>
      <c r="J525" s="2">
        <v>44562</v>
      </c>
      <c r="K525" s="2">
        <v>44927</v>
      </c>
      <c r="L525" s="2">
        <v>45292</v>
      </c>
      <c r="M525" s="2">
        <v>45658</v>
      </c>
      <c r="N525" s="2">
        <v>46023</v>
      </c>
      <c r="O525" s="2">
        <v>46388</v>
      </c>
      <c r="P525" s="2">
        <v>46753</v>
      </c>
      <c r="Q525" s="2">
        <v>47119</v>
      </c>
      <c r="R525" s="2">
        <v>47484</v>
      </c>
      <c r="S525" s="2">
        <v>47849</v>
      </c>
      <c r="T525" s="2">
        <v>48214</v>
      </c>
      <c r="U525" s="2">
        <v>48580</v>
      </c>
      <c r="V525" s="2">
        <v>48945</v>
      </c>
      <c r="W525" s="2">
        <v>49310</v>
      </c>
      <c r="X525" s="2">
        <v>49675</v>
      </c>
      <c r="Y525" s="2">
        <v>50041</v>
      </c>
      <c r="Z525" s="2">
        <v>50406</v>
      </c>
      <c r="AA525" s="2">
        <v>50771</v>
      </c>
      <c r="AB525" s="2">
        <v>51136</v>
      </c>
      <c r="AC525" s="2">
        <v>51502</v>
      </c>
      <c r="AD525" s="2">
        <v>51867</v>
      </c>
      <c r="AE525" s="2">
        <v>52232</v>
      </c>
      <c r="AF525" s="2">
        <v>52597</v>
      </c>
      <c r="AG525" s="2">
        <v>52963</v>
      </c>
      <c r="AH525" s="2">
        <v>53328</v>
      </c>
      <c r="AI525" s="2">
        <v>53693</v>
      </c>
      <c r="AJ525" s="2">
        <v>54058</v>
      </c>
      <c r="AK525" s="2">
        <v>54424</v>
      </c>
      <c r="AL525" s="2">
        <v>54789</v>
      </c>
      <c r="AM525" s="2">
        <v>54790</v>
      </c>
      <c r="AN525" s="2">
        <v>54791</v>
      </c>
      <c r="AO525" s="2">
        <v>54792</v>
      </c>
      <c r="AP525" s="2">
        <v>54793</v>
      </c>
      <c r="AQ525" s="2">
        <v>54794</v>
      </c>
      <c r="AR525" s="2">
        <v>54795</v>
      </c>
      <c r="AS525" s="2">
        <v>54796</v>
      </c>
      <c r="AT525" s="2">
        <v>54797</v>
      </c>
      <c r="AU525" s="2">
        <v>54798</v>
      </c>
      <c r="AV525" s="2">
        <v>54799</v>
      </c>
      <c r="AW525" s="2">
        <v>54800</v>
      </c>
      <c r="AX525" s="2">
        <v>54801</v>
      </c>
      <c r="AY525" s="2">
        <v>54802</v>
      </c>
      <c r="AZ525" s="2">
        <v>54803</v>
      </c>
      <c r="BA525" s="2">
        <v>54804</v>
      </c>
      <c r="BB525" s="2">
        <v>54805</v>
      </c>
      <c r="BC525" s="2">
        <v>54806</v>
      </c>
      <c r="BD525" s="2">
        <v>54807</v>
      </c>
      <c r="BE525" s="2">
        <v>54808</v>
      </c>
      <c r="BF525" s="2">
        <v>54809</v>
      </c>
    </row>
    <row r="526" spans="2:58" x14ac:dyDescent="0.35">
      <c r="B526" t="s">
        <v>105</v>
      </c>
      <c r="C526" s="9">
        <f>C513/C519-1</f>
        <v>-1.7910362174540118E-2</v>
      </c>
      <c r="D526" s="9">
        <f t="shared" ref="D526:AL526" si="330">D513/D519-1</f>
        <v>-2.2360057748078144E-2</v>
      </c>
      <c r="E526" s="9">
        <f t="shared" si="330"/>
        <v>-2.5977337578785953E-2</v>
      </c>
      <c r="F526" s="9">
        <f t="shared" si="330"/>
        <v>-2.919500394935981E-2</v>
      </c>
      <c r="G526" s="9">
        <f t="shared" si="330"/>
        <v>-3.1974668836301512E-2</v>
      </c>
      <c r="H526" s="9">
        <f t="shared" si="330"/>
        <v>-3.4420273744842911E-2</v>
      </c>
      <c r="I526" s="9">
        <f t="shared" si="330"/>
        <v>-3.6675654838314697E-2</v>
      </c>
      <c r="J526" s="9">
        <f t="shared" si="330"/>
        <v>-3.8824177455071274E-2</v>
      </c>
      <c r="K526" s="9">
        <f t="shared" si="330"/>
        <v>-4.0938637432935687E-2</v>
      </c>
      <c r="L526" s="9">
        <f t="shared" si="330"/>
        <v>-4.309165493288003E-2</v>
      </c>
      <c r="M526" s="9">
        <f t="shared" si="330"/>
        <v>-4.6653333870272484E-2</v>
      </c>
      <c r="N526" s="9">
        <f t="shared" si="330"/>
        <v>-4.8416565074166473E-2</v>
      </c>
      <c r="O526" s="9">
        <f t="shared" si="330"/>
        <v>-5.0030829046170067E-2</v>
      </c>
      <c r="P526" s="9">
        <f t="shared" si="330"/>
        <v>-5.1601857654831162E-2</v>
      </c>
      <c r="Q526" s="9">
        <f t="shared" si="330"/>
        <v>-5.3149355495050288E-2</v>
      </c>
      <c r="R526" s="9">
        <f t="shared" si="330"/>
        <v>-5.468236847882979E-2</v>
      </c>
      <c r="S526" s="9">
        <f t="shared" si="330"/>
        <v>-5.6268564103046925E-2</v>
      </c>
      <c r="T526" s="9">
        <f t="shared" si="330"/>
        <v>-5.7879284212559168E-2</v>
      </c>
      <c r="U526" s="9">
        <f t="shared" si="330"/>
        <v>-5.9516707208735919E-2</v>
      </c>
      <c r="V526" s="9">
        <f t="shared" si="330"/>
        <v>-6.1183782751443316E-2</v>
      </c>
      <c r="W526" s="9">
        <f t="shared" si="330"/>
        <v>-6.2874713319621911E-2</v>
      </c>
      <c r="X526" s="9">
        <f t="shared" si="330"/>
        <v>-6.4607017046456994E-2</v>
      </c>
      <c r="Y526" s="9">
        <f t="shared" si="330"/>
        <v>-6.6368812187693194E-2</v>
      </c>
      <c r="Z526" s="9">
        <f t="shared" si="330"/>
        <v>-6.8158515830040178E-2</v>
      </c>
      <c r="AA526" s="9">
        <f t="shared" si="330"/>
        <v>-6.9973267165230224E-2</v>
      </c>
      <c r="AB526" s="9">
        <f t="shared" si="330"/>
        <v>-7.1785609338998135E-2</v>
      </c>
      <c r="AC526" s="9">
        <f t="shared" si="330"/>
        <v>-7.3608172427162111E-2</v>
      </c>
      <c r="AD526" s="9">
        <f t="shared" si="330"/>
        <v>-7.5434034314164289E-2</v>
      </c>
      <c r="AE526" s="9">
        <f t="shared" si="330"/>
        <v>-7.7261021963168863E-2</v>
      </c>
      <c r="AF526" s="9">
        <f t="shared" si="330"/>
        <v>-7.908619849678622E-2</v>
      </c>
      <c r="AG526" s="9">
        <f t="shared" si="330"/>
        <v>-8.0906674585570437E-2</v>
      </c>
      <c r="AH526" s="9">
        <f t="shared" si="330"/>
        <v>-8.2706077515148468E-2</v>
      </c>
      <c r="AI526" s="9">
        <f t="shared" si="330"/>
        <v>-8.44912076362202E-2</v>
      </c>
      <c r="AJ526" s="9">
        <f t="shared" si="330"/>
        <v>-8.6261639515155086E-2</v>
      </c>
      <c r="AK526" s="9">
        <f t="shared" si="330"/>
        <v>-8.8016923423645643E-2</v>
      </c>
      <c r="AL526" s="9">
        <f t="shared" si="330"/>
        <v>-8.9756523569735513E-2</v>
      </c>
      <c r="AM526" s="9">
        <f t="shared" ref="AM526:BC526" si="331">AM513/AM519-1</f>
        <v>-9.1353360074849399E-2</v>
      </c>
      <c r="AN526" s="9">
        <f t="shared" si="331"/>
        <v>-9.2898090605868178E-2</v>
      </c>
      <c r="AO526" s="9">
        <f t="shared" si="331"/>
        <v>-9.4402639829564539E-2</v>
      </c>
      <c r="AP526" s="9">
        <f t="shared" si="331"/>
        <v>-9.5875808179744504E-2</v>
      </c>
      <c r="AQ526" s="9">
        <f t="shared" si="331"/>
        <v>-9.7324727829315782E-2</v>
      </c>
      <c r="AR526" s="9">
        <f t="shared" si="331"/>
        <v>-9.8735934722179231E-2</v>
      </c>
      <c r="AS526" s="9">
        <f t="shared" si="331"/>
        <v>-0.10012695076193556</v>
      </c>
      <c r="AT526" s="9">
        <f t="shared" si="331"/>
        <v>-0.10150320026739812</v>
      </c>
      <c r="AU526" s="9">
        <f t="shared" si="331"/>
        <v>-0.10286866537134176</v>
      </c>
      <c r="AV526" s="9">
        <f t="shared" si="331"/>
        <v>-0.10422568324802961</v>
      </c>
      <c r="AW526" s="9">
        <f t="shared" si="331"/>
        <v>-0.10550812684636335</v>
      </c>
      <c r="AX526" s="9">
        <f t="shared" si="331"/>
        <v>-0.10674373261027503</v>
      </c>
      <c r="AY526" s="9">
        <f t="shared" si="331"/>
        <v>-0.10793272206106275</v>
      </c>
      <c r="AZ526" s="9">
        <f t="shared" si="331"/>
        <v>-0.10909701519275228</v>
      </c>
      <c r="BA526" s="9">
        <f t="shared" si="331"/>
        <v>-0.11025504860818813</v>
      </c>
      <c r="BB526" s="9">
        <f t="shared" si="331"/>
        <v>-1.0046073199928007E-2</v>
      </c>
      <c r="BC526" s="9">
        <f t="shared" si="331"/>
        <v>-1.0196735806486612E-2</v>
      </c>
      <c r="BD526" s="9">
        <f t="shared" ref="BD526:BF526" si="332">BD513/BD519-1</f>
        <v>-1.0338859832064951E-2</v>
      </c>
      <c r="BE526" s="9">
        <f t="shared" si="332"/>
        <v>-1.0474195050070967E-2</v>
      </c>
      <c r="BF526" s="9">
        <f t="shared" si="332"/>
        <v>-1.0603780591710965E-2</v>
      </c>
    </row>
    <row r="527" spans="2:58" x14ac:dyDescent="0.35">
      <c r="B527" t="s">
        <v>103</v>
      </c>
      <c r="C527" s="9">
        <f>(C516-C522)/C519</f>
        <v>7.1630427074844798E-11</v>
      </c>
      <c r="D527" s="9">
        <f t="shared" ref="D527:AL527" si="333">(D516-D522)/D519</f>
        <v>4.7692047124840383E-4</v>
      </c>
      <c r="E527" s="9">
        <f t="shared" si="333"/>
        <v>2.9950285563136187E-4</v>
      </c>
      <c r="F527" s="9">
        <f t="shared" si="333"/>
        <v>-1.1431634627441616E-4</v>
      </c>
      <c r="G527" s="9">
        <f t="shared" si="333"/>
        <v>-4.8758906824170018E-4</v>
      </c>
      <c r="H527" s="9">
        <f t="shared" si="333"/>
        <v>-8.9410542878148858E-4</v>
      </c>
      <c r="I527" s="9">
        <f t="shared" si="333"/>
        <v>-1.3885997856978819E-3</v>
      </c>
      <c r="J527" s="9">
        <f t="shared" si="333"/>
        <v>-1.9727883862805423E-3</v>
      </c>
      <c r="K527" s="9">
        <f t="shared" si="333"/>
        <v>-2.6466958642893759E-3</v>
      </c>
      <c r="L527" s="9">
        <f t="shared" si="333"/>
        <v>-3.4445802843001043E-3</v>
      </c>
      <c r="M527" s="9">
        <f t="shared" si="333"/>
        <v>-4.4089271779425227E-3</v>
      </c>
      <c r="N527" s="9">
        <f t="shared" si="333"/>
        <v>-5.5129289935327676E-3</v>
      </c>
      <c r="O527" s="9">
        <f t="shared" si="333"/>
        <v>-6.6820871319548097E-3</v>
      </c>
      <c r="P527" s="9">
        <f t="shared" si="333"/>
        <v>-7.8617479829450332E-3</v>
      </c>
      <c r="Q527" s="9">
        <f t="shared" si="333"/>
        <v>-9.0158937233455715E-3</v>
      </c>
      <c r="R527" s="9">
        <f t="shared" si="333"/>
        <v>-1.012066118679854E-2</v>
      </c>
      <c r="S527" s="9">
        <f t="shared" si="333"/>
        <v>-1.1184783746721204E-2</v>
      </c>
      <c r="T527" s="9">
        <f t="shared" si="333"/>
        <v>-1.218996031410634E-2</v>
      </c>
      <c r="U527" s="9">
        <f t="shared" si="333"/>
        <v>-1.3131139791026284E-2</v>
      </c>
      <c r="V527" s="9">
        <f t="shared" si="333"/>
        <v>-1.400972070017064E-2</v>
      </c>
      <c r="W527" s="9">
        <f t="shared" si="333"/>
        <v>-1.4834895423476631E-2</v>
      </c>
      <c r="X527" s="9">
        <f t="shared" si="333"/>
        <v>-1.5602003972081845E-2</v>
      </c>
      <c r="Y527" s="9">
        <f t="shared" si="333"/>
        <v>-1.6320449558082515E-2</v>
      </c>
      <c r="Z527" s="9">
        <f t="shared" si="333"/>
        <v>-1.6995055319514885E-2</v>
      </c>
      <c r="AA527" s="9">
        <f t="shared" si="333"/>
        <v>-1.762972229941126E-2</v>
      </c>
      <c r="AB527" s="9">
        <f t="shared" si="333"/>
        <v>-1.824479338584006E-2</v>
      </c>
      <c r="AC527" s="9">
        <f t="shared" si="333"/>
        <v>-1.881117546631075E-2</v>
      </c>
      <c r="AD527" s="9">
        <f t="shared" si="333"/>
        <v>-1.9344376438064474E-2</v>
      </c>
      <c r="AE527" s="9">
        <f t="shared" si="333"/>
        <v>-1.9849231291531353E-2</v>
      </c>
      <c r="AF527" s="9">
        <f t="shared" si="333"/>
        <v>-2.0326930083580948E-2</v>
      </c>
      <c r="AG527" s="9">
        <f t="shared" si="333"/>
        <v>-2.0778344913561252E-2</v>
      </c>
      <c r="AH527" s="9">
        <f t="shared" si="333"/>
        <v>-2.120030456037959E-2</v>
      </c>
      <c r="AI527" s="9">
        <f t="shared" si="333"/>
        <v>-2.1596420050601882E-2</v>
      </c>
      <c r="AJ527" s="9">
        <f t="shared" si="333"/>
        <v>-2.1969322855395011E-2</v>
      </c>
      <c r="AK527" s="9">
        <f t="shared" si="333"/>
        <v>-2.2321044233943325E-2</v>
      </c>
      <c r="AL527" s="9">
        <f t="shared" si="333"/>
        <v>-2.2652663448908882E-2</v>
      </c>
      <c r="AM527" s="9">
        <f t="shared" ref="AM527:BC527" si="334">(AM516-AM522)/AM519</f>
        <v>-2.2935374490069844E-2</v>
      </c>
      <c r="AN527" s="9">
        <f t="shared" si="334"/>
        <v>-2.3187270487345278E-2</v>
      </c>
      <c r="AO527" s="9">
        <f t="shared" si="334"/>
        <v>-2.3417574142941558E-2</v>
      </c>
      <c r="AP527" s="9">
        <f t="shared" si="334"/>
        <v>-2.3630233729430763E-2</v>
      </c>
      <c r="AQ527" s="9">
        <f t="shared" si="334"/>
        <v>-2.382686880006319E-2</v>
      </c>
      <c r="AR527" s="9">
        <f t="shared" si="334"/>
        <v>-2.4003034740691456E-2</v>
      </c>
      <c r="AS527" s="9">
        <f t="shared" si="334"/>
        <v>-2.4162026278266011E-2</v>
      </c>
      <c r="AT527" s="9">
        <f t="shared" si="334"/>
        <v>-2.4305024017406668E-2</v>
      </c>
      <c r="AU527" s="9">
        <f t="shared" si="334"/>
        <v>-2.4431897826581984E-2</v>
      </c>
      <c r="AV527" s="9">
        <f t="shared" si="334"/>
        <v>-2.4540565828036792E-2</v>
      </c>
      <c r="AW527" s="9">
        <f t="shared" si="334"/>
        <v>-2.4605706247506857E-2</v>
      </c>
      <c r="AX527" s="9">
        <f t="shared" si="334"/>
        <v>-2.4620826823451996E-2</v>
      </c>
      <c r="AY527" s="9">
        <f t="shared" si="334"/>
        <v>-2.4574486082583474E-2</v>
      </c>
      <c r="AZ527" s="9">
        <f t="shared" si="334"/>
        <v>-2.4497699246388102E-2</v>
      </c>
      <c r="BA527" s="9">
        <f t="shared" si="334"/>
        <v>-2.4414728464190034E-2</v>
      </c>
      <c r="BB527" s="9">
        <f t="shared" si="334"/>
        <v>-7.0833349140024173E-3</v>
      </c>
      <c r="BC527" s="9">
        <f t="shared" si="334"/>
        <v>-7.116771404767519E-3</v>
      </c>
      <c r="BD527" s="9">
        <f t="shared" ref="BD527:BF527" si="335">(BD516-BD522)/BD519</f>
        <v>-7.1446776100745181E-3</v>
      </c>
      <c r="BE527" s="9">
        <f t="shared" si="335"/>
        <v>-7.1688134820638251E-3</v>
      </c>
      <c r="BF527" s="9">
        <f t="shared" si="335"/>
        <v>-7.1897740228072113E-3</v>
      </c>
    </row>
    <row r="528" spans="2:58" x14ac:dyDescent="0.35">
      <c r="B528" t="s">
        <v>104</v>
      </c>
      <c r="C528" s="9">
        <f>(C515-C521)/C519</f>
        <v>-2.3258402812014231E-2</v>
      </c>
      <c r="D528" s="9">
        <f t="shared" ref="D528:AL528" si="336">(D515-D521)/D519</f>
        <v>-3.1824138004523342E-2</v>
      </c>
      <c r="E528" s="9">
        <f t="shared" si="336"/>
        <v>-3.7683669609181035E-2</v>
      </c>
      <c r="F528" s="9">
        <f t="shared" si="336"/>
        <v>-4.2732619197985655E-2</v>
      </c>
      <c r="G528" s="9">
        <f t="shared" si="336"/>
        <v>-4.7179615265320836E-2</v>
      </c>
      <c r="H528" s="9">
        <f t="shared" si="336"/>
        <v>-5.1080658656692042E-2</v>
      </c>
      <c r="I528" s="9">
        <f t="shared" si="336"/>
        <v>-5.4561471786080402E-2</v>
      </c>
      <c r="J528" s="9">
        <f t="shared" si="336"/>
        <v>-5.7721028586763264E-2</v>
      </c>
      <c r="K528" s="9">
        <f t="shared" si="336"/>
        <v>-6.0659869759861047E-2</v>
      </c>
      <c r="L528" s="9">
        <f t="shared" si="336"/>
        <v>-6.3470603445472437E-2</v>
      </c>
      <c r="M528" s="9">
        <f t="shared" si="336"/>
        <v>-6.8125830043970423E-2</v>
      </c>
      <c r="N528" s="9">
        <f t="shared" si="336"/>
        <v>-7.0241555651778947E-2</v>
      </c>
      <c r="O528" s="9">
        <f t="shared" si="336"/>
        <v>-7.1763636529303065E-2</v>
      </c>
      <c r="P528" s="9">
        <f t="shared" si="336"/>
        <v>-7.307845468374867E-2</v>
      </c>
      <c r="Q528" s="9">
        <f t="shared" si="336"/>
        <v>-7.4286641592572311E-2</v>
      </c>
      <c r="R528" s="9">
        <f t="shared" si="336"/>
        <v>-7.5439578875058824E-2</v>
      </c>
      <c r="S528" s="9">
        <f t="shared" si="336"/>
        <v>-7.6622954748626543E-2</v>
      </c>
      <c r="T528" s="9">
        <f t="shared" si="336"/>
        <v>-7.7848837686913253E-2</v>
      </c>
      <c r="U528" s="9">
        <f t="shared" si="336"/>
        <v>-7.9136218763744687E-2</v>
      </c>
      <c r="V528" s="9">
        <f t="shared" si="336"/>
        <v>-8.0500684389855817E-2</v>
      </c>
      <c r="W528" s="9">
        <f t="shared" si="336"/>
        <v>-8.1945004992471676E-2</v>
      </c>
      <c r="X528" s="9">
        <f t="shared" si="336"/>
        <v>-8.3484963911473309E-2</v>
      </c>
      <c r="Y528" s="9">
        <f t="shared" si="336"/>
        <v>-8.5116578099607987E-2</v>
      </c>
      <c r="Z528" s="9">
        <f t="shared" si="336"/>
        <v>-8.683465394786069E-2</v>
      </c>
      <c r="AA528" s="9">
        <f t="shared" si="336"/>
        <v>-8.8633508458841131E-2</v>
      </c>
      <c r="AB528" s="9">
        <f t="shared" si="336"/>
        <v>-9.0482327186643757E-2</v>
      </c>
      <c r="AC528" s="9">
        <f t="shared" si="336"/>
        <v>-9.2380471692512262E-2</v>
      </c>
      <c r="AD528" s="9">
        <f t="shared" si="336"/>
        <v>-9.4321716117323387E-2</v>
      </c>
      <c r="AE528" s="9">
        <f t="shared" si="336"/>
        <v>-9.6294632212972436E-2</v>
      </c>
      <c r="AF528" s="9">
        <f t="shared" si="336"/>
        <v>-9.8290821030569256E-2</v>
      </c>
      <c r="AG528" s="9">
        <f t="shared" si="336"/>
        <v>-0.1003029271037429</v>
      </c>
      <c r="AH528" s="9">
        <f t="shared" si="336"/>
        <v>-0.10231307229804279</v>
      </c>
      <c r="AI528" s="9">
        <f t="shared" si="336"/>
        <v>-0.10432067236634231</v>
      </c>
      <c r="AJ528" s="9">
        <f t="shared" si="336"/>
        <v>-0.1063222726997754</v>
      </c>
      <c r="AK528" s="9">
        <f t="shared" si="336"/>
        <v>-0.10831440048149463</v>
      </c>
      <c r="AL528" s="9">
        <f t="shared" si="336"/>
        <v>-0.11029405487079548</v>
      </c>
      <c r="AM528" s="9">
        <f t="shared" ref="AM528:BC528" si="337">(AM515-AM521)/AM519</f>
        <v>-0.11215128985163987</v>
      </c>
      <c r="AN528" s="9">
        <f t="shared" si="337"/>
        <v>-0.11393893356915299</v>
      </c>
      <c r="AO528" s="9">
        <f t="shared" si="337"/>
        <v>-0.11567257563515411</v>
      </c>
      <c r="AP528" s="9">
        <f t="shared" si="337"/>
        <v>-0.11735965135945868</v>
      </c>
      <c r="AQ528" s="9">
        <f t="shared" si="337"/>
        <v>-0.11900735730990851</v>
      </c>
      <c r="AR528" s="9">
        <f t="shared" si="337"/>
        <v>-0.12060668096132372</v>
      </c>
      <c r="AS528" s="9">
        <f t="shared" si="337"/>
        <v>-0.12217239964120188</v>
      </c>
      <c r="AT528" s="9">
        <f t="shared" si="337"/>
        <v>-0.12371311063923449</v>
      </c>
      <c r="AU528" s="9">
        <f t="shared" si="337"/>
        <v>-0.12523550871386127</v>
      </c>
      <c r="AV528" s="9">
        <f t="shared" si="337"/>
        <v>-0.12674535043811086</v>
      </c>
      <c r="AW528" s="9">
        <f t="shared" si="337"/>
        <v>-0.12819216518370563</v>
      </c>
      <c r="AX528" s="9">
        <f t="shared" si="337"/>
        <v>-0.12959682415205745</v>
      </c>
      <c r="AY528" s="9">
        <f t="shared" si="337"/>
        <v>-0.1309670847424759</v>
      </c>
      <c r="AZ528" s="9">
        <f t="shared" si="337"/>
        <v>-0.13231469486364428</v>
      </c>
      <c r="BA528" s="9">
        <f t="shared" si="337"/>
        <v>-0.13365084401490346</v>
      </c>
      <c r="BB528" s="9">
        <f t="shared" si="337"/>
        <v>-3.6814216923427494E-3</v>
      </c>
      <c r="BC528" s="9">
        <f t="shared" si="337"/>
        <v>-3.6885411797333667E-3</v>
      </c>
      <c r="BD528" s="9">
        <f t="shared" ref="BD528:BF528" si="338">(BD515-BD521)/BD519</f>
        <v>-3.6885639402220861E-3</v>
      </c>
      <c r="BE528" s="9">
        <f t="shared" si="338"/>
        <v>-3.6820563046828817E-3</v>
      </c>
      <c r="BF528" s="9">
        <f t="shared" si="338"/>
        <v>-3.6695656661842584E-3</v>
      </c>
    </row>
    <row r="529" spans="2:58" x14ac:dyDescent="0.35">
      <c r="B529" t="s">
        <v>20</v>
      </c>
      <c r="C529" s="9">
        <f>(C517-C514-(C523-C520))/C519</f>
        <v>5.3480407091044393E-3</v>
      </c>
      <c r="D529" s="9">
        <f t="shared" ref="D529:AL529" si="339">(D517-D514-(D523-D520))/D519</f>
        <v>8.9871590034801552E-3</v>
      </c>
      <c r="E529" s="9">
        <f t="shared" si="339"/>
        <v>1.1406829809681877E-2</v>
      </c>
      <c r="F529" s="9">
        <f t="shared" si="339"/>
        <v>1.3651931174899261E-2</v>
      </c>
      <c r="G529" s="9">
        <f t="shared" si="339"/>
        <v>1.5692535705479217E-2</v>
      </c>
      <c r="H529" s="9">
        <f t="shared" si="339"/>
        <v>1.7554490615673986E-2</v>
      </c>
      <c r="I529" s="9">
        <f t="shared" si="339"/>
        <v>1.9274416324807912E-2</v>
      </c>
      <c r="J529" s="9">
        <f t="shared" si="339"/>
        <v>2.08696395179724E-2</v>
      </c>
      <c r="K529" s="9">
        <f t="shared" si="339"/>
        <v>2.2367927723977287E-2</v>
      </c>
      <c r="L529" s="9">
        <f t="shared" si="339"/>
        <v>2.3823528598734302E-2</v>
      </c>
      <c r="M529" s="9">
        <f t="shared" si="339"/>
        <v>2.5881422633388402E-2</v>
      </c>
      <c r="N529" s="9">
        <f t="shared" si="339"/>
        <v>2.7337919054479222E-2</v>
      </c>
      <c r="O529" s="9">
        <f t="shared" si="339"/>
        <v>2.8414894231788446E-2</v>
      </c>
      <c r="P529" s="9">
        <f t="shared" si="339"/>
        <v>2.9338344695898449E-2</v>
      </c>
      <c r="Q529" s="9">
        <f t="shared" si="339"/>
        <v>3.0153179508310056E-2</v>
      </c>
      <c r="R529" s="9">
        <f t="shared" si="339"/>
        <v>3.0877872077740655E-2</v>
      </c>
      <c r="S529" s="9">
        <f t="shared" si="339"/>
        <v>3.1539175004053316E-2</v>
      </c>
      <c r="T529" s="9">
        <f t="shared" si="339"/>
        <v>3.215951427261584E-2</v>
      </c>
      <c r="U529" s="9">
        <f t="shared" si="339"/>
        <v>3.2750651046679249E-2</v>
      </c>
      <c r="V529" s="9">
        <f t="shared" si="339"/>
        <v>3.3326622753191891E-2</v>
      </c>
      <c r="W529" s="9">
        <f t="shared" si="339"/>
        <v>3.3905186627287247E-2</v>
      </c>
      <c r="X529" s="9">
        <f t="shared" si="339"/>
        <v>3.4479950779087436E-2</v>
      </c>
      <c r="Y529" s="9">
        <f t="shared" si="339"/>
        <v>3.5068215240429863E-2</v>
      </c>
      <c r="Z529" s="9">
        <f t="shared" si="339"/>
        <v>3.5671193096681063E-2</v>
      </c>
      <c r="AA529" s="9">
        <f t="shared" si="339"/>
        <v>3.628996348069663E-2</v>
      </c>
      <c r="AB529" s="9">
        <f t="shared" si="339"/>
        <v>3.6941511122198997E-2</v>
      </c>
      <c r="AC529" s="9">
        <f t="shared" si="339"/>
        <v>3.7583474952076666E-2</v>
      </c>
      <c r="AD529" s="9">
        <f t="shared" si="339"/>
        <v>3.8232058350358471E-2</v>
      </c>
      <c r="AE529" s="9">
        <f t="shared" si="339"/>
        <v>3.8882841703437594E-2</v>
      </c>
      <c r="AF529" s="9">
        <f t="shared" si="339"/>
        <v>3.9531552617364227E-2</v>
      </c>
      <c r="AG529" s="9">
        <f t="shared" si="339"/>
        <v>4.017459743173353E-2</v>
      </c>
      <c r="AH529" s="9">
        <f t="shared" si="339"/>
        <v>4.0807299710415447E-2</v>
      </c>
      <c r="AI529" s="9">
        <f t="shared" si="339"/>
        <v>4.1425885248037031E-2</v>
      </c>
      <c r="AJ529" s="9">
        <f t="shared" si="339"/>
        <v>4.2029956091415334E-2</v>
      </c>
      <c r="AK529" s="9">
        <f t="shared" si="339"/>
        <v>4.2618521291792395E-2</v>
      </c>
      <c r="AL529" s="9">
        <f t="shared" si="339"/>
        <v>4.319019525354173E-2</v>
      </c>
      <c r="AM529" s="9">
        <f t="shared" ref="AM529:BC529" si="340">(AM517-AM514-(AM523-AM520))/AM519</f>
        <v>4.3733304266860319E-2</v>
      </c>
      <c r="AN529" s="9">
        <f t="shared" si="340"/>
        <v>4.4228113203821875E-2</v>
      </c>
      <c r="AO529" s="9">
        <f t="shared" si="340"/>
        <v>4.4687509801914806E-2</v>
      </c>
      <c r="AP529" s="9">
        <f t="shared" si="340"/>
        <v>4.511407628012002E-2</v>
      </c>
      <c r="AQ529" s="9">
        <f t="shared" si="340"/>
        <v>4.5509498903414429E-2</v>
      </c>
      <c r="AR529" s="9">
        <f t="shared" si="340"/>
        <v>4.587378069528205E-2</v>
      </c>
      <c r="AS529" s="9">
        <f t="shared" si="340"/>
        <v>4.6207475016683257E-2</v>
      </c>
      <c r="AT529" s="9">
        <f t="shared" si="340"/>
        <v>4.6514934156859963E-2</v>
      </c>
      <c r="AU529" s="9">
        <f t="shared" si="340"/>
        <v>4.6798741445139298E-2</v>
      </c>
      <c r="AV529" s="9">
        <f t="shared" si="340"/>
        <v>4.7060233018117861E-2</v>
      </c>
      <c r="AW529" s="9">
        <f t="shared" si="340"/>
        <v>4.7289744629922428E-2</v>
      </c>
      <c r="AX529" s="9">
        <f t="shared" si="340"/>
        <v>4.7473918142178252E-2</v>
      </c>
      <c r="AY529" s="9">
        <f t="shared" si="340"/>
        <v>4.7608848896457501E-2</v>
      </c>
      <c r="AZ529" s="9">
        <f t="shared" si="340"/>
        <v>4.7715378873580516E-2</v>
      </c>
      <c r="BA529" s="9">
        <f t="shared" si="340"/>
        <v>4.7810523697911417E-2</v>
      </c>
      <c r="BB529" s="9">
        <f t="shared" si="340"/>
        <v>7.1868328581924535E-4</v>
      </c>
      <c r="BC529" s="9">
        <f t="shared" si="340"/>
        <v>6.0857681767124885E-4</v>
      </c>
      <c r="BD529" s="9">
        <f t="shared" ref="BD529:BF529" si="341">(BD517-BD514-(BD523-BD520))/BD519</f>
        <v>4.9438203119265157E-4</v>
      </c>
      <c r="BE529" s="9">
        <f t="shared" si="341"/>
        <v>3.7667500679916332E-4</v>
      </c>
      <c r="BF529" s="9">
        <f t="shared" si="341"/>
        <v>2.5555905921704927E-4</v>
      </c>
    </row>
  </sheetData>
  <mergeCells count="2">
    <mergeCell ref="A61:A62"/>
    <mergeCell ref="A64:A6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Graphiques</vt:lpstr>
      </vt:variant>
      <vt:variant>
        <vt:i4>21</vt:i4>
      </vt:variant>
    </vt:vector>
  </HeadingPairs>
  <TitlesOfParts>
    <vt:vector size="22" baseType="lpstr">
      <vt:lpstr>Données</vt:lpstr>
      <vt:lpstr>Gr Macro</vt:lpstr>
      <vt:lpstr>Gr inflation</vt:lpstr>
      <vt:lpstr>Gr émissions</vt:lpstr>
      <vt:lpstr>Gr conso éner</vt:lpstr>
      <vt:lpstr>GR macro ener</vt:lpstr>
      <vt:lpstr>Gr éner prim</vt:lpstr>
      <vt:lpstr>BUIL (class,base)</vt:lpstr>
      <vt:lpstr>BUIL (class,shock)</vt:lpstr>
      <vt:lpstr>Auto (class,base)</vt:lpstr>
      <vt:lpstr>Auto (class,shock)</vt:lpstr>
      <vt:lpstr>Auto (ener,shock)</vt:lpstr>
      <vt:lpstr>Auto (ener,base)</vt:lpstr>
      <vt:lpstr>Employment</vt:lpstr>
      <vt:lpstr>Investment</vt:lpstr>
      <vt:lpstr>Firms' emissions</vt:lpstr>
      <vt:lpstr>Capital intensity</vt:lpstr>
      <vt:lpstr>Energy intensity</vt:lpstr>
      <vt:lpstr>Gr VA secteurs (% dev)</vt:lpstr>
      <vt:lpstr>Gr VA secteurs (% share)</vt:lpstr>
      <vt:lpstr>Gr Y secteurs (% dev)</vt:lpstr>
      <vt:lpstr>Gr Y secteurs (% share)</vt:lpstr>
    </vt:vector>
  </TitlesOfParts>
  <Company>ADEME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JACQUETIN Florian</dc:creator>
  <cp:lastModifiedBy>JACQUETIN Florian</cp:lastModifiedBy>
  <dcterms:created xsi:type="dcterms:W3CDTF">2021-11-04T11:19:34Z</dcterms:created>
  <dcterms:modified xsi:type="dcterms:W3CDTF">2022-02-26T19:28:10Z</dcterms:modified>
</cp:coreProperties>
</file>